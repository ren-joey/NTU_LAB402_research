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AD lab\Thesis\kiara\supplement\"/>
    </mc:Choice>
  </mc:AlternateContent>
  <bookViews>
    <workbookView xWindow="0" yWindow="0" windowWidth="9630" windowHeight="4130" activeTab="2"/>
  </bookViews>
  <sheets>
    <sheet name="statistics" sheetId="19" r:id="rId1"/>
    <sheet name="BM_modify" sheetId="1" r:id="rId2"/>
    <sheet name="BM_2D_result" sheetId="4" r:id="rId3"/>
    <sheet name="val=test" sheetId="18" r:id="rId4"/>
  </sheets>
  <definedNames>
    <definedName name="_xlnm._FilterDatabase" localSheetId="2" hidden="1">BM_2D_result!$A$20:$X$469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E15" i="4"/>
  <c r="D15" i="4"/>
  <c r="C15" i="4"/>
  <c r="H15" i="4" l="1"/>
  <c r="O15" i="4" s="1"/>
  <c r="G15" i="4"/>
  <c r="N15" i="4" s="1"/>
  <c r="I15" i="4"/>
  <c r="L15" i="4" s="1"/>
  <c r="J15" i="4"/>
  <c r="M15" i="4" s="1"/>
  <c r="K15" i="4"/>
  <c r="E4" i="19"/>
  <c r="D4" i="19"/>
  <c r="C4" i="19"/>
  <c r="E3" i="19"/>
  <c r="D3" i="19"/>
  <c r="C3" i="19"/>
  <c r="T469" i="4" l="1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R469" i="4"/>
  <c r="R468" i="4"/>
  <c r="R467" i="4"/>
  <c r="R466" i="4"/>
  <c r="R465" i="4"/>
  <c r="R464" i="4"/>
  <c r="R463" i="4"/>
  <c r="R462" i="4"/>
  <c r="R461" i="4"/>
  <c r="R460" i="4"/>
  <c r="R459" i="4"/>
  <c r="R458" i="4"/>
  <c r="R457" i="4"/>
  <c r="R456" i="4"/>
  <c r="R455" i="4"/>
  <c r="R454" i="4"/>
  <c r="R453" i="4"/>
  <c r="R452" i="4"/>
  <c r="R451" i="4"/>
  <c r="R450" i="4"/>
  <c r="R449" i="4"/>
  <c r="R448" i="4"/>
  <c r="R447" i="4"/>
  <c r="R446" i="4"/>
  <c r="R445" i="4"/>
  <c r="R444" i="4"/>
  <c r="R443" i="4"/>
  <c r="R442" i="4"/>
  <c r="R441" i="4"/>
  <c r="R440" i="4"/>
  <c r="R439" i="4"/>
  <c r="R438" i="4"/>
  <c r="R437" i="4"/>
  <c r="R436" i="4"/>
  <c r="R435" i="4"/>
  <c r="R434" i="4"/>
  <c r="R433" i="4"/>
  <c r="R432" i="4"/>
  <c r="R431" i="4"/>
  <c r="R430" i="4"/>
  <c r="R429" i="4"/>
  <c r="R428" i="4"/>
  <c r="R427" i="4"/>
  <c r="R426" i="4"/>
  <c r="R425" i="4"/>
  <c r="R424" i="4"/>
  <c r="R423" i="4"/>
  <c r="R422" i="4"/>
  <c r="R421" i="4"/>
  <c r="R420" i="4"/>
  <c r="R419" i="4"/>
  <c r="R418" i="4"/>
  <c r="R417" i="4"/>
  <c r="R416" i="4"/>
  <c r="R415" i="4"/>
  <c r="R414" i="4"/>
  <c r="R413" i="4"/>
  <c r="R412" i="4"/>
  <c r="R411" i="4"/>
  <c r="R410" i="4"/>
  <c r="R409" i="4"/>
  <c r="R408" i="4"/>
  <c r="R407" i="4"/>
  <c r="R406" i="4"/>
  <c r="R405" i="4"/>
  <c r="R404" i="4"/>
  <c r="R403" i="4"/>
  <c r="R402" i="4"/>
  <c r="R401" i="4"/>
  <c r="R400" i="4"/>
  <c r="R399" i="4"/>
  <c r="R398" i="4"/>
  <c r="R397" i="4"/>
  <c r="R396" i="4"/>
  <c r="R395" i="4"/>
  <c r="R394" i="4"/>
  <c r="R393" i="4"/>
  <c r="R392" i="4"/>
  <c r="R391" i="4"/>
  <c r="R390" i="4"/>
  <c r="R389" i="4"/>
  <c r="R388" i="4"/>
  <c r="R387" i="4"/>
  <c r="R386" i="4"/>
  <c r="R385" i="4"/>
  <c r="R384" i="4"/>
  <c r="R383" i="4"/>
  <c r="R382" i="4"/>
  <c r="R380" i="4"/>
  <c r="R379" i="4"/>
  <c r="R378" i="4"/>
  <c r="R377" i="4"/>
  <c r="R376" i="4"/>
  <c r="R375" i="4"/>
  <c r="R374" i="4"/>
  <c r="R373" i="4"/>
  <c r="R372" i="4"/>
  <c r="R371" i="4"/>
  <c r="R370" i="4"/>
  <c r="R369" i="4"/>
  <c r="R368" i="4"/>
  <c r="R367" i="4"/>
  <c r="R366" i="4"/>
  <c r="R365" i="4"/>
  <c r="R364" i="4"/>
  <c r="R363" i="4"/>
  <c r="R362" i="4"/>
  <c r="R361" i="4"/>
  <c r="R360" i="4"/>
  <c r="R359" i="4"/>
  <c r="R358" i="4"/>
  <c r="R357" i="4"/>
  <c r="R356" i="4"/>
  <c r="R355" i="4"/>
  <c r="R354" i="4"/>
  <c r="R353" i="4"/>
  <c r="R352" i="4"/>
  <c r="R351" i="4"/>
  <c r="R350" i="4"/>
  <c r="R349" i="4"/>
  <c r="R348" i="4"/>
  <c r="R347" i="4"/>
  <c r="R346" i="4"/>
  <c r="R345" i="4"/>
  <c r="R344" i="4"/>
  <c r="R343" i="4"/>
  <c r="R342" i="4"/>
  <c r="R341" i="4"/>
  <c r="R340" i="4"/>
  <c r="R339" i="4"/>
  <c r="R338" i="4"/>
  <c r="R337" i="4"/>
  <c r="R336" i="4"/>
  <c r="R335" i="4"/>
  <c r="R334" i="4"/>
  <c r="R333" i="4"/>
  <c r="R332" i="4"/>
  <c r="R331" i="4"/>
  <c r="R330" i="4"/>
  <c r="R329" i="4"/>
  <c r="R328" i="4"/>
  <c r="R327" i="4"/>
  <c r="R326" i="4"/>
  <c r="R325" i="4"/>
  <c r="R324" i="4"/>
  <c r="R323" i="4"/>
  <c r="R322" i="4"/>
  <c r="R321" i="4"/>
  <c r="R320" i="4"/>
  <c r="R319" i="4"/>
  <c r="R318" i="4"/>
  <c r="R317" i="4"/>
  <c r="R316" i="4"/>
  <c r="R315" i="4"/>
  <c r="R314" i="4"/>
  <c r="R313" i="4"/>
  <c r="R312" i="4"/>
  <c r="R311" i="4"/>
  <c r="R310" i="4"/>
  <c r="R309" i="4"/>
  <c r="R308" i="4"/>
  <c r="R307" i="4"/>
  <c r="R306" i="4"/>
  <c r="R305" i="4"/>
  <c r="R304" i="4"/>
  <c r="R303" i="4"/>
  <c r="R302" i="4"/>
  <c r="R301" i="4"/>
  <c r="R300" i="4"/>
  <c r="R299" i="4"/>
  <c r="R298" i="4"/>
  <c r="R297" i="4"/>
  <c r="R296" i="4"/>
  <c r="R295" i="4"/>
  <c r="R294" i="4"/>
  <c r="R293" i="4"/>
  <c r="R292" i="4"/>
  <c r="R290" i="4"/>
  <c r="R289" i="4"/>
  <c r="R288" i="4"/>
  <c r="R287" i="4"/>
  <c r="R286" i="4"/>
  <c r="R285" i="4"/>
  <c r="R284" i="4"/>
  <c r="R283" i="4"/>
  <c r="R282" i="4"/>
  <c r="R281" i="4"/>
  <c r="R280" i="4"/>
  <c r="R279" i="4"/>
  <c r="R278" i="4"/>
  <c r="R277" i="4"/>
  <c r="R276" i="4"/>
  <c r="R275" i="4"/>
  <c r="R274" i="4"/>
  <c r="R273" i="4"/>
  <c r="R272" i="4"/>
  <c r="R271" i="4"/>
  <c r="R270" i="4"/>
  <c r="R269" i="4"/>
  <c r="R268" i="4"/>
  <c r="R267" i="4"/>
  <c r="R266" i="4"/>
  <c r="R265" i="4"/>
  <c r="R264" i="4"/>
  <c r="R263" i="4"/>
  <c r="R262" i="4"/>
  <c r="R261" i="4"/>
  <c r="R260" i="4"/>
  <c r="R259" i="4"/>
  <c r="R258" i="4"/>
  <c r="R257" i="4"/>
  <c r="R256" i="4"/>
  <c r="R255" i="4"/>
  <c r="R254" i="4"/>
  <c r="R253" i="4"/>
  <c r="R252" i="4"/>
  <c r="R251" i="4"/>
  <c r="R250" i="4"/>
  <c r="R249" i="4"/>
  <c r="R248" i="4"/>
  <c r="R247" i="4"/>
  <c r="R246" i="4"/>
  <c r="R245" i="4"/>
  <c r="R244" i="4"/>
  <c r="R243" i="4"/>
  <c r="R242" i="4"/>
  <c r="R241" i="4"/>
  <c r="R240" i="4"/>
  <c r="R239" i="4"/>
  <c r="R238" i="4"/>
  <c r="R237" i="4"/>
  <c r="R236" i="4"/>
  <c r="R235" i="4"/>
  <c r="R234" i="4"/>
  <c r="R233" i="4"/>
  <c r="R232" i="4"/>
  <c r="R231" i="4"/>
  <c r="R230" i="4"/>
  <c r="R229" i="4"/>
  <c r="R228" i="4"/>
  <c r="R227" i="4"/>
  <c r="R226" i="4"/>
  <c r="R225" i="4"/>
  <c r="R224" i="4"/>
  <c r="R223" i="4"/>
  <c r="R222" i="4"/>
  <c r="R221" i="4"/>
  <c r="R220" i="4"/>
  <c r="R219" i="4"/>
  <c r="R218" i="4"/>
  <c r="R217" i="4"/>
  <c r="R216" i="4"/>
  <c r="R215" i="4"/>
  <c r="R214" i="4"/>
  <c r="R213" i="4"/>
  <c r="R212" i="4"/>
  <c r="R211" i="4"/>
  <c r="R210" i="4"/>
  <c r="R209" i="4"/>
  <c r="R208" i="4"/>
  <c r="R207" i="4"/>
  <c r="R206" i="4"/>
  <c r="R205" i="4"/>
  <c r="R204" i="4"/>
  <c r="R203" i="4"/>
  <c r="R201" i="4"/>
  <c r="R200" i="4"/>
  <c r="R199" i="4"/>
  <c r="R198" i="4"/>
  <c r="R197" i="4"/>
  <c r="R196" i="4"/>
  <c r="R195" i="4"/>
  <c r="R194" i="4"/>
  <c r="R193" i="4"/>
  <c r="R192" i="4"/>
  <c r="R191" i="4"/>
  <c r="R190" i="4"/>
  <c r="R189" i="4"/>
  <c r="R188" i="4"/>
  <c r="R187" i="4"/>
  <c r="R186" i="4"/>
  <c r="R185" i="4"/>
  <c r="R184" i="4"/>
  <c r="R183" i="4"/>
  <c r="R182" i="4"/>
  <c r="R181" i="4"/>
  <c r="R180" i="4"/>
  <c r="R179" i="4"/>
  <c r="R178" i="4"/>
  <c r="R177" i="4"/>
  <c r="R176" i="4"/>
  <c r="R175" i="4"/>
  <c r="R174" i="4"/>
  <c r="R173" i="4"/>
  <c r="R172" i="4"/>
  <c r="R171" i="4"/>
  <c r="R170" i="4"/>
  <c r="R169" i="4"/>
  <c r="R168" i="4"/>
  <c r="R167" i="4"/>
  <c r="R166" i="4"/>
  <c r="R165" i="4"/>
  <c r="R164" i="4"/>
  <c r="R163" i="4"/>
  <c r="R162" i="4"/>
  <c r="R161" i="4"/>
  <c r="R160" i="4"/>
  <c r="R159" i="4"/>
  <c r="R158" i="4"/>
  <c r="R157" i="4"/>
  <c r="R156" i="4"/>
  <c r="R155" i="4"/>
  <c r="R154" i="4"/>
  <c r="R153" i="4"/>
  <c r="R152" i="4"/>
  <c r="R151" i="4"/>
  <c r="R150" i="4"/>
  <c r="R149" i="4"/>
  <c r="R148" i="4"/>
  <c r="R147" i="4"/>
  <c r="R146" i="4"/>
  <c r="R145" i="4"/>
  <c r="R144" i="4"/>
  <c r="R143" i="4"/>
  <c r="R142" i="4"/>
  <c r="R141" i="4"/>
  <c r="R140" i="4"/>
  <c r="R139" i="4"/>
  <c r="R138" i="4"/>
  <c r="R137" i="4"/>
  <c r="R136" i="4"/>
  <c r="R135" i="4"/>
  <c r="R134" i="4"/>
  <c r="R133" i="4"/>
  <c r="R132" i="4"/>
  <c r="R131" i="4"/>
  <c r="R130" i="4"/>
  <c r="R129" i="4"/>
  <c r="R128" i="4"/>
  <c r="R127" i="4"/>
  <c r="R126" i="4"/>
  <c r="R125" i="4"/>
  <c r="R124" i="4"/>
  <c r="R123" i="4"/>
  <c r="R122" i="4"/>
  <c r="R121" i="4"/>
  <c r="R120" i="4"/>
  <c r="R119" i="4"/>
  <c r="R118" i="4"/>
  <c r="R117" i="4"/>
  <c r="R116" i="4"/>
  <c r="R115" i="4"/>
  <c r="R114" i="4"/>
  <c r="R113" i="4"/>
  <c r="R111" i="4"/>
  <c r="R110" i="4"/>
  <c r="R109" i="4"/>
  <c r="R108" i="4"/>
  <c r="R107" i="4"/>
  <c r="R106" i="4"/>
  <c r="R105" i="4"/>
  <c r="R104" i="4"/>
  <c r="R103" i="4"/>
  <c r="R102" i="4"/>
  <c r="R101" i="4"/>
  <c r="R100" i="4"/>
  <c r="R99" i="4"/>
  <c r="R98" i="4"/>
  <c r="R97" i="4"/>
  <c r="R96" i="4"/>
  <c r="R95" i="4"/>
  <c r="R94" i="4"/>
  <c r="R93" i="4"/>
  <c r="R92" i="4"/>
  <c r="R91" i="4"/>
  <c r="R90" i="4"/>
  <c r="R89" i="4"/>
  <c r="R88" i="4"/>
  <c r="R87" i="4"/>
  <c r="R86" i="4"/>
  <c r="R85" i="4"/>
  <c r="R84" i="4"/>
  <c r="R83" i="4"/>
  <c r="R82" i="4"/>
  <c r="R81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51" i="4"/>
  <c r="R50" i="4"/>
  <c r="R49" i="4"/>
  <c r="R48" i="4"/>
  <c r="R47" i="4"/>
  <c r="R46" i="4"/>
  <c r="R45" i="4"/>
  <c r="R44" i="4"/>
  <c r="R43" i="4"/>
  <c r="R42" i="4"/>
  <c r="R41" i="4"/>
  <c r="R40" i="4"/>
  <c r="R39" i="4"/>
  <c r="R38" i="4"/>
  <c r="R37" i="4"/>
  <c r="R36" i="4"/>
  <c r="R35" i="4"/>
  <c r="R34" i="4"/>
  <c r="R33" i="4"/>
  <c r="R32" i="4"/>
  <c r="R31" i="4"/>
  <c r="R30" i="4"/>
  <c r="R29" i="4"/>
  <c r="R28" i="4"/>
  <c r="R27" i="4"/>
  <c r="R26" i="4"/>
  <c r="R25" i="4"/>
  <c r="R24" i="4"/>
  <c r="R23" i="4"/>
  <c r="R22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/>
  <c r="P445" i="4"/>
  <c r="P444" i="4"/>
  <c r="P443" i="4"/>
  <c r="P442" i="4"/>
  <c r="P441" i="4"/>
  <c r="P440" i="4"/>
  <c r="P439" i="4"/>
  <c r="P438" i="4"/>
  <c r="P437" i="4"/>
  <c r="P436" i="4"/>
  <c r="P435" i="4"/>
  <c r="P434" i="4"/>
  <c r="P433" i="4"/>
  <c r="P432" i="4"/>
  <c r="P431" i="4"/>
  <c r="P430" i="4"/>
  <c r="P429" i="4"/>
  <c r="P428" i="4"/>
  <c r="P427" i="4"/>
  <c r="P426" i="4"/>
  <c r="P425" i="4"/>
  <c r="P424" i="4"/>
  <c r="P423" i="4"/>
  <c r="P422" i="4"/>
  <c r="P421" i="4"/>
  <c r="P420" i="4"/>
  <c r="P419" i="4"/>
  <c r="P418" i="4"/>
  <c r="P417" i="4"/>
  <c r="P416" i="4"/>
  <c r="P415" i="4"/>
  <c r="P414" i="4"/>
  <c r="P413" i="4"/>
  <c r="P412" i="4"/>
  <c r="P411" i="4"/>
  <c r="P410" i="4"/>
  <c r="P409" i="4"/>
  <c r="P408" i="4"/>
  <c r="P407" i="4"/>
  <c r="P406" i="4"/>
  <c r="P405" i="4"/>
  <c r="P404" i="4"/>
  <c r="P403" i="4"/>
  <c r="P402" i="4"/>
  <c r="P401" i="4"/>
  <c r="P400" i="4"/>
  <c r="P399" i="4"/>
  <c r="P398" i="4"/>
  <c r="P397" i="4"/>
  <c r="P396" i="4"/>
  <c r="P395" i="4"/>
  <c r="P394" i="4"/>
  <c r="P393" i="4"/>
  <c r="P392" i="4"/>
  <c r="P391" i="4"/>
  <c r="P390" i="4"/>
  <c r="P389" i="4"/>
  <c r="P388" i="4"/>
  <c r="P387" i="4"/>
  <c r="P386" i="4"/>
  <c r="P385" i="4"/>
  <c r="P384" i="4"/>
  <c r="P383" i="4"/>
  <c r="P382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P367" i="4"/>
  <c r="P366" i="4"/>
  <c r="P365" i="4"/>
  <c r="P364" i="4"/>
  <c r="P363" i="4"/>
  <c r="P362" i="4"/>
  <c r="P361" i="4"/>
  <c r="P360" i="4"/>
  <c r="P359" i="4"/>
  <c r="P358" i="4"/>
  <c r="P357" i="4"/>
  <c r="P356" i="4"/>
  <c r="P355" i="4"/>
  <c r="P354" i="4"/>
  <c r="P353" i="4"/>
  <c r="P352" i="4"/>
  <c r="P351" i="4"/>
  <c r="P350" i="4"/>
  <c r="P349" i="4"/>
  <c r="P348" i="4"/>
  <c r="P347" i="4"/>
  <c r="P346" i="4"/>
  <c r="P345" i="4"/>
  <c r="P344" i="4"/>
  <c r="P343" i="4"/>
  <c r="P342" i="4"/>
  <c r="P341" i="4"/>
  <c r="P340" i="4"/>
  <c r="P339" i="4"/>
  <c r="P338" i="4"/>
  <c r="P337" i="4"/>
  <c r="P336" i="4"/>
  <c r="P335" i="4"/>
  <c r="P334" i="4"/>
  <c r="P333" i="4"/>
  <c r="P332" i="4"/>
  <c r="P331" i="4"/>
  <c r="P330" i="4"/>
  <c r="P329" i="4"/>
  <c r="P328" i="4"/>
  <c r="P327" i="4"/>
  <c r="P326" i="4"/>
  <c r="P325" i="4"/>
  <c r="P324" i="4"/>
  <c r="P323" i="4"/>
  <c r="P322" i="4"/>
  <c r="P321" i="4"/>
  <c r="P320" i="4"/>
  <c r="P319" i="4"/>
  <c r="P318" i="4"/>
  <c r="P317" i="4"/>
  <c r="P316" i="4"/>
  <c r="P315" i="4"/>
  <c r="P314" i="4"/>
  <c r="P313" i="4"/>
  <c r="P312" i="4"/>
  <c r="P311" i="4"/>
  <c r="P310" i="4"/>
  <c r="P309" i="4"/>
  <c r="P308" i="4"/>
  <c r="P307" i="4"/>
  <c r="P306" i="4"/>
  <c r="P305" i="4"/>
  <c r="P304" i="4"/>
  <c r="P303" i="4"/>
  <c r="P302" i="4"/>
  <c r="P301" i="4"/>
  <c r="P300" i="4"/>
  <c r="P299" i="4"/>
  <c r="P298" i="4"/>
  <c r="P297" i="4"/>
  <c r="P296" i="4"/>
  <c r="P295" i="4"/>
  <c r="P294" i="4"/>
  <c r="P293" i="4"/>
  <c r="P292" i="4"/>
  <c r="P290" i="4"/>
  <c r="P289" i="4"/>
  <c r="P288" i="4"/>
  <c r="P287" i="4"/>
  <c r="P286" i="4"/>
  <c r="P285" i="4"/>
  <c r="P284" i="4"/>
  <c r="P283" i="4"/>
  <c r="P282" i="4"/>
  <c r="P281" i="4"/>
  <c r="P280" i="4"/>
  <c r="P279" i="4"/>
  <c r="P278" i="4"/>
  <c r="P277" i="4"/>
  <c r="P276" i="4"/>
  <c r="P275" i="4"/>
  <c r="P274" i="4"/>
  <c r="P273" i="4"/>
  <c r="P272" i="4"/>
  <c r="P271" i="4"/>
  <c r="P270" i="4"/>
  <c r="P269" i="4"/>
  <c r="P268" i="4"/>
  <c r="P267" i="4"/>
  <c r="P266" i="4"/>
  <c r="P265" i="4"/>
  <c r="P264" i="4"/>
  <c r="P263" i="4"/>
  <c r="P262" i="4"/>
  <c r="P261" i="4"/>
  <c r="P260" i="4"/>
  <c r="P259" i="4"/>
  <c r="P258" i="4"/>
  <c r="P257" i="4"/>
  <c r="P256" i="4"/>
  <c r="P255" i="4"/>
  <c r="P254" i="4"/>
  <c r="P253" i="4"/>
  <c r="P252" i="4"/>
  <c r="P251" i="4"/>
  <c r="P250" i="4"/>
  <c r="P249" i="4"/>
  <c r="P248" i="4"/>
  <c r="P247" i="4"/>
  <c r="P246" i="4"/>
  <c r="P245" i="4"/>
  <c r="P244" i="4"/>
  <c r="P243" i="4"/>
  <c r="P242" i="4"/>
  <c r="P241" i="4"/>
  <c r="P240" i="4"/>
  <c r="P239" i="4"/>
  <c r="P238" i="4"/>
  <c r="P237" i="4"/>
  <c r="P236" i="4"/>
  <c r="P235" i="4"/>
  <c r="P234" i="4"/>
  <c r="P233" i="4"/>
  <c r="P232" i="4"/>
  <c r="P231" i="4"/>
  <c r="P230" i="4"/>
  <c r="P229" i="4"/>
  <c r="P228" i="4"/>
  <c r="P227" i="4"/>
  <c r="P226" i="4"/>
  <c r="P225" i="4"/>
  <c r="P224" i="4"/>
  <c r="P223" i="4"/>
  <c r="P222" i="4"/>
  <c r="P221" i="4"/>
  <c r="P220" i="4"/>
  <c r="P219" i="4"/>
  <c r="P218" i="4"/>
  <c r="P217" i="4"/>
  <c r="P216" i="4"/>
  <c r="P215" i="4"/>
  <c r="P214" i="4"/>
  <c r="P213" i="4"/>
  <c r="P212" i="4"/>
  <c r="P211" i="4"/>
  <c r="P210" i="4"/>
  <c r="P209" i="4"/>
  <c r="P208" i="4"/>
  <c r="P207" i="4"/>
  <c r="P206" i="4"/>
  <c r="P205" i="4"/>
  <c r="P204" i="4"/>
  <c r="P203" i="4"/>
  <c r="P201" i="4"/>
  <c r="P200" i="4"/>
  <c r="P199" i="4"/>
  <c r="P198" i="4"/>
  <c r="P197" i="4"/>
  <c r="P196" i="4"/>
  <c r="P195" i="4"/>
  <c r="P194" i="4"/>
  <c r="P193" i="4"/>
  <c r="P192" i="4"/>
  <c r="P191" i="4"/>
  <c r="P190" i="4"/>
  <c r="P189" i="4"/>
  <c r="P188" i="4"/>
  <c r="P187" i="4"/>
  <c r="P186" i="4"/>
  <c r="P185" i="4"/>
  <c r="P184" i="4"/>
  <c r="P183" i="4"/>
  <c r="P182" i="4"/>
  <c r="P181" i="4"/>
  <c r="P180" i="4"/>
  <c r="P179" i="4"/>
  <c r="P178" i="4"/>
  <c r="P177" i="4"/>
  <c r="P176" i="4"/>
  <c r="P175" i="4"/>
  <c r="P174" i="4"/>
  <c r="P173" i="4"/>
  <c r="P172" i="4"/>
  <c r="P171" i="4"/>
  <c r="P170" i="4"/>
  <c r="P169" i="4"/>
  <c r="P168" i="4"/>
  <c r="P167" i="4"/>
  <c r="P166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P152" i="4"/>
  <c r="P151" i="4"/>
  <c r="P150" i="4"/>
  <c r="P149" i="4"/>
  <c r="P148" i="4"/>
  <c r="P147" i="4"/>
  <c r="P146" i="4"/>
  <c r="P145" i="4"/>
  <c r="P144" i="4"/>
  <c r="P143" i="4"/>
  <c r="P142" i="4"/>
  <c r="P141" i="4"/>
  <c r="P140" i="4"/>
  <c r="P139" i="4"/>
  <c r="P138" i="4"/>
  <c r="P137" i="4"/>
  <c r="P136" i="4"/>
  <c r="P135" i="4"/>
  <c r="P134" i="4"/>
  <c r="P133" i="4"/>
  <c r="P132" i="4"/>
  <c r="P131" i="4"/>
  <c r="P130" i="4"/>
  <c r="P129" i="4"/>
  <c r="P128" i="4"/>
  <c r="P127" i="4"/>
  <c r="P126" i="4"/>
  <c r="P125" i="4"/>
  <c r="P124" i="4"/>
  <c r="P123" i="4"/>
  <c r="P122" i="4"/>
  <c r="P121" i="4"/>
  <c r="P120" i="4"/>
  <c r="P119" i="4"/>
  <c r="P118" i="4"/>
  <c r="P117" i="4"/>
  <c r="P116" i="4"/>
  <c r="P115" i="4"/>
  <c r="P114" i="4"/>
  <c r="P113" i="4"/>
  <c r="P111" i="4"/>
  <c r="P110" i="4"/>
  <c r="P109" i="4"/>
  <c r="P108" i="4"/>
  <c r="P107" i="4"/>
  <c r="P106" i="4"/>
  <c r="P105" i="4"/>
  <c r="P104" i="4"/>
  <c r="P103" i="4"/>
  <c r="P102" i="4"/>
  <c r="P101" i="4"/>
  <c r="P100" i="4"/>
  <c r="P99" i="4"/>
  <c r="P98" i="4"/>
  <c r="P97" i="4"/>
  <c r="P96" i="4"/>
  <c r="P95" i="4"/>
  <c r="P94" i="4"/>
  <c r="P93" i="4"/>
  <c r="P92" i="4"/>
  <c r="P91" i="4"/>
  <c r="P90" i="4"/>
  <c r="P89" i="4"/>
  <c r="P88" i="4"/>
  <c r="P87" i="4"/>
  <c r="P86" i="4"/>
  <c r="P85" i="4"/>
  <c r="P84" i="4"/>
  <c r="P83" i="4"/>
  <c r="P82" i="4"/>
  <c r="P81" i="4"/>
  <c r="P80" i="4"/>
  <c r="P79" i="4"/>
  <c r="P78" i="4"/>
  <c r="P77" i="4"/>
  <c r="P76" i="4"/>
  <c r="P75" i="4"/>
  <c r="P74" i="4"/>
  <c r="P73" i="4"/>
  <c r="P72" i="4"/>
  <c r="P71" i="4"/>
  <c r="P70" i="4"/>
  <c r="P69" i="4"/>
  <c r="P68" i="4"/>
  <c r="P67" i="4"/>
  <c r="P66" i="4"/>
  <c r="P65" i="4"/>
  <c r="P64" i="4"/>
  <c r="P63" i="4"/>
  <c r="P62" i="4"/>
  <c r="P61" i="4"/>
  <c r="P60" i="4"/>
  <c r="P59" i="4"/>
  <c r="P58" i="4"/>
  <c r="P57" i="4"/>
  <c r="P56" i="4"/>
  <c r="P55" i="4"/>
  <c r="P54" i="4"/>
  <c r="P53" i="4"/>
  <c r="P52" i="4"/>
  <c r="P51" i="4"/>
  <c r="P50" i="4"/>
  <c r="P49" i="4"/>
  <c r="P48" i="4"/>
  <c r="P47" i="4"/>
  <c r="P46" i="4"/>
  <c r="P45" i="4"/>
  <c r="P44" i="4"/>
  <c r="P43" i="4"/>
  <c r="P42" i="4"/>
  <c r="P41" i="4"/>
  <c r="P40" i="4"/>
  <c r="P39" i="4"/>
  <c r="P38" i="4"/>
  <c r="P37" i="4"/>
  <c r="P36" i="4"/>
  <c r="P35" i="4"/>
  <c r="P34" i="4"/>
  <c r="P33" i="4"/>
  <c r="P32" i="4"/>
  <c r="P31" i="4"/>
  <c r="P30" i="4"/>
  <c r="P29" i="4"/>
  <c r="P28" i="4"/>
  <c r="P27" i="4"/>
  <c r="P26" i="4"/>
  <c r="P25" i="4"/>
  <c r="P24" i="4"/>
  <c r="P23" i="4"/>
  <c r="P22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J400" i="4"/>
  <c r="J399" i="4"/>
  <c r="J398" i="4"/>
  <c r="J397" i="4"/>
  <c r="J396" i="4"/>
  <c r="J395" i="4"/>
  <c r="J394" i="4"/>
  <c r="J393" i="4"/>
  <c r="J392" i="4"/>
  <c r="J391" i="4"/>
  <c r="J390" i="4"/>
  <c r="J389" i="4"/>
  <c r="J388" i="4"/>
  <c r="J387" i="4"/>
  <c r="J386" i="4"/>
  <c r="J385" i="4"/>
  <c r="J384" i="4"/>
  <c r="J383" i="4"/>
  <c r="J382" i="4"/>
  <c r="J380" i="4"/>
  <c r="J379" i="4"/>
  <c r="J378" i="4"/>
  <c r="J377" i="4"/>
  <c r="J376" i="4"/>
  <c r="J375" i="4"/>
  <c r="J374" i="4"/>
  <c r="J373" i="4"/>
  <c r="J372" i="4"/>
  <c r="J371" i="4"/>
  <c r="J370" i="4"/>
  <c r="J369" i="4"/>
  <c r="J368" i="4"/>
  <c r="J367" i="4"/>
  <c r="J366" i="4"/>
  <c r="J365" i="4"/>
  <c r="J364" i="4"/>
  <c r="J363" i="4"/>
  <c r="J362" i="4"/>
  <c r="J361" i="4"/>
  <c r="J360" i="4"/>
  <c r="J359" i="4"/>
  <c r="J358" i="4"/>
  <c r="J357" i="4"/>
  <c r="J356" i="4"/>
  <c r="J355" i="4"/>
  <c r="J354" i="4"/>
  <c r="J353" i="4"/>
  <c r="J352" i="4"/>
  <c r="J351" i="4"/>
  <c r="J350" i="4"/>
  <c r="J349" i="4"/>
  <c r="J348" i="4"/>
  <c r="J347" i="4"/>
  <c r="J346" i="4"/>
  <c r="J345" i="4"/>
  <c r="J344" i="4"/>
  <c r="J343" i="4"/>
  <c r="J342" i="4"/>
  <c r="J341" i="4"/>
  <c r="J340" i="4"/>
  <c r="J339" i="4"/>
  <c r="J338" i="4"/>
  <c r="J337" i="4"/>
  <c r="J336" i="4"/>
  <c r="J335" i="4"/>
  <c r="J334" i="4"/>
  <c r="J333" i="4"/>
  <c r="J332" i="4"/>
  <c r="J331" i="4"/>
  <c r="J330" i="4"/>
  <c r="J329" i="4"/>
  <c r="J328" i="4"/>
  <c r="J327" i="4"/>
  <c r="J326" i="4"/>
  <c r="J325" i="4"/>
  <c r="J324" i="4"/>
  <c r="J323" i="4"/>
  <c r="J322" i="4"/>
  <c r="J321" i="4"/>
  <c r="J320" i="4"/>
  <c r="J319" i="4"/>
  <c r="J318" i="4"/>
  <c r="J317" i="4"/>
  <c r="J316" i="4"/>
  <c r="J315" i="4"/>
  <c r="J314" i="4"/>
  <c r="J313" i="4"/>
  <c r="J312" i="4"/>
  <c r="J311" i="4"/>
  <c r="J310" i="4"/>
  <c r="J309" i="4"/>
  <c r="J308" i="4"/>
  <c r="J307" i="4"/>
  <c r="J306" i="4"/>
  <c r="J305" i="4"/>
  <c r="J304" i="4"/>
  <c r="J303" i="4"/>
  <c r="J302" i="4"/>
  <c r="J301" i="4"/>
  <c r="J300" i="4"/>
  <c r="J299" i="4"/>
  <c r="J298" i="4"/>
  <c r="J297" i="4"/>
  <c r="J296" i="4"/>
  <c r="J295" i="4"/>
  <c r="J294" i="4"/>
  <c r="J293" i="4"/>
  <c r="J292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H469" i="4"/>
  <c r="H468" i="4"/>
  <c r="H467" i="4"/>
  <c r="H466" i="4"/>
  <c r="H465" i="4"/>
  <c r="H464" i="4"/>
  <c r="H463" i="4"/>
  <c r="H462" i="4"/>
  <c r="H461" i="4"/>
  <c r="H460" i="4"/>
  <c r="H459" i="4"/>
  <c r="H458" i="4"/>
  <c r="H457" i="4"/>
  <c r="H456" i="4"/>
  <c r="H455" i="4"/>
  <c r="H454" i="4"/>
  <c r="H453" i="4"/>
  <c r="H452" i="4"/>
  <c r="H451" i="4"/>
  <c r="H450" i="4"/>
  <c r="H449" i="4"/>
  <c r="H448" i="4"/>
  <c r="H447" i="4"/>
  <c r="H446" i="4"/>
  <c r="H445" i="4"/>
  <c r="H444" i="4"/>
  <c r="H443" i="4"/>
  <c r="H442" i="4"/>
  <c r="H441" i="4"/>
  <c r="H440" i="4"/>
  <c r="H439" i="4"/>
  <c r="H438" i="4"/>
  <c r="H437" i="4"/>
  <c r="H436" i="4"/>
  <c r="H435" i="4"/>
  <c r="H434" i="4"/>
  <c r="H433" i="4"/>
  <c r="H432" i="4"/>
  <c r="H431" i="4"/>
  <c r="H430" i="4"/>
  <c r="H429" i="4"/>
  <c r="H428" i="4"/>
  <c r="H427" i="4"/>
  <c r="H426" i="4"/>
  <c r="H425" i="4"/>
  <c r="H424" i="4"/>
  <c r="H423" i="4"/>
  <c r="H422" i="4"/>
  <c r="H421" i="4"/>
  <c r="H420" i="4"/>
  <c r="H419" i="4"/>
  <c r="H418" i="4"/>
  <c r="H417" i="4"/>
  <c r="H416" i="4"/>
  <c r="H415" i="4"/>
  <c r="H414" i="4"/>
  <c r="H413" i="4"/>
  <c r="H412" i="4"/>
  <c r="H411" i="4"/>
  <c r="H410" i="4"/>
  <c r="H409" i="4"/>
  <c r="H408" i="4"/>
  <c r="H407" i="4"/>
  <c r="H406" i="4"/>
  <c r="H405" i="4"/>
  <c r="H404" i="4"/>
  <c r="H403" i="4"/>
  <c r="H402" i="4"/>
  <c r="H401" i="4"/>
  <c r="H400" i="4"/>
  <c r="H399" i="4"/>
  <c r="H398" i="4"/>
  <c r="H397" i="4"/>
  <c r="H396" i="4"/>
  <c r="H395" i="4"/>
  <c r="H394" i="4"/>
  <c r="H393" i="4"/>
  <c r="H392" i="4"/>
  <c r="H391" i="4"/>
  <c r="H390" i="4"/>
  <c r="H389" i="4"/>
  <c r="H388" i="4"/>
  <c r="H387" i="4"/>
  <c r="H386" i="4"/>
  <c r="H385" i="4"/>
  <c r="H384" i="4"/>
  <c r="H383" i="4"/>
  <c r="H382" i="4"/>
  <c r="H380" i="4"/>
  <c r="H379" i="4"/>
  <c r="H378" i="4"/>
  <c r="H377" i="4"/>
  <c r="H376" i="4"/>
  <c r="H375" i="4"/>
  <c r="H374" i="4"/>
  <c r="H373" i="4"/>
  <c r="H372" i="4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C7" i="4"/>
  <c r="D7" i="4"/>
  <c r="E7" i="4"/>
  <c r="F7" i="4"/>
  <c r="F6" i="4"/>
  <c r="E6" i="4"/>
  <c r="D6" i="4"/>
  <c r="C6" i="4"/>
  <c r="F5" i="4"/>
  <c r="E5" i="4"/>
  <c r="D5" i="4"/>
  <c r="C5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B4" i="4"/>
  <c r="B2" i="4"/>
  <c r="D9" i="4" l="1"/>
  <c r="E13" i="4"/>
  <c r="C8" i="4"/>
  <c r="F12" i="4"/>
  <c r="E12" i="4"/>
  <c r="C12" i="4"/>
  <c r="D14" i="4"/>
  <c r="C14" i="4"/>
  <c r="F14" i="4"/>
  <c r="F13" i="4"/>
  <c r="D13" i="4"/>
  <c r="F10" i="4"/>
  <c r="D12" i="4"/>
  <c r="C13" i="4"/>
  <c r="D10" i="4"/>
  <c r="E14" i="4"/>
  <c r="F11" i="4"/>
  <c r="C11" i="4"/>
  <c r="D11" i="4"/>
  <c r="E11" i="4"/>
  <c r="E10" i="4"/>
  <c r="C10" i="4"/>
  <c r="F9" i="4"/>
  <c r="E9" i="4"/>
  <c r="C9" i="4"/>
  <c r="F8" i="4"/>
  <c r="D8" i="4"/>
  <c r="E8" i="4"/>
  <c r="I7" i="4"/>
  <c r="L7" i="4" s="1"/>
  <c r="H7" i="4"/>
  <c r="O7" i="4" s="1"/>
  <c r="J7" i="4"/>
  <c r="M7" i="4" s="1"/>
  <c r="I6" i="4"/>
  <c r="L6" i="4" s="1"/>
  <c r="G6" i="4"/>
  <c r="N6" i="4" s="1"/>
  <c r="K6" i="4"/>
  <c r="J6" i="4"/>
  <c r="M6" i="4" s="1"/>
  <c r="K7" i="4"/>
  <c r="G7" i="4"/>
  <c r="N7" i="4" s="1"/>
  <c r="H6" i="4"/>
  <c r="O6" i="4" s="1"/>
  <c r="K5" i="4"/>
  <c r="I5" i="4"/>
  <c r="L5" i="4" s="1"/>
  <c r="H5" i="4"/>
  <c r="O5" i="4" s="1"/>
  <c r="J5" i="4"/>
  <c r="M5" i="4" s="1"/>
  <c r="G5" i="4"/>
  <c r="N5" i="4" s="1"/>
  <c r="J12" i="4" l="1"/>
  <c r="M12" i="4" s="1"/>
  <c r="H12" i="4"/>
  <c r="O12" i="4" s="1"/>
  <c r="H10" i="4"/>
  <c r="O10" i="4" s="1"/>
  <c r="I10" i="4"/>
  <c r="L10" i="4" s="1"/>
  <c r="J13" i="4"/>
  <c r="M13" i="4" s="1"/>
  <c r="H14" i="4"/>
  <c r="O14" i="4" s="1"/>
  <c r="G12" i="4"/>
  <c r="N12" i="4" s="1"/>
  <c r="K12" i="4"/>
  <c r="I12" i="4"/>
  <c r="L12" i="4" s="1"/>
  <c r="I14" i="4"/>
  <c r="L14" i="4" s="1"/>
  <c r="J11" i="4"/>
  <c r="M11" i="4" s="1"/>
  <c r="K13" i="4"/>
  <c r="I9" i="4"/>
  <c r="L9" i="4" s="1"/>
  <c r="J10" i="4"/>
  <c r="M10" i="4" s="1"/>
  <c r="J14" i="4"/>
  <c r="M14" i="4" s="1"/>
  <c r="H13" i="4"/>
  <c r="O13" i="4" s="1"/>
  <c r="I13" i="4"/>
  <c r="L13" i="4" s="1"/>
  <c r="I8" i="4"/>
  <c r="L8" i="4" s="1"/>
  <c r="G13" i="4"/>
  <c r="N13" i="4" s="1"/>
  <c r="H8" i="4"/>
  <c r="O8" i="4" s="1"/>
  <c r="H9" i="4"/>
  <c r="O9" i="4" s="1"/>
  <c r="I11" i="4"/>
  <c r="L11" i="4" s="1"/>
  <c r="K14" i="4"/>
  <c r="G14" i="4"/>
  <c r="N14" i="4" s="1"/>
  <c r="K11" i="4"/>
  <c r="H11" i="4"/>
  <c r="O11" i="4" s="1"/>
  <c r="G11" i="4"/>
  <c r="N11" i="4" s="1"/>
  <c r="K10" i="4"/>
  <c r="G10" i="4"/>
  <c r="N10" i="4" s="1"/>
  <c r="G9" i="4"/>
  <c r="N9" i="4" s="1"/>
  <c r="K9" i="4"/>
  <c r="J9" i="4"/>
  <c r="M9" i="4" s="1"/>
  <c r="J8" i="4"/>
  <c r="M8" i="4" s="1"/>
  <c r="K8" i="4"/>
  <c r="G8" i="4"/>
  <c r="N8" i="4" s="1"/>
</calcChain>
</file>

<file path=xl/sharedStrings.xml><?xml version="1.0" encoding="utf-8"?>
<sst xmlns="http://schemas.openxmlformats.org/spreadsheetml/2006/main" count="1498" uniqueCount="553">
  <si>
    <t>小葉原位癌變為良性 編號02085_LLAT</t>
    <phoneticPr fontId="2" type="noConversion"/>
  </si>
  <si>
    <t>3_813_0沒有病理資料，刪除</t>
    <phoneticPr fontId="2" type="noConversion"/>
  </si>
  <si>
    <t>1058多一個 刪除</t>
    <phoneticPr fontId="2" type="noConversion"/>
  </si>
  <si>
    <t>3_813_0</t>
  </si>
  <si>
    <t>reader 1：刘丽娴（2年HHUS，2年ABUS）</t>
    <phoneticPr fontId="3" type="noConversion"/>
  </si>
  <si>
    <t>Split 3, 1</t>
    <phoneticPr fontId="2" type="noConversion"/>
  </si>
  <si>
    <t>3_1058_1</t>
  </si>
  <si>
    <t>reader 2：向慧玲（3年HHUS，3年ABUS）</t>
    <phoneticPr fontId="3" type="noConversion"/>
  </si>
  <si>
    <t>reader 3：林僖（18年HHUS，5年ABUS）</t>
    <phoneticPr fontId="3" type="noConversion"/>
  </si>
  <si>
    <t>split1</t>
    <phoneticPr fontId="2" type="noConversion"/>
  </si>
  <si>
    <t>B</t>
    <phoneticPr fontId="2" type="noConversion"/>
  </si>
  <si>
    <t>M</t>
    <phoneticPr fontId="2" type="noConversion"/>
  </si>
  <si>
    <t>bn_3D Capsule</t>
    <phoneticPr fontId="2" type="noConversion"/>
  </si>
  <si>
    <t>Proposed</t>
    <phoneticPr fontId="2" type="noConversion"/>
  </si>
  <si>
    <t>3D Resnet</t>
    <phoneticPr fontId="2" type="noConversion"/>
  </si>
  <si>
    <t>3DDenseNet</t>
  </si>
  <si>
    <t>2D_CapsNet</t>
    <phoneticPr fontId="2" type="noConversion"/>
  </si>
  <si>
    <t>2D_Resnet</t>
  </si>
  <si>
    <t>2D_DenseNet</t>
  </si>
  <si>
    <t>Doctor_1</t>
    <phoneticPr fontId="2" type="noConversion"/>
  </si>
  <si>
    <t>Doctor_2</t>
    <phoneticPr fontId="2" type="noConversion"/>
  </si>
  <si>
    <t>Doctor_3</t>
    <phoneticPr fontId="2" type="noConversion"/>
  </si>
  <si>
    <t>929_RAP</t>
  </si>
  <si>
    <t>1000_LAP</t>
  </si>
  <si>
    <t>02286_LLAT</t>
  </si>
  <si>
    <t>852_RAP</t>
  </si>
  <si>
    <t>02681_LAP</t>
  </si>
  <si>
    <t>02065_RLAT</t>
  </si>
  <si>
    <t>02111_RAP</t>
  </si>
  <si>
    <t>02618_RAP</t>
  </si>
  <si>
    <t>02204_LAP</t>
  </si>
  <si>
    <t>02417_RMED</t>
  </si>
  <si>
    <t>969_RAP</t>
  </si>
  <si>
    <t>1017_LAP</t>
  </si>
  <si>
    <t>02361_LLAT</t>
  </si>
  <si>
    <t>02674_RAP</t>
  </si>
  <si>
    <t>02635_RAP</t>
  </si>
  <si>
    <t>02663_LAP</t>
  </si>
  <si>
    <t>02441_RMED</t>
  </si>
  <si>
    <t>02421_LAP</t>
  </si>
  <si>
    <t>XB001_RAP</t>
  </si>
  <si>
    <t>960_LAP</t>
  </si>
  <si>
    <t>822_RAP</t>
  </si>
  <si>
    <t>968_LAP</t>
  </si>
  <si>
    <t>02311_RAP</t>
  </si>
  <si>
    <t>02356_RAP</t>
  </si>
  <si>
    <t>02189_RAP</t>
  </si>
  <si>
    <t>02047_RAP</t>
  </si>
  <si>
    <t>885_RAP</t>
  </si>
  <si>
    <t>02351_RAP</t>
  </si>
  <si>
    <t>02221_RAP2</t>
  </si>
  <si>
    <t>02674_RMED</t>
  </si>
  <si>
    <t>02096_RAP</t>
  </si>
  <si>
    <t>02188_RMED</t>
  </si>
  <si>
    <t>02618_LLAT</t>
  </si>
  <si>
    <t>848_RAP</t>
  </si>
  <si>
    <t>890_RLAT</t>
  </si>
  <si>
    <t>02312_RAP</t>
  </si>
  <si>
    <t>02657_LLAT2</t>
  </si>
  <si>
    <t>02383_LAP2</t>
  </si>
  <si>
    <t>02657_RMED</t>
  </si>
  <si>
    <t>02341_LAP</t>
  </si>
  <si>
    <t>02705_LAP</t>
  </si>
  <si>
    <t>02495_LLAT</t>
  </si>
  <si>
    <t>02628_RLAT</t>
  </si>
  <si>
    <t>02189_LLAT</t>
  </si>
  <si>
    <t>85    0000307992_RAP</t>
  </si>
  <si>
    <t>02220_RAP</t>
  </si>
  <si>
    <t>02370_RAP</t>
  </si>
  <si>
    <t>02279_RAP</t>
  </si>
  <si>
    <t>02254_LAP</t>
  </si>
  <si>
    <t>02260_RAP</t>
  </si>
  <si>
    <t>02268_LAP</t>
  </si>
  <si>
    <t>02210_LAP</t>
  </si>
  <si>
    <t>02212_RLAT</t>
  </si>
  <si>
    <t>3_917_0</t>
  </si>
  <si>
    <t>3_1076_0</t>
  </si>
  <si>
    <t>3_1039_0</t>
  </si>
  <si>
    <t>02205_LAP</t>
  </si>
  <si>
    <t>02278_RAP2</t>
  </si>
  <si>
    <t>3_894_0</t>
  </si>
  <si>
    <t>3_1051_0</t>
  </si>
  <si>
    <t>3_964_0</t>
  </si>
  <si>
    <t>02230_RAP</t>
  </si>
  <si>
    <t>02257_LAP</t>
  </si>
  <si>
    <t>02215_LLAT</t>
  </si>
  <si>
    <t>02329_LAP</t>
  </si>
  <si>
    <t>02216_RMED</t>
  </si>
  <si>
    <t>68  0000306502_RAP</t>
  </si>
  <si>
    <t>3_1015_0</t>
  </si>
  <si>
    <t>3_1005_1</t>
  </si>
  <si>
    <t>3_889_0</t>
  </si>
  <si>
    <t>3_839_1</t>
  </si>
  <si>
    <t>91  00m1620020_RAP</t>
  </si>
  <si>
    <t>22-00m1579854_RAP</t>
  </si>
  <si>
    <t>59   0000305922_RMED</t>
  </si>
  <si>
    <t>02534_LLAT</t>
  </si>
  <si>
    <t>02283_RAP</t>
  </si>
  <si>
    <t>3_805_0</t>
  </si>
  <si>
    <t>3_985_0</t>
  </si>
  <si>
    <t>3_937_0</t>
  </si>
  <si>
    <t>3_837_0</t>
  </si>
  <si>
    <t>3_966_0</t>
  </si>
  <si>
    <t>3_1005_0</t>
  </si>
  <si>
    <t>9-00m1577681_RAP</t>
  </si>
  <si>
    <t>02229_LAP</t>
  </si>
  <si>
    <t>57     0000305839_LAP</t>
  </si>
  <si>
    <t>3_906_0</t>
  </si>
  <si>
    <t>3_891_0</t>
  </si>
  <si>
    <t>3_965_1</t>
  </si>
  <si>
    <t>3_1036_0</t>
  </si>
  <si>
    <t>3_958_0</t>
  </si>
  <si>
    <t>split2</t>
    <phoneticPr fontId="2" type="noConversion"/>
  </si>
  <si>
    <t>860_RAP</t>
  </si>
  <si>
    <t>928_LAP</t>
    <phoneticPr fontId="2" type="noConversion"/>
  </si>
  <si>
    <t>02036_RLAT</t>
  </si>
  <si>
    <t>02088_LAP</t>
  </si>
  <si>
    <t>1016_RAP</t>
  </si>
  <si>
    <t>02533_LAP</t>
  </si>
  <si>
    <t>02488_RMED</t>
  </si>
  <si>
    <t>02365_LAP</t>
  </si>
  <si>
    <t>02414_LAP</t>
  </si>
  <si>
    <t>02364_RAP</t>
  </si>
  <si>
    <t>02413_RAP</t>
  </si>
  <si>
    <t>02133_LMED</t>
  </si>
  <si>
    <t>1068_LAP</t>
  </si>
  <si>
    <t>892_LAP</t>
  </si>
  <si>
    <t>02071_LAP</t>
  </si>
  <si>
    <t>02179_RAP</t>
  </si>
  <si>
    <t>02274_RAP</t>
  </si>
  <si>
    <t>02291_LMED</t>
  </si>
  <si>
    <t>02356_LLAT</t>
  </si>
  <si>
    <t>02136_RLAT</t>
  </si>
  <si>
    <t>979_RAP</t>
  </si>
  <si>
    <t>853_LAP</t>
  </si>
  <si>
    <t>02672_LAP</t>
  </si>
  <si>
    <t>978_LAP</t>
  </si>
  <si>
    <t>1049_RAP</t>
  </si>
  <si>
    <t>981_RAP</t>
  </si>
  <si>
    <t>02321_RAP</t>
  </si>
  <si>
    <t>02669_LAP</t>
  </si>
  <si>
    <t>02324_RLAT</t>
  </si>
  <si>
    <t>02414_RAP</t>
  </si>
  <si>
    <t>02389_LAP</t>
  </si>
  <si>
    <t>02068_RMED</t>
  </si>
  <si>
    <t>02713_RAP</t>
  </si>
  <si>
    <t>904_RAP</t>
  </si>
  <si>
    <t>884_LAP</t>
  </si>
  <si>
    <t>1072_RAP</t>
  </si>
  <si>
    <t>1013_RAP</t>
  </si>
  <si>
    <t>02646_RAP</t>
  </si>
  <si>
    <t>02191_RLAT</t>
  </si>
  <si>
    <t>02310_RAP</t>
  </si>
  <si>
    <t>02149_RAP</t>
  </si>
  <si>
    <t>02165_LAP</t>
  </si>
  <si>
    <t>02274_RMED</t>
  </si>
  <si>
    <t>02080_RAP</t>
  </si>
  <si>
    <t>02085_LLAT</t>
    <phoneticPr fontId="2" type="noConversion"/>
  </si>
  <si>
    <t>02261_RLAT</t>
  </si>
  <si>
    <t>02234_RAP</t>
  </si>
  <si>
    <t>02211_RAP</t>
  </si>
  <si>
    <t>3_832_0</t>
  </si>
  <si>
    <t>3_1028_0</t>
  </si>
  <si>
    <t>3_980_0</t>
  </si>
  <si>
    <t>3_859_0</t>
  </si>
  <si>
    <t>3_1079_0</t>
  </si>
  <si>
    <t>3_977_0</t>
  </si>
  <si>
    <t>02185_RAP</t>
  </si>
  <si>
    <t>02236_LAP</t>
  </si>
  <si>
    <t>02005_RMED</t>
  </si>
  <si>
    <t>02042_RAP</t>
  </si>
  <si>
    <t>10-159800_RAP</t>
  </si>
  <si>
    <t>3_812_0</t>
  </si>
  <si>
    <t>3_961_0</t>
  </si>
  <si>
    <t>3_930_0</t>
  </si>
  <si>
    <t>3_967_0</t>
  </si>
  <si>
    <t>3_894_1</t>
  </si>
  <si>
    <t>3_881_0</t>
  </si>
  <si>
    <t>02222_RLAT</t>
  </si>
  <si>
    <t>02112_RLAT</t>
  </si>
  <si>
    <t>67  00m1609970_LAP</t>
  </si>
  <si>
    <t>50    304967_RAP</t>
  </si>
  <si>
    <t>3_995_0</t>
  </si>
  <si>
    <t>3_825_0</t>
  </si>
  <si>
    <t>02400_LAP</t>
  </si>
  <si>
    <t>02298_RAP</t>
  </si>
  <si>
    <t>52    00m1453762_LMED</t>
  </si>
  <si>
    <t>02224_RAP</t>
  </si>
  <si>
    <t>02352_LAP</t>
  </si>
  <si>
    <t>3_1042_0</t>
  </si>
  <si>
    <t>3_1011_0</t>
  </si>
  <si>
    <t>3_844_0</t>
  </si>
  <si>
    <t>3_826_0</t>
  </si>
  <si>
    <t>02103_RMED</t>
  </si>
  <si>
    <t>02092_RLAT</t>
  </si>
  <si>
    <t>02371_RAP</t>
  </si>
  <si>
    <t>82   00c1147955_LMED</t>
  </si>
  <si>
    <t>45   00m1602637_LAP</t>
  </si>
  <si>
    <t>02237_RAP</t>
  </si>
  <si>
    <t>02259_LMED</t>
  </si>
  <si>
    <t>3_962_0</t>
  </si>
  <si>
    <t>3_983_0</t>
  </si>
  <si>
    <t>split3</t>
    <phoneticPr fontId="2" type="noConversion"/>
  </si>
  <si>
    <t>915_LAP</t>
  </si>
  <si>
    <t>1001_LAP</t>
  </si>
  <si>
    <t>02020_RLAT</t>
  </si>
  <si>
    <t>02332_LAP</t>
  </si>
  <si>
    <t>02082_LAP</t>
  </si>
  <si>
    <t>02353_RMED</t>
  </si>
  <si>
    <t>02199_LMED</t>
  </si>
  <si>
    <t>02451_LAP</t>
  </si>
  <si>
    <t>909_RAP</t>
  </si>
  <si>
    <t>02262_LAP</t>
  </si>
  <si>
    <t>965_LAP</t>
  </si>
  <si>
    <t>02120_LMED</t>
  </si>
  <si>
    <t>02630_LAP</t>
  </si>
  <si>
    <t>02324_LAP</t>
  </si>
  <si>
    <t>02292_RMED</t>
  </si>
  <si>
    <t>1006_LAP</t>
  </si>
  <si>
    <t>920_RAP2</t>
  </si>
  <si>
    <t>952_RAP</t>
  </si>
  <si>
    <t>02300_LAP</t>
  </si>
  <si>
    <t>02048_LAP</t>
  </si>
  <si>
    <t>02399_LLAT</t>
  </si>
  <si>
    <t>1037_LAP</t>
  </si>
  <si>
    <t>1058_LLAT</t>
  </si>
  <si>
    <t>02402_RAP</t>
  </si>
  <si>
    <t>981_LLAT</t>
  </si>
  <si>
    <t>943_RAP</t>
  </si>
  <si>
    <t>02059_LAP</t>
  </si>
  <si>
    <t>02274_LLAT</t>
  </si>
  <si>
    <t>02597_RAP</t>
  </si>
  <si>
    <t>02342_RAP</t>
  </si>
  <si>
    <t>02522_LAP</t>
  </si>
  <si>
    <t>02520_RLAT</t>
  </si>
  <si>
    <t>02174_RLAT</t>
  </si>
  <si>
    <t>02055_RAP</t>
  </si>
  <si>
    <t>1081_LLAT</t>
  </si>
  <si>
    <t>1063_LAP</t>
  </si>
  <si>
    <t>932_LMED</t>
  </si>
  <si>
    <t>1025_LAP</t>
  </si>
  <si>
    <t>02495_LMED</t>
  </si>
  <si>
    <t>02043_LAP</t>
  </si>
  <si>
    <t>02096_LAP</t>
  </si>
  <si>
    <t>02705_RAP</t>
  </si>
  <si>
    <t>02136_LLAT</t>
  </si>
  <si>
    <t>35-0000304676_RLAT</t>
  </si>
  <si>
    <t>02087_LMED</t>
  </si>
  <si>
    <t>02002_LAP</t>
  </si>
  <si>
    <t>02343_LAP</t>
  </si>
  <si>
    <t>02271_LAP</t>
  </si>
  <si>
    <t>02219_LLAT</t>
  </si>
  <si>
    <t>02124_RLAT</t>
  </si>
  <si>
    <t>02266_RAP</t>
  </si>
  <si>
    <t>3_946_0</t>
  </si>
  <si>
    <t>3_1077_0</t>
  </si>
  <si>
    <t>02338_RAP</t>
  </si>
  <si>
    <t>02304_LAP</t>
  </si>
  <si>
    <t>02261_LLAT</t>
  </si>
  <si>
    <t>02091_LAP</t>
  </si>
  <si>
    <t>02244_RAP</t>
  </si>
  <si>
    <t>3_942_0</t>
  </si>
  <si>
    <t>3_985_2</t>
  </si>
  <si>
    <t>3_929_0</t>
  </si>
  <si>
    <t>3_949_0</t>
  </si>
  <si>
    <t>3_902_0</t>
  </si>
  <si>
    <t>02202_RAP</t>
  </si>
  <si>
    <t>02369_RAP</t>
  </si>
  <si>
    <t>02057_RAP</t>
  </si>
  <si>
    <t>80   0000306892_LMED</t>
  </si>
  <si>
    <t>3_972_0</t>
  </si>
  <si>
    <t>3_959_0</t>
  </si>
  <si>
    <t>3_954_0</t>
  </si>
  <si>
    <t>3_804_0</t>
  </si>
  <si>
    <t>3_944_0</t>
  </si>
  <si>
    <t>02206_LLAT</t>
  </si>
  <si>
    <t>02084_LLAT</t>
  </si>
  <si>
    <t>3_1002_0</t>
  </si>
  <si>
    <t>3_829_1</t>
  </si>
  <si>
    <t>3_1065_0</t>
  </si>
  <si>
    <t>39-abus-00m1598715_LMED</t>
  </si>
  <si>
    <t>02265_RLAT</t>
  </si>
  <si>
    <t>3_839_0</t>
  </si>
  <si>
    <t>3_985_1</t>
  </si>
  <si>
    <t>3_834_0</t>
  </si>
  <si>
    <t>3_905_0</t>
  </si>
  <si>
    <t>3_951_0</t>
  </si>
  <si>
    <t>3_997_0</t>
  </si>
  <si>
    <t>3_950_0</t>
  </si>
  <si>
    <t>3_921_0</t>
  </si>
  <si>
    <t>3_941_0</t>
  </si>
  <si>
    <t>split4</t>
    <phoneticPr fontId="2" type="noConversion"/>
  </si>
  <si>
    <t>02358_LAP</t>
  </si>
  <si>
    <t>890_LAP</t>
  </si>
  <si>
    <t>02541_LLAT</t>
  </si>
  <si>
    <t>02626_LLAT</t>
  </si>
  <si>
    <t>02441_LMED</t>
  </si>
  <si>
    <t>846_RLAT</t>
  </si>
  <si>
    <t>879_LAP</t>
  </si>
  <si>
    <t>02221_RAP</t>
  </si>
  <si>
    <t>864_LAP</t>
  </si>
  <si>
    <t>02387_LAP</t>
  </si>
  <si>
    <t>02041_RAP</t>
  </si>
  <si>
    <t>02375_RAP</t>
  </si>
  <si>
    <t>02047_LMED</t>
  </si>
  <si>
    <t>02567_LAP</t>
  </si>
  <si>
    <t>02314_RLAT</t>
  </si>
  <si>
    <t>912_LAP</t>
  </si>
  <si>
    <t>920_RAP</t>
  </si>
  <si>
    <t>test040_LLAT</t>
  </si>
  <si>
    <t>02628_LLAT</t>
  </si>
  <si>
    <t>02104_RAP</t>
  </si>
  <si>
    <t>02535_LAP</t>
  </si>
  <si>
    <t>02024_LAP</t>
  </si>
  <si>
    <t>02591_LAP</t>
  </si>
  <si>
    <t>02300_LINF</t>
  </si>
  <si>
    <t>02480_RAP</t>
  </si>
  <si>
    <t>02320_LAP</t>
  </si>
  <si>
    <t>987_RAP</t>
  </si>
  <si>
    <t>907_RLAT</t>
  </si>
  <si>
    <t>882_RAP</t>
  </si>
  <si>
    <t>02102_RLAT</t>
  </si>
  <si>
    <t>02184_LAP</t>
  </si>
  <si>
    <t>1016_LAP</t>
  </si>
  <si>
    <t>895_LAP</t>
  </si>
  <si>
    <t>904_LAP</t>
  </si>
  <si>
    <t>02307_LAP</t>
  </si>
  <si>
    <t>02143_LAP</t>
  </si>
  <si>
    <t>1059_LLAT</t>
  </si>
  <si>
    <t>test023_LAP</t>
  </si>
  <si>
    <t>890_RAP</t>
  </si>
  <si>
    <t>865_RAP</t>
  </si>
  <si>
    <t>02652_RAP</t>
  </si>
  <si>
    <t>02305_RLAT</t>
  </si>
  <si>
    <t>02652_LAP</t>
  </si>
  <si>
    <t>02474_RAP</t>
  </si>
  <si>
    <t>02278_RAP</t>
  </si>
  <si>
    <t>02131_RAP</t>
  </si>
  <si>
    <t>62   00c1146581_LMED</t>
  </si>
  <si>
    <t>3_818_0</t>
  </si>
  <si>
    <t>3_828_0</t>
  </si>
  <si>
    <t>3_830_0</t>
  </si>
  <si>
    <t>3_926_0</t>
  </si>
  <si>
    <t>02218_RAP</t>
  </si>
  <si>
    <t>87   00m1617007_LAP</t>
  </si>
  <si>
    <t>02709_RAP</t>
  </si>
  <si>
    <t>02287_LAP</t>
  </si>
  <si>
    <t>92  00m1620369_RLAT</t>
  </si>
  <si>
    <t>02208_RLAT</t>
  </si>
  <si>
    <t>3_898_0</t>
  </si>
  <si>
    <t>3_948_0</t>
  </si>
  <si>
    <t>3_985_3</t>
  </si>
  <si>
    <t>3_test039_0</t>
  </si>
  <si>
    <t>3_1058_0</t>
  </si>
  <si>
    <t>94   00m1620218_RAP</t>
  </si>
  <si>
    <t>31-00m1599291_RAP</t>
  </si>
  <si>
    <t>77   00x000865_RAP</t>
  </si>
  <si>
    <t>3_911_0</t>
  </si>
  <si>
    <t>3_982_0</t>
  </si>
  <si>
    <t>3_1044_0</t>
  </si>
  <si>
    <t>3_989_0</t>
  </si>
  <si>
    <t>3_857_0</t>
  </si>
  <si>
    <t>3_836_0</t>
  </si>
  <si>
    <t>3_829_2</t>
  </si>
  <si>
    <t>71   0000306094_LAP</t>
  </si>
  <si>
    <t>02315_LAP</t>
  </si>
  <si>
    <t>02099_RLAT</t>
  </si>
  <si>
    <t>42  00m1602095_RAP</t>
  </si>
  <si>
    <t>3_1030_0</t>
  </si>
  <si>
    <t>3_1047_0</t>
  </si>
  <si>
    <t>3_940_0</t>
  </si>
  <si>
    <t>3_820_0</t>
  </si>
  <si>
    <t>3_843_0</t>
  </si>
  <si>
    <t>3_813_1</t>
  </si>
  <si>
    <t>3_1026_0</t>
  </si>
  <si>
    <t>02231_RAP</t>
  </si>
  <si>
    <t>02109_LAP</t>
  </si>
  <si>
    <t>02258_LAP</t>
  </si>
  <si>
    <t>3_1035_0</t>
  </si>
  <si>
    <t>3_935_0</t>
  </si>
  <si>
    <t>3_869_0</t>
  </si>
  <si>
    <t>split5</t>
    <phoneticPr fontId="2" type="noConversion"/>
  </si>
  <si>
    <t>02029_LLAT</t>
  </si>
  <si>
    <t>02361_LAP</t>
  </si>
  <si>
    <t>919_RLAT</t>
  </si>
  <si>
    <t>990_LAP</t>
  </si>
  <si>
    <t>02306_LAP</t>
  </si>
  <si>
    <t>1021_RAP</t>
  </si>
  <si>
    <t>02194_RAP</t>
  </si>
  <si>
    <t>02187_LLAT</t>
  </si>
  <si>
    <t>02642_LLAT</t>
  </si>
  <si>
    <t>02024_RLAT</t>
  </si>
  <si>
    <t>02462_RLAT</t>
  </si>
  <si>
    <t>1029_LAP</t>
  </si>
  <si>
    <t>1045_LAP</t>
  </si>
  <si>
    <t>965_RLAT</t>
  </si>
  <si>
    <t>984_LAP</t>
  </si>
  <si>
    <t>02111_RMED</t>
  </si>
  <si>
    <t>02340_LAP</t>
  </si>
  <si>
    <t>02496_RAP</t>
  </si>
  <si>
    <t>02101_RLAT</t>
  </si>
  <si>
    <t>02117_LAP</t>
  </si>
  <si>
    <t>02387_LAP2</t>
  </si>
  <si>
    <t>02350_RLAT</t>
  </si>
  <si>
    <t>1008_RLAT</t>
  </si>
  <si>
    <t>936_LAP</t>
  </si>
  <si>
    <t>02280_RAP</t>
  </si>
  <si>
    <t>02572_LAP</t>
  </si>
  <si>
    <t>02705_RLAT</t>
  </si>
  <si>
    <t>02313_LAP</t>
  </si>
  <si>
    <t>02383_LAP</t>
  </si>
  <si>
    <t>02416_RMED</t>
  </si>
  <si>
    <t>02245_LAP</t>
  </si>
  <si>
    <t>02083_LAP</t>
  </si>
  <si>
    <t>1071_LAP</t>
  </si>
  <si>
    <t>02678_LAP</t>
  </si>
  <si>
    <t>02033_LLAT</t>
  </si>
  <si>
    <t>02330_LMED</t>
  </si>
  <si>
    <t>02066_RMED</t>
  </si>
  <si>
    <t>979_LAP</t>
  </si>
  <si>
    <t>02048_RMED</t>
  </si>
  <si>
    <t>02670_RAP</t>
  </si>
  <si>
    <t>02079_RAP</t>
  </si>
  <si>
    <t>02657_LLAT</t>
  </si>
  <si>
    <t>02669_RAP</t>
  </si>
  <si>
    <t>44    00m1601546_LAP</t>
  </si>
  <si>
    <t>20-300343_RAP</t>
  </si>
  <si>
    <t>02252_RAP</t>
  </si>
  <si>
    <t>70   0000306230_RAP</t>
  </si>
  <si>
    <t>3_908_0</t>
  </si>
  <si>
    <t>3_1055_0</t>
  </si>
  <si>
    <t>48   0000305144_LAP</t>
  </si>
  <si>
    <t>02316_LAP</t>
  </si>
  <si>
    <t>02225_LAP</t>
  </si>
  <si>
    <t>02710_RAP</t>
  </si>
  <si>
    <t>02201_RLAT</t>
  </si>
  <si>
    <t>3_840_0</t>
  </si>
  <si>
    <t>3_1048_0</t>
  </si>
  <si>
    <t>3_854_0</t>
  </si>
  <si>
    <t>3_1066_0</t>
  </si>
  <si>
    <t>02308_LAP</t>
  </si>
  <si>
    <t>29-00m1599087_RLAT</t>
  </si>
  <si>
    <t>02295_RAP</t>
  </si>
  <si>
    <t>02264_RAP2_</t>
  </si>
  <si>
    <t>3_923_0</t>
  </si>
  <si>
    <t>3_897_0</t>
  </si>
  <si>
    <t>3_PF001_0</t>
  </si>
  <si>
    <t>3_1009_0</t>
  </si>
  <si>
    <t>3_938_0</t>
  </si>
  <si>
    <t>3_887_0</t>
  </si>
  <si>
    <t>3_1056_0</t>
  </si>
  <si>
    <t>02248_RAP</t>
  </si>
  <si>
    <t>96   00m1621485_RLAT</t>
  </si>
  <si>
    <t>02217_RAP</t>
  </si>
  <si>
    <t>02251_LAP</t>
  </si>
  <si>
    <t>02335_LAP</t>
  </si>
  <si>
    <t>3_1014_0</t>
  </si>
  <si>
    <t>3_988_0</t>
  </si>
  <si>
    <t>3_1074_0</t>
  </si>
  <si>
    <t>3_829_0</t>
  </si>
  <si>
    <t>3_1073_0</t>
  </si>
  <si>
    <t>83   00m1617498_RAP</t>
  </si>
  <si>
    <t>4-m1577986_RLAT</t>
  </si>
  <si>
    <t>56_LLAT</t>
  </si>
  <si>
    <t>41_RAP</t>
  </si>
  <si>
    <t>02382_LAP</t>
  </si>
  <si>
    <t>3_993_0</t>
  </si>
  <si>
    <t>3_1046_0</t>
  </si>
  <si>
    <t>3_903_0</t>
  </si>
  <si>
    <t>3_1082_0</t>
  </si>
  <si>
    <t>Theshold</t>
    <phoneticPr fontId="2" type="noConversion"/>
  </si>
  <si>
    <t>TP</t>
    <phoneticPr fontId="2" type="noConversion"/>
  </si>
  <si>
    <t>FN</t>
    <phoneticPr fontId="2" type="noConversion"/>
  </si>
  <si>
    <t>FP</t>
    <phoneticPr fontId="2" type="noConversion"/>
  </si>
  <si>
    <t>TN</t>
    <phoneticPr fontId="2" type="noConversion"/>
  </si>
  <si>
    <t>FP+TP</t>
    <phoneticPr fontId="2" type="noConversion"/>
  </si>
  <si>
    <t>FN+TN</t>
    <phoneticPr fontId="2" type="noConversion"/>
  </si>
  <si>
    <t>TP+FN</t>
    <phoneticPr fontId="1" type="noConversion"/>
  </si>
  <si>
    <t xml:space="preserve"> TN+FP</t>
    <phoneticPr fontId="1" type="noConversion"/>
  </si>
  <si>
    <t>Acc</t>
    <phoneticPr fontId="2" type="noConversion"/>
  </si>
  <si>
    <t>Sen</t>
    <phoneticPr fontId="2" type="noConversion"/>
  </si>
  <si>
    <t>Spec</t>
    <phoneticPr fontId="2" type="noConversion"/>
  </si>
  <si>
    <t>PPV</t>
    <phoneticPr fontId="2" type="noConversion"/>
  </si>
  <si>
    <t>NPV</t>
    <phoneticPr fontId="2" type="noConversion"/>
  </si>
  <si>
    <t>ID</t>
    <phoneticPr fontId="1" type="noConversion"/>
  </si>
  <si>
    <t>GT</t>
    <phoneticPr fontId="1" type="noConversion"/>
  </si>
  <si>
    <t>T/F</t>
    <phoneticPr fontId="1" type="noConversion"/>
  </si>
  <si>
    <t>Reader 1</t>
    <phoneticPr fontId="2" type="noConversion"/>
  </si>
  <si>
    <t>Reader 2</t>
    <phoneticPr fontId="2" type="noConversion"/>
  </si>
  <si>
    <t>Reader 3</t>
    <phoneticPr fontId="2" type="noConversion"/>
  </si>
  <si>
    <t>Dr_1</t>
    <phoneticPr fontId="1" type="noConversion"/>
  </si>
  <si>
    <t>Dr_2</t>
    <phoneticPr fontId="1" type="noConversion"/>
  </si>
  <si>
    <t>Dr_3</t>
    <phoneticPr fontId="1" type="noConversion"/>
  </si>
  <si>
    <t>1：刘丽娴（2年HHUS，2年ABUS）</t>
    <phoneticPr fontId="3" type="noConversion"/>
  </si>
  <si>
    <t>2：向慧玲（3年HHUS，3年ABUS）</t>
    <phoneticPr fontId="3" type="noConversion"/>
  </si>
  <si>
    <t>3：林僖（18年HHUS，5年ABUS）</t>
    <phoneticPr fontId="3" type="noConversion"/>
  </si>
  <si>
    <t>proposed</t>
    <phoneticPr fontId="1" type="noConversion"/>
  </si>
  <si>
    <t>proposed
In_Sein_Res</t>
    <phoneticPr fontId="1" type="noConversion"/>
  </si>
  <si>
    <t>baseline</t>
    <phoneticPr fontId="1" type="noConversion"/>
  </si>
  <si>
    <t>a</t>
    <phoneticPr fontId="1" type="noConversion"/>
  </si>
  <si>
    <t>b</t>
    <phoneticPr fontId="1" type="noConversion"/>
  </si>
  <si>
    <t>Az</t>
    <phoneticPr fontId="1" type="noConversion"/>
  </si>
  <si>
    <t>if non-mass</t>
    <phoneticPr fontId="1" type="noConversion"/>
  </si>
  <si>
    <t>Theshold</t>
  </si>
  <si>
    <t>M</t>
  </si>
  <si>
    <t>TP</t>
  </si>
  <si>
    <t>FN</t>
  </si>
  <si>
    <t>FP</t>
  </si>
  <si>
    <t>TN</t>
  </si>
  <si>
    <t>FP+TP</t>
  </si>
  <si>
    <t>FN+TN</t>
  </si>
  <si>
    <t>TP+FN</t>
  </si>
  <si>
    <t xml:space="preserve"> TN+FP</t>
  </si>
  <si>
    <t>Acc</t>
  </si>
  <si>
    <t>Sen</t>
  </si>
  <si>
    <t>Spec</t>
  </si>
  <si>
    <t>PPV</t>
  </si>
  <si>
    <t>NPV</t>
  </si>
  <si>
    <t>B</t>
  </si>
  <si>
    <t>1：刘丽娴（2年HHUS，2年ABUS）</t>
  </si>
  <si>
    <t>Dr_1</t>
  </si>
  <si>
    <t>2：向慧玲（3年HHUS，3年ABUS）</t>
  </si>
  <si>
    <t>Dr_2</t>
  </si>
  <si>
    <t>baseline</t>
  </si>
  <si>
    <t>3：林僖（18年HHUS，5年ABUS）</t>
  </si>
  <si>
    <t>Dr_3</t>
  </si>
  <si>
    <t>In_SE(in)_Res</t>
  </si>
  <si>
    <t>proposed</t>
  </si>
  <si>
    <t>In_SE(out)_Res</t>
  </si>
  <si>
    <t>In_Res</t>
  </si>
  <si>
    <t>Inception</t>
  </si>
  <si>
    <t>In_SE</t>
  </si>
  <si>
    <t>Resnext</t>
  </si>
  <si>
    <t>Res_SE</t>
  </si>
  <si>
    <t>a</t>
  </si>
  <si>
    <t>b</t>
  </si>
  <si>
    <t>Az</t>
  </si>
  <si>
    <t>age</t>
    <phoneticPr fontId="1" type="noConversion"/>
  </si>
  <si>
    <t>size</t>
    <phoneticPr fontId="1" type="noConversion"/>
  </si>
  <si>
    <t>nan</t>
    <phoneticPr fontId="1" type="noConversion"/>
  </si>
  <si>
    <t>resnest</t>
    <phoneticPr fontId="1" type="noConversion"/>
  </si>
  <si>
    <t>resnext</t>
    <phoneticPr fontId="1" type="noConversion"/>
  </si>
  <si>
    <t>se_net</t>
    <phoneticPr fontId="1" type="noConversion"/>
  </si>
  <si>
    <t>resnet</t>
    <phoneticPr fontId="1" type="noConversion"/>
  </si>
  <si>
    <t>Swin Transformer</t>
    <phoneticPr fontId="1" type="noConversion"/>
  </si>
  <si>
    <t>Caps_Net</t>
    <phoneticPr fontId="1" type="noConversion"/>
  </si>
  <si>
    <t>a=1.41</t>
  </si>
  <si>
    <t>b=1.31</t>
  </si>
  <si>
    <t>Inception</t>
    <phoneticPr fontId="1" type="noConversion"/>
  </si>
  <si>
    <t>Inception</t>
    <phoneticPr fontId="1" type="noConversion"/>
  </si>
  <si>
    <t>IR-SWINT</t>
    <phoneticPr fontId="1" type="noConversion"/>
  </si>
  <si>
    <t>看竺軒的KFOLD.xlsx，因為5-fold切的不一樣</t>
    <phoneticPr fontId="1" type="noConversion"/>
  </si>
  <si>
    <t>CapsNet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</si>
</sst>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7" formatCode="0.0000"/>
  </numFmts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3"/>
      <charset val="134"/>
      <scheme val="minor"/>
    </font>
    <font>
      <sz val="11"/>
      <color theme="1"/>
      <name val="新細明體"/>
      <family val="3"/>
      <charset val="134"/>
      <scheme val="minor"/>
    </font>
    <font>
      <sz val="11"/>
      <name val="新細明體"/>
      <family val="1"/>
      <charset val="136"/>
    </font>
    <font>
      <sz val="11"/>
      <name val="新細明體"/>
      <family val="2"/>
      <scheme val="minor"/>
    </font>
    <font>
      <sz val="11"/>
      <color theme="1"/>
      <name val="PMingLiU"/>
      <family val="1"/>
      <charset val="136"/>
    </font>
    <font>
      <sz val="11"/>
      <color theme="1"/>
      <name val="新細明體"/>
      <family val="2"/>
      <scheme val="minor"/>
    </font>
    <font>
      <sz val="12"/>
      <color theme="1"/>
      <name val="新細明體 (本文)"/>
      <family val="1"/>
      <charset val="136"/>
    </font>
    <font>
      <sz val="11"/>
      <color theme="1"/>
      <name val="新細明體 (本文)"/>
      <family val="1"/>
      <charset val="136"/>
    </font>
    <font>
      <sz val="11"/>
      <name val="新細明體 (本文)"/>
      <family val="1"/>
      <charset val="136"/>
    </font>
    <font>
      <sz val="12"/>
      <color theme="1"/>
      <name val="新細明體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8" fillId="0" borderId="0"/>
    <xf numFmtId="0" fontId="12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ont="1" applyAlignment="1">
      <alignment horizontal="left" vertical="center"/>
    </xf>
    <xf numFmtId="0" fontId="0" fillId="0" borderId="0" xfId="0" applyFill="1" applyAlignment="1"/>
    <xf numFmtId="0" fontId="0" fillId="0" borderId="1" xfId="0" applyFont="1" applyBorder="1" applyAlignment="1">
      <alignment horizontal="left" vertical="center"/>
    </xf>
    <xf numFmtId="0" fontId="0" fillId="4" borderId="0" xfId="0" applyFill="1" applyAlignment="1"/>
    <xf numFmtId="0" fontId="0" fillId="4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0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11" fontId="0" fillId="4" borderId="0" xfId="0" applyNumberFormat="1" applyFill="1" applyAlignment="1"/>
    <xf numFmtId="0" fontId="5" fillId="6" borderId="2" xfId="0" applyNumberFormat="1" applyFont="1" applyFill="1" applyBorder="1" applyAlignment="1">
      <alignment horizontal="left" vertical="center" wrapText="1"/>
    </xf>
    <xf numFmtId="0" fontId="5" fillId="6" borderId="2" xfId="0" applyNumberFormat="1" applyFont="1" applyFill="1" applyBorder="1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 wrapText="1"/>
    </xf>
    <xf numFmtId="0" fontId="5" fillId="4" borderId="2" xfId="0" applyNumberFormat="1" applyFont="1" applyFill="1" applyBorder="1" applyAlignment="1">
      <alignment horizontal="left" vertical="center"/>
    </xf>
    <xf numFmtId="0" fontId="0" fillId="7" borderId="0" xfId="0" applyFon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center"/>
    </xf>
    <xf numFmtId="11" fontId="0" fillId="0" borderId="0" xfId="0" applyNumberFormat="1" applyAlignment="1"/>
    <xf numFmtId="0" fontId="6" fillId="6" borderId="3" xfId="0" applyFont="1" applyFill="1" applyBorder="1" applyAlignment="1"/>
    <xf numFmtId="0" fontId="7" fillId="8" borderId="0" xfId="0" applyFont="1" applyFill="1">
      <alignment vertical="center"/>
    </xf>
    <xf numFmtId="49" fontId="0" fillId="7" borderId="0" xfId="0" applyNumberFormat="1" applyFill="1">
      <alignment vertical="center"/>
    </xf>
    <xf numFmtId="0" fontId="0" fillId="8" borderId="0" xfId="0" applyFill="1">
      <alignment vertical="center"/>
    </xf>
    <xf numFmtId="0" fontId="8" fillId="0" borderId="0" xfId="1"/>
    <xf numFmtId="0" fontId="8" fillId="0" borderId="0" xfId="1" applyAlignment="1">
      <alignment horizontal="center"/>
    </xf>
    <xf numFmtId="0" fontId="0" fillId="0" borderId="0" xfId="0" applyFill="1">
      <alignment vertical="center"/>
    </xf>
    <xf numFmtId="0" fontId="8" fillId="0" borderId="0" xfId="1" applyFill="1" applyAlignment="1">
      <alignment horizontal="center" vertical="center"/>
    </xf>
    <xf numFmtId="0" fontId="8" fillId="0" borderId="0" xfId="1" applyFill="1" applyAlignment="1">
      <alignment horizontal="center"/>
    </xf>
    <xf numFmtId="11" fontId="0" fillId="0" borderId="0" xfId="0" applyNumberFormat="1">
      <alignment vertical="center"/>
    </xf>
    <xf numFmtId="0" fontId="0" fillId="0" borderId="4" xfId="0" applyFill="1" applyBorder="1" applyAlignment="1"/>
    <xf numFmtId="0" fontId="0" fillId="0" borderId="4" xfId="0" applyFill="1" applyBorder="1">
      <alignment vertical="center"/>
    </xf>
    <xf numFmtId="176" fontId="9" fillId="0" borderId="4" xfId="0" applyNumberFormat="1" applyFont="1" applyFill="1" applyBorder="1" applyAlignment="1" applyProtection="1">
      <alignment horizontal="left" vertical="center"/>
      <protection locked="0"/>
    </xf>
    <xf numFmtId="176" fontId="10" fillId="0" borderId="4" xfId="0" applyNumberFormat="1" applyFont="1" applyFill="1" applyBorder="1" applyAlignment="1" applyProtection="1">
      <alignment horizontal="left" vertical="center" wrapText="1"/>
      <protection locked="0"/>
    </xf>
    <xf numFmtId="176" fontId="9" fillId="0" borderId="4" xfId="0" applyNumberFormat="1" applyFont="1" applyFill="1" applyBorder="1" applyAlignment="1" applyProtection="1">
      <protection locked="0"/>
    </xf>
    <xf numFmtId="176" fontId="11" fillId="0" borderId="4" xfId="0" applyNumberFormat="1" applyFont="1" applyFill="1" applyBorder="1" applyAlignment="1" applyProtection="1">
      <alignment horizontal="left" vertical="center" wrapText="1"/>
      <protection locked="0"/>
    </xf>
    <xf numFmtId="176" fontId="11" fillId="0" borderId="4" xfId="0" applyNumberFormat="1" applyFont="1" applyFill="1" applyBorder="1" applyAlignment="1" applyProtection="1">
      <alignment horizontal="left" vertical="center"/>
      <protection locked="0"/>
    </xf>
    <xf numFmtId="176" fontId="11" fillId="0" borderId="4" xfId="0" applyNumberFormat="1" applyFont="1" applyFill="1" applyBorder="1" applyAlignment="1" applyProtection="1">
      <protection locked="0"/>
    </xf>
    <xf numFmtId="0" fontId="0" fillId="0" borderId="0" xfId="0" applyFill="1" applyBorder="1" applyAlignment="1"/>
    <xf numFmtId="0" fontId="0" fillId="0" borderId="0" xfId="0" applyFill="1" applyBorder="1" applyAlignment="1">
      <alignment wrapText="1"/>
    </xf>
    <xf numFmtId="0" fontId="8" fillId="0" borderId="4" xfId="1" applyBorder="1" applyAlignment="1">
      <alignment horizontal="center"/>
    </xf>
    <xf numFmtId="0" fontId="8" fillId="0" borderId="4" xfId="1" applyBorder="1"/>
    <xf numFmtId="0" fontId="0" fillId="9" borderId="0" xfId="0" applyFont="1" applyFill="1" applyAlignment="1">
      <alignment horizontal="left" vertical="center"/>
    </xf>
    <xf numFmtId="0" fontId="8" fillId="9" borderId="0" xfId="1" applyFill="1" applyAlignment="1">
      <alignment horizontal="center"/>
    </xf>
    <xf numFmtId="0" fontId="0" fillId="9" borderId="0" xfId="0" applyFill="1">
      <alignment vertical="center"/>
    </xf>
    <xf numFmtId="0" fontId="8" fillId="9" borderId="0" xfId="1" applyFill="1"/>
    <xf numFmtId="0" fontId="8" fillId="10" borderId="0" xfId="1" applyFill="1" applyAlignment="1">
      <alignment horizontal="center"/>
    </xf>
    <xf numFmtId="0" fontId="0" fillId="10" borderId="0" xfId="0" applyFill="1">
      <alignment vertical="center"/>
    </xf>
    <xf numFmtId="0" fontId="8" fillId="10" borderId="0" xfId="1" applyFill="1"/>
    <xf numFmtId="177" fontId="0" fillId="0" borderId="0" xfId="0" applyNumberFormat="1">
      <alignment vertical="center"/>
    </xf>
    <xf numFmtId="177" fontId="8" fillId="0" borderId="0" xfId="1" applyNumberFormat="1"/>
    <xf numFmtId="177" fontId="8" fillId="0" borderId="0" xfId="1" applyNumberFormat="1" applyFill="1"/>
    <xf numFmtId="10" fontId="0" fillId="0" borderId="0" xfId="0" applyNumberFormat="1">
      <alignment vertical="center"/>
    </xf>
    <xf numFmtId="10" fontId="0" fillId="10" borderId="0" xfId="0" applyNumberFormat="1" applyFill="1">
      <alignment vertical="center"/>
    </xf>
    <xf numFmtId="10" fontId="8" fillId="0" borderId="4" xfId="1" applyNumberFormat="1" applyBorder="1"/>
    <xf numFmtId="10" fontId="8" fillId="0" borderId="4" xfId="1" applyNumberFormat="1" applyFill="1" applyBorder="1"/>
    <xf numFmtId="10" fontId="8" fillId="0" borderId="0" xfId="1" applyNumberFormat="1"/>
    <xf numFmtId="10" fontId="8" fillId="9" borderId="4" xfId="1" applyNumberFormat="1" applyFill="1" applyBorder="1"/>
    <xf numFmtId="10" fontId="8" fillId="9" borderId="0" xfId="1" applyNumberFormat="1" applyFill="1"/>
    <xf numFmtId="10" fontId="8" fillId="10" borderId="4" xfId="1" applyNumberFormat="1" applyFill="1" applyBorder="1"/>
    <xf numFmtId="10" fontId="8" fillId="10" borderId="0" xfId="1" applyNumberFormat="1" applyFill="1"/>
    <xf numFmtId="10" fontId="0" fillId="0" borderId="0" xfId="0" applyNumberFormat="1" applyFill="1">
      <alignment vertical="center"/>
    </xf>
    <xf numFmtId="0" fontId="0" fillId="0" borderId="0" xfId="0" applyBorder="1" applyAlignment="1"/>
    <xf numFmtId="0" fontId="0" fillId="0" borderId="0" xfId="0" applyFont="1" applyBorder="1" applyAlignment="1">
      <alignment horizontal="left" vertical="center"/>
    </xf>
    <xf numFmtId="0" fontId="0" fillId="4" borderId="0" xfId="0" applyFill="1" applyBorder="1" applyAlignment="1"/>
    <xf numFmtId="0" fontId="0" fillId="4" borderId="0" xfId="0" applyFont="1" applyFill="1" applyBorder="1" applyAlignment="1">
      <alignment horizontal="left" vertical="center"/>
    </xf>
    <xf numFmtId="0" fontId="4" fillId="4" borderId="0" xfId="0" applyFont="1" applyFill="1" applyBorder="1" applyAlignment="1">
      <alignment horizontal="left" vertical="center" wrapText="1"/>
    </xf>
    <xf numFmtId="0" fontId="4" fillId="5" borderId="0" xfId="0" applyFont="1" applyFill="1" applyBorder="1" applyAlignment="1">
      <alignment horizontal="left" vertical="center" wrapText="1"/>
    </xf>
    <xf numFmtId="11" fontId="0" fillId="4" borderId="0" xfId="0" applyNumberFormat="1" applyFill="1" applyBorder="1" applyAlignment="1"/>
    <xf numFmtId="0" fontId="5" fillId="6" borderId="0" xfId="0" applyNumberFormat="1" applyFont="1" applyFill="1" applyBorder="1" applyAlignment="1">
      <alignment horizontal="left" vertical="center" wrapText="1"/>
    </xf>
    <xf numFmtId="0" fontId="5" fillId="6" borderId="0" xfId="0" applyNumberFormat="1" applyFont="1" applyFill="1" applyBorder="1" applyAlignment="1">
      <alignment horizontal="left" vertical="center"/>
    </xf>
    <xf numFmtId="0" fontId="5" fillId="4" borderId="0" xfId="0" applyNumberFormat="1" applyFont="1" applyFill="1" applyBorder="1" applyAlignment="1">
      <alignment horizontal="left" vertical="center" wrapText="1"/>
    </xf>
    <xf numFmtId="0" fontId="5" fillId="4" borderId="0" xfId="0" applyNumberFormat="1" applyFont="1" applyFill="1" applyBorder="1" applyAlignment="1">
      <alignment horizontal="left" vertical="center"/>
    </xf>
    <xf numFmtId="0" fontId="0" fillId="7" borderId="0" xfId="0" applyFont="1" applyFill="1" applyBorder="1" applyAlignment="1">
      <alignment horizontal="left" vertical="center"/>
    </xf>
    <xf numFmtId="0" fontId="0" fillId="2" borderId="0" xfId="0" applyFill="1" applyBorder="1" applyAlignment="1"/>
    <xf numFmtId="0" fontId="0" fillId="2" borderId="0" xfId="0" applyFont="1" applyFill="1" applyBorder="1" applyAlignment="1">
      <alignment horizontal="left" vertical="center"/>
    </xf>
    <xf numFmtId="0" fontId="5" fillId="2" borderId="0" xfId="0" applyNumberFormat="1" applyFont="1" applyFill="1" applyBorder="1" applyAlignment="1">
      <alignment horizontal="left" vertical="center"/>
    </xf>
    <xf numFmtId="11" fontId="0" fillId="0" borderId="0" xfId="0" applyNumberFormat="1" applyBorder="1" applyAlignment="1"/>
    <xf numFmtId="0" fontId="6" fillId="6" borderId="0" xfId="0" applyFont="1" applyFill="1" applyBorder="1" applyAlignment="1"/>
    <xf numFmtId="0" fontId="8" fillId="0" borderId="0" xfId="1" applyNumberFormat="1" applyAlignment="1">
      <alignment horizontal="center"/>
    </xf>
    <xf numFmtId="0" fontId="8" fillId="0" borderId="0" xfId="1" applyNumberFormat="1"/>
    <xf numFmtId="0" fontId="8" fillId="9" borderId="0" xfId="1" applyNumberFormat="1" applyFill="1"/>
    <xf numFmtId="0" fontId="8" fillId="10" borderId="0" xfId="1" applyNumberFormat="1" applyFill="1"/>
    <xf numFmtId="0" fontId="0" fillId="0" borderId="0" xfId="0" applyNumberFormat="1" applyFill="1" applyBorder="1" applyAlignment="1"/>
    <xf numFmtId="0" fontId="0" fillId="0" borderId="0" xfId="0" applyNumberFormat="1">
      <alignment vertical="center"/>
    </xf>
    <xf numFmtId="0" fontId="12" fillId="0" borderId="0" xfId="2">
      <alignment vertical="center"/>
    </xf>
  </cellXfs>
  <cellStyles count="3">
    <cellStyle name="一般" xfId="0" builtinId="0"/>
    <cellStyle name="一般 2" xfId="1"/>
    <cellStyle name="一般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9"/>
  <sheetViews>
    <sheetView workbookViewId="0">
      <selection activeCell="I13" sqref="I13"/>
    </sheetView>
  </sheetViews>
  <sheetFormatPr defaultColWidth="7.453125" defaultRowHeight="17"/>
  <cols>
    <col min="1" max="1" width="12.36328125" style="1" customWidth="1"/>
    <col min="2" max="2" width="33.90625" style="1" bestFit="1" customWidth="1"/>
    <col min="3" max="3" width="8.453125" style="1" customWidth="1"/>
    <col min="4" max="4" width="14.90625" style="1" bestFit="1" customWidth="1"/>
    <col min="5" max="6" width="10.90625" style="1" bestFit="1" customWidth="1"/>
    <col min="7" max="8" width="7.453125" style="1"/>
    <col min="9" max="9" width="10" style="1" bestFit="1" customWidth="1"/>
    <col min="10" max="10" width="7.453125" style="1"/>
    <col min="11" max="11" width="10" style="1" bestFit="1" customWidth="1"/>
    <col min="12" max="12" width="7.453125" style="1"/>
    <col min="13" max="13" width="8.6328125" style="1" bestFit="1" customWidth="1"/>
    <col min="14" max="14" width="7.453125" style="1"/>
    <col min="15" max="15" width="11" style="1" bestFit="1" customWidth="1"/>
    <col min="16" max="16384" width="7.453125" style="1"/>
  </cols>
  <sheetData>
    <row r="1" spans="1:19">
      <c r="B1" s="2" t="s">
        <v>0</v>
      </c>
      <c r="C1" s="3" t="s">
        <v>1</v>
      </c>
      <c r="D1" s="3" t="s">
        <v>2</v>
      </c>
    </row>
    <row r="2" spans="1:19">
      <c r="A2" s="1">
        <v>1</v>
      </c>
      <c r="B2" s="1" t="s">
        <v>3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4"/>
      <c r="S2" s="63"/>
    </row>
    <row r="3" spans="1:19">
      <c r="A3" s="1" t="s">
        <v>5</v>
      </c>
      <c r="B3" s="1" t="s">
        <v>6</v>
      </c>
      <c r="C3" s="63">
        <f>AVERAGE(C6:C460)</f>
        <v>46.705479452054796</v>
      </c>
      <c r="D3" s="63">
        <f t="shared" ref="D3:E3" si="0">AVERAGE(D6:D460)</f>
        <v>18.060465116279069</v>
      </c>
      <c r="E3" s="63">
        <f t="shared" si="0"/>
        <v>9.916279069767441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4"/>
      <c r="S3" s="63"/>
    </row>
    <row r="4" spans="1:19">
      <c r="C4" s="63">
        <f>_xlfn.STDEV.P(C6:C460)</f>
        <v>9.7773158918316909</v>
      </c>
      <c r="D4" s="63">
        <f t="shared" ref="D4:E4" si="1">_xlfn.STDEV.P(D6:D460)</f>
        <v>10.135182552133049</v>
      </c>
      <c r="E4" s="63">
        <f t="shared" si="1"/>
        <v>5.1133628052323861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4"/>
      <c r="S4" s="63"/>
    </row>
    <row r="5" spans="1:19">
      <c r="B5" s="5"/>
      <c r="C5" s="39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</row>
    <row r="6" spans="1:19">
      <c r="A6" s="1" t="s">
        <v>9</v>
      </c>
      <c r="C6" s="63" t="s">
        <v>537</v>
      </c>
      <c r="D6" s="63" t="s">
        <v>538</v>
      </c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</row>
    <row r="7" spans="1:19"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</row>
    <row r="8" spans="1:19">
      <c r="A8" s="1">
        <v>0</v>
      </c>
      <c r="B8" s="1" t="s">
        <v>22</v>
      </c>
      <c r="C8" s="1">
        <v>61</v>
      </c>
      <c r="D8" s="1">
        <v>19</v>
      </c>
      <c r="E8" s="63">
        <v>9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  <c r="R8" s="64"/>
      <c r="S8" s="64"/>
    </row>
    <row r="9" spans="1:19">
      <c r="A9" s="7">
        <v>0</v>
      </c>
      <c r="B9" s="7" t="s">
        <v>23</v>
      </c>
      <c r="C9" s="65">
        <v>27</v>
      </c>
      <c r="D9" s="65">
        <v>29</v>
      </c>
      <c r="E9" s="65">
        <v>10</v>
      </c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6"/>
      <c r="R9" s="67"/>
      <c r="S9" s="66"/>
    </row>
    <row r="10" spans="1:19">
      <c r="A10" s="1">
        <v>0</v>
      </c>
      <c r="B10" s="1" t="s">
        <v>24</v>
      </c>
      <c r="C10" s="63">
        <v>41</v>
      </c>
      <c r="D10" s="63">
        <v>11</v>
      </c>
      <c r="E10" s="39">
        <v>9</v>
      </c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4"/>
      <c r="R10" s="68"/>
      <c r="S10" s="64"/>
    </row>
    <row r="11" spans="1:19">
      <c r="A11" s="1">
        <v>0</v>
      </c>
      <c r="B11" s="1" t="s">
        <v>25</v>
      </c>
      <c r="C11" s="39">
        <v>30</v>
      </c>
      <c r="D11" s="39">
        <v>23</v>
      </c>
      <c r="E11" s="39">
        <v>15</v>
      </c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4"/>
      <c r="R11" s="68"/>
      <c r="S11" s="64"/>
    </row>
    <row r="12" spans="1:19">
      <c r="A12" s="1">
        <v>0</v>
      </c>
      <c r="B12" s="1" t="s">
        <v>26</v>
      </c>
      <c r="C12" s="39">
        <v>44</v>
      </c>
      <c r="D12" s="39">
        <v>5</v>
      </c>
      <c r="E12" s="39">
        <v>2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4"/>
      <c r="R12" s="68"/>
      <c r="S12" s="64"/>
    </row>
    <row r="13" spans="1:19">
      <c r="A13" s="1">
        <v>0</v>
      </c>
      <c r="B13" s="1" t="s">
        <v>27</v>
      </c>
      <c r="C13" s="39">
        <v>50</v>
      </c>
      <c r="D13" s="39">
        <v>11</v>
      </c>
      <c r="E13" s="39">
        <v>7</v>
      </c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4"/>
      <c r="R13" s="68"/>
      <c r="S13" s="64"/>
    </row>
    <row r="14" spans="1:19">
      <c r="A14" s="1">
        <v>0</v>
      </c>
      <c r="B14" s="1" t="s">
        <v>28</v>
      </c>
      <c r="C14" s="39">
        <v>48</v>
      </c>
      <c r="D14" s="39">
        <v>14</v>
      </c>
      <c r="E14" s="39">
        <v>10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4"/>
      <c r="R14" s="68"/>
      <c r="S14" s="64"/>
    </row>
    <row r="15" spans="1:19">
      <c r="A15" s="1">
        <v>0</v>
      </c>
      <c r="B15" s="1" t="s">
        <v>29</v>
      </c>
      <c r="C15" s="39">
        <v>46</v>
      </c>
      <c r="D15" s="39">
        <v>10</v>
      </c>
      <c r="E15" s="39">
        <v>5</v>
      </c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4"/>
      <c r="R15" s="68"/>
      <c r="S15" s="64"/>
    </row>
    <row r="16" spans="1:19">
      <c r="A16" s="1">
        <v>0</v>
      </c>
      <c r="B16" s="1" t="s">
        <v>30</v>
      </c>
      <c r="C16" s="39">
        <v>50</v>
      </c>
      <c r="D16" s="39">
        <v>8</v>
      </c>
      <c r="E16" s="39">
        <v>6</v>
      </c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4"/>
      <c r="R16" s="68"/>
      <c r="S16" s="64"/>
    </row>
    <row r="17" spans="1:19">
      <c r="A17" s="1">
        <v>0</v>
      </c>
      <c r="B17" s="1" t="s">
        <v>31</v>
      </c>
      <c r="C17" s="39">
        <v>45</v>
      </c>
      <c r="D17" s="39">
        <v>5</v>
      </c>
      <c r="E17" s="39">
        <v>2</v>
      </c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4"/>
      <c r="R17" s="68"/>
      <c r="S17" s="64"/>
    </row>
    <row r="18" spans="1:19">
      <c r="A18" s="1">
        <v>0</v>
      </c>
      <c r="B18" s="1" t="s">
        <v>32</v>
      </c>
      <c r="C18" s="39">
        <v>44</v>
      </c>
      <c r="D18" s="39">
        <v>14</v>
      </c>
      <c r="E18" s="39">
        <v>7</v>
      </c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4"/>
      <c r="R18" s="68"/>
      <c r="S18" s="64"/>
    </row>
    <row r="19" spans="1:19">
      <c r="A19" s="1">
        <v>0</v>
      </c>
      <c r="B19" s="1" t="s">
        <v>33</v>
      </c>
      <c r="C19" s="39">
        <v>35</v>
      </c>
      <c r="D19" s="39">
        <v>6</v>
      </c>
      <c r="E19" s="39">
        <v>3</v>
      </c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4"/>
      <c r="R19" s="68"/>
      <c r="S19" s="64"/>
    </row>
    <row r="20" spans="1:19">
      <c r="A20" s="1">
        <v>0</v>
      </c>
      <c r="B20" s="1" t="s">
        <v>34</v>
      </c>
      <c r="C20" s="39">
        <v>35</v>
      </c>
      <c r="D20" s="39">
        <v>20</v>
      </c>
      <c r="E20" s="39">
        <v>8</v>
      </c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4"/>
      <c r="R20" s="68"/>
      <c r="S20" s="64"/>
    </row>
    <row r="21" spans="1:19">
      <c r="A21" s="1">
        <v>0</v>
      </c>
      <c r="B21" s="1" t="s">
        <v>35</v>
      </c>
      <c r="C21" s="39">
        <v>41</v>
      </c>
      <c r="D21" s="39">
        <v>28</v>
      </c>
      <c r="E21" s="39">
        <v>10</v>
      </c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4"/>
      <c r="R21" s="68"/>
      <c r="S21" s="64"/>
    </row>
    <row r="22" spans="1:19">
      <c r="A22" s="1">
        <v>0</v>
      </c>
      <c r="B22" s="1" t="s">
        <v>36</v>
      </c>
      <c r="C22" s="39">
        <v>44</v>
      </c>
      <c r="D22" s="39">
        <v>11</v>
      </c>
      <c r="E22" s="39">
        <v>6</v>
      </c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4"/>
      <c r="R22" s="68"/>
      <c r="S22" s="64"/>
    </row>
    <row r="23" spans="1:19">
      <c r="A23" s="1">
        <v>0</v>
      </c>
      <c r="B23" s="1" t="s">
        <v>37</v>
      </c>
      <c r="C23" s="39">
        <v>53</v>
      </c>
      <c r="D23" s="39">
        <v>11</v>
      </c>
      <c r="E23" s="39">
        <v>4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4"/>
      <c r="R23" s="68"/>
      <c r="S23" s="64"/>
    </row>
    <row r="24" spans="1:19">
      <c r="A24" s="1">
        <v>0</v>
      </c>
      <c r="B24" s="1" t="s">
        <v>38</v>
      </c>
      <c r="C24" s="39">
        <v>49</v>
      </c>
      <c r="D24" s="39">
        <v>15</v>
      </c>
      <c r="E24" s="39">
        <v>10</v>
      </c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4"/>
      <c r="R24" s="68"/>
      <c r="S24" s="64"/>
    </row>
    <row r="25" spans="1:19">
      <c r="A25" s="1">
        <v>0</v>
      </c>
      <c r="B25" s="1" t="s">
        <v>39</v>
      </c>
      <c r="C25" s="39">
        <v>46</v>
      </c>
      <c r="D25" s="39">
        <v>8</v>
      </c>
      <c r="E25" s="39">
        <v>4</v>
      </c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4"/>
      <c r="R25" s="68"/>
      <c r="S25" s="64"/>
    </row>
    <row r="26" spans="1:19">
      <c r="A26" s="7">
        <v>0</v>
      </c>
      <c r="B26" s="7" t="s">
        <v>40</v>
      </c>
      <c r="C26" s="65">
        <v>41</v>
      </c>
      <c r="D26" s="65">
        <v>16</v>
      </c>
      <c r="E26" s="65">
        <v>7</v>
      </c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6"/>
      <c r="R26" s="67"/>
      <c r="S26" s="66"/>
    </row>
    <row r="27" spans="1:19">
      <c r="A27" s="1">
        <v>0</v>
      </c>
      <c r="B27" s="1" t="s">
        <v>41</v>
      </c>
      <c r="C27" s="39">
        <v>55</v>
      </c>
      <c r="D27" s="39">
        <v>10</v>
      </c>
      <c r="E27" s="39">
        <v>9</v>
      </c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4"/>
      <c r="R27" s="64"/>
      <c r="S27" s="64"/>
    </row>
    <row r="28" spans="1:19">
      <c r="A28" s="1">
        <v>0</v>
      </c>
      <c r="B28" s="1" t="s">
        <v>42</v>
      </c>
      <c r="C28" s="39">
        <v>43</v>
      </c>
      <c r="D28" s="39">
        <v>19</v>
      </c>
      <c r="E28" s="39">
        <v>8</v>
      </c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4"/>
      <c r="R28" s="64"/>
      <c r="S28" s="64"/>
    </row>
    <row r="29" spans="1:19">
      <c r="A29" s="1">
        <v>0</v>
      </c>
      <c r="B29" s="1" t="s">
        <v>43</v>
      </c>
      <c r="C29" s="39">
        <v>52</v>
      </c>
      <c r="D29" s="39">
        <v>7</v>
      </c>
      <c r="E29" s="39">
        <v>3</v>
      </c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4"/>
      <c r="R29" s="68"/>
      <c r="S29" s="64"/>
    </row>
    <row r="30" spans="1:19">
      <c r="A30" s="1">
        <v>0</v>
      </c>
      <c r="B30" s="1" t="s">
        <v>44</v>
      </c>
      <c r="C30" s="39">
        <v>47</v>
      </c>
      <c r="D30" s="39">
        <v>15</v>
      </c>
      <c r="E30" s="39">
        <v>3</v>
      </c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4"/>
      <c r="R30" s="68"/>
      <c r="S30" s="64"/>
    </row>
    <row r="31" spans="1:19">
      <c r="A31" s="1">
        <v>0</v>
      </c>
      <c r="B31" s="1" t="s">
        <v>45</v>
      </c>
      <c r="C31" s="39">
        <v>47</v>
      </c>
      <c r="D31" s="39">
        <v>23</v>
      </c>
      <c r="E31" s="39">
        <v>6</v>
      </c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4"/>
      <c r="R31" s="68"/>
      <c r="S31" s="64"/>
    </row>
    <row r="32" spans="1:19">
      <c r="A32" s="1">
        <v>0</v>
      </c>
      <c r="B32" s="1" t="s">
        <v>46</v>
      </c>
      <c r="C32" s="39">
        <v>51</v>
      </c>
      <c r="D32" s="39">
        <v>8</v>
      </c>
      <c r="E32" s="39">
        <v>4</v>
      </c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4"/>
      <c r="R32" s="68"/>
      <c r="S32" s="64"/>
    </row>
    <row r="33" spans="1:19">
      <c r="A33" s="1">
        <v>0</v>
      </c>
      <c r="B33" s="1" t="s">
        <v>47</v>
      </c>
      <c r="C33" s="39">
        <v>47</v>
      </c>
      <c r="D33" s="39">
        <v>18</v>
      </c>
      <c r="E33" s="39">
        <v>7</v>
      </c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4"/>
      <c r="R33" s="68"/>
      <c r="S33" s="64"/>
    </row>
    <row r="34" spans="1:19">
      <c r="A34" s="1">
        <v>0</v>
      </c>
      <c r="B34" s="1" t="s">
        <v>48</v>
      </c>
      <c r="C34" s="39">
        <v>22</v>
      </c>
      <c r="D34" s="39">
        <v>21</v>
      </c>
      <c r="E34" s="39">
        <v>6</v>
      </c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4"/>
      <c r="R34" s="68"/>
      <c r="S34" s="64"/>
    </row>
    <row r="35" spans="1:19">
      <c r="A35" s="1">
        <v>0</v>
      </c>
      <c r="B35" s="1" t="s">
        <v>49</v>
      </c>
      <c r="C35" s="39">
        <v>39</v>
      </c>
      <c r="D35" s="39">
        <v>25</v>
      </c>
      <c r="E35" s="39">
        <v>14</v>
      </c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4"/>
      <c r="R35" s="68"/>
      <c r="S35" s="64"/>
    </row>
    <row r="36" spans="1:19">
      <c r="A36" s="1">
        <v>0</v>
      </c>
      <c r="B36" s="1" t="s">
        <v>50</v>
      </c>
      <c r="C36" s="39">
        <v>32</v>
      </c>
      <c r="D36" s="39">
        <v>15</v>
      </c>
      <c r="E36" s="39">
        <v>9</v>
      </c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4"/>
      <c r="R36" s="68"/>
      <c r="S36" s="64"/>
    </row>
    <row r="37" spans="1:19">
      <c r="A37" s="1">
        <v>0</v>
      </c>
      <c r="B37" s="1" t="s">
        <v>51</v>
      </c>
      <c r="C37" s="39">
        <v>41</v>
      </c>
      <c r="D37" s="39">
        <v>28</v>
      </c>
      <c r="E37" s="39">
        <v>10</v>
      </c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4"/>
      <c r="R37" s="68"/>
      <c r="S37" s="64"/>
    </row>
    <row r="38" spans="1:19">
      <c r="A38" s="1">
        <v>0</v>
      </c>
      <c r="B38" s="1" t="s">
        <v>52</v>
      </c>
      <c r="C38" s="39">
        <v>40</v>
      </c>
      <c r="D38" s="39">
        <v>23</v>
      </c>
      <c r="E38" s="39">
        <v>12</v>
      </c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4"/>
      <c r="R38" s="68"/>
      <c r="S38" s="64"/>
    </row>
    <row r="39" spans="1:19">
      <c r="A39" s="1">
        <v>0</v>
      </c>
      <c r="B39" s="1" t="s">
        <v>53</v>
      </c>
      <c r="C39" s="39">
        <v>44</v>
      </c>
      <c r="D39" s="39">
        <v>11</v>
      </c>
      <c r="E39" s="39">
        <v>4</v>
      </c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4"/>
      <c r="R39" s="68"/>
      <c r="S39" s="64"/>
    </row>
    <row r="40" spans="1:19">
      <c r="A40" s="1">
        <v>0</v>
      </c>
      <c r="B40" s="1" t="s">
        <v>54</v>
      </c>
      <c r="C40" s="39">
        <v>46</v>
      </c>
      <c r="D40" s="39">
        <v>5</v>
      </c>
      <c r="E40" s="39">
        <v>4</v>
      </c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4"/>
      <c r="R40" s="68"/>
      <c r="S40" s="64"/>
    </row>
    <row r="41" spans="1:19">
      <c r="A41" s="1">
        <v>0</v>
      </c>
      <c r="B41" s="1" t="s">
        <v>55</v>
      </c>
      <c r="C41" s="39">
        <v>41</v>
      </c>
      <c r="D41" s="39">
        <v>15</v>
      </c>
      <c r="E41" s="39">
        <v>6</v>
      </c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4"/>
      <c r="R41" s="68"/>
      <c r="S41" s="64"/>
    </row>
    <row r="42" spans="1:19">
      <c r="A42" s="1">
        <v>0</v>
      </c>
      <c r="B42" s="1" t="s">
        <v>56</v>
      </c>
      <c r="C42" s="39">
        <v>39</v>
      </c>
      <c r="D42" s="39">
        <v>4</v>
      </c>
      <c r="E42" s="39">
        <v>2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4"/>
      <c r="R42" s="68"/>
      <c r="S42" s="64"/>
    </row>
    <row r="43" spans="1:19">
      <c r="A43" s="1">
        <v>0</v>
      </c>
      <c r="B43" s="1" t="s">
        <v>57</v>
      </c>
      <c r="C43" s="39">
        <v>53</v>
      </c>
      <c r="D43" s="39">
        <v>16</v>
      </c>
      <c r="E43" s="39">
        <v>8</v>
      </c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4"/>
      <c r="R43" s="68"/>
      <c r="S43" s="64"/>
    </row>
    <row r="44" spans="1:19">
      <c r="A44" s="1">
        <v>0</v>
      </c>
      <c r="B44" s="1" t="s">
        <v>58</v>
      </c>
      <c r="C44" s="39">
        <v>41</v>
      </c>
      <c r="D44" s="39">
        <v>11</v>
      </c>
      <c r="E44" s="39">
        <v>3</v>
      </c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4"/>
      <c r="R44" s="68"/>
      <c r="S44" s="64"/>
    </row>
    <row r="45" spans="1:19">
      <c r="A45" s="1">
        <v>0</v>
      </c>
      <c r="B45" s="1" t="s">
        <v>59</v>
      </c>
      <c r="C45" s="39">
        <v>53</v>
      </c>
      <c r="D45" s="39">
        <v>27</v>
      </c>
      <c r="E45" s="39">
        <v>13</v>
      </c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4"/>
      <c r="R45" s="68"/>
      <c r="S45" s="64"/>
    </row>
    <row r="46" spans="1:19">
      <c r="A46" s="1">
        <v>0</v>
      </c>
      <c r="B46" s="1" t="s">
        <v>60</v>
      </c>
      <c r="C46" s="39">
        <v>41</v>
      </c>
      <c r="D46" s="39">
        <v>11</v>
      </c>
      <c r="E46" s="39">
        <v>2</v>
      </c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4"/>
      <c r="R46" s="68"/>
      <c r="S46" s="64"/>
    </row>
    <row r="47" spans="1:19">
      <c r="A47" s="1">
        <v>0</v>
      </c>
      <c r="B47" s="1" t="s">
        <v>61</v>
      </c>
      <c r="C47" s="39">
        <v>46</v>
      </c>
      <c r="D47" s="39">
        <v>13</v>
      </c>
      <c r="E47" s="39">
        <v>9</v>
      </c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4"/>
      <c r="R47" s="68"/>
      <c r="S47" s="64"/>
    </row>
    <row r="48" spans="1:19">
      <c r="A48" s="1">
        <v>0</v>
      </c>
      <c r="B48" s="1" t="s">
        <v>62</v>
      </c>
      <c r="C48" s="39">
        <v>49</v>
      </c>
      <c r="D48" s="39">
        <v>8</v>
      </c>
      <c r="E48" s="39">
        <v>4</v>
      </c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4"/>
      <c r="R48" s="68"/>
      <c r="S48" s="64"/>
    </row>
    <row r="49" spans="1:19">
      <c r="A49" s="1">
        <v>0</v>
      </c>
      <c r="B49" s="1" t="s">
        <v>63</v>
      </c>
      <c r="C49" s="39">
        <v>51</v>
      </c>
      <c r="D49" s="39">
        <v>8</v>
      </c>
      <c r="E49" s="39">
        <v>5</v>
      </c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4"/>
      <c r="R49" s="68"/>
      <c r="S49" s="64"/>
    </row>
    <row r="50" spans="1:19">
      <c r="A50" s="1">
        <v>0</v>
      </c>
      <c r="B50" s="1" t="s">
        <v>64</v>
      </c>
      <c r="C50" s="39">
        <v>44</v>
      </c>
      <c r="D50" s="39">
        <v>10</v>
      </c>
      <c r="E50" s="39">
        <v>6</v>
      </c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4"/>
      <c r="R50" s="68"/>
      <c r="S50" s="64"/>
    </row>
    <row r="51" spans="1:19">
      <c r="A51" s="1">
        <v>0</v>
      </c>
      <c r="B51" s="1" t="s">
        <v>65</v>
      </c>
      <c r="C51" s="39">
        <v>51</v>
      </c>
      <c r="D51" s="39">
        <v>8</v>
      </c>
      <c r="E51" s="39">
        <v>5</v>
      </c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4"/>
      <c r="R51" s="68"/>
      <c r="S51" s="64"/>
    </row>
    <row r="52" spans="1:19">
      <c r="A52" s="7">
        <v>1</v>
      </c>
      <c r="B52" s="7" t="s">
        <v>66</v>
      </c>
      <c r="C52" s="65">
        <v>45</v>
      </c>
      <c r="D52" s="65">
        <v>21</v>
      </c>
      <c r="E52" s="65">
        <v>13</v>
      </c>
      <c r="F52" s="65"/>
      <c r="G52" s="65"/>
      <c r="H52" s="65"/>
      <c r="I52" s="69"/>
      <c r="J52" s="65"/>
      <c r="K52" s="65"/>
      <c r="L52" s="65"/>
      <c r="M52" s="65"/>
      <c r="N52" s="65"/>
      <c r="O52" s="65"/>
      <c r="P52" s="65"/>
      <c r="Q52" s="66"/>
      <c r="R52" s="66"/>
      <c r="S52" s="66"/>
    </row>
    <row r="53" spans="1:19">
      <c r="A53" s="1">
        <v>1</v>
      </c>
      <c r="B53" s="1" t="s">
        <v>67</v>
      </c>
      <c r="C53" s="39">
        <v>54</v>
      </c>
      <c r="D53" s="39">
        <v>11</v>
      </c>
      <c r="E53" s="39">
        <v>10</v>
      </c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4"/>
      <c r="R53" s="64"/>
      <c r="S53" s="64"/>
    </row>
    <row r="54" spans="1:19">
      <c r="A54" s="7">
        <v>1</v>
      </c>
      <c r="B54" s="7" t="s">
        <v>68</v>
      </c>
      <c r="C54" s="65">
        <v>62</v>
      </c>
      <c r="D54" s="65">
        <v>19</v>
      </c>
      <c r="E54" s="65">
        <v>7</v>
      </c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6"/>
      <c r="R54" s="66"/>
      <c r="S54" s="66"/>
    </row>
    <row r="55" spans="1:19">
      <c r="A55" s="1">
        <v>1</v>
      </c>
      <c r="B55" s="1" t="s">
        <v>69</v>
      </c>
      <c r="C55" s="39">
        <v>52</v>
      </c>
      <c r="D55" s="39">
        <v>12</v>
      </c>
      <c r="E55" s="39">
        <v>6</v>
      </c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4"/>
      <c r="R55" s="68"/>
      <c r="S55" s="64"/>
    </row>
    <row r="56" spans="1:19">
      <c r="A56" s="1">
        <v>1</v>
      </c>
      <c r="B56" s="1" t="s">
        <v>70</v>
      </c>
      <c r="C56" s="39">
        <v>54</v>
      </c>
      <c r="D56" s="39">
        <v>24</v>
      </c>
      <c r="E56" s="39">
        <v>14</v>
      </c>
      <c r="F56" s="39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4"/>
      <c r="R56" s="64"/>
      <c r="S56" s="64"/>
    </row>
    <row r="57" spans="1:19">
      <c r="A57" s="1">
        <v>1</v>
      </c>
      <c r="B57" s="1" t="s">
        <v>71</v>
      </c>
      <c r="C57" s="39">
        <v>62</v>
      </c>
      <c r="D57" s="39">
        <v>32</v>
      </c>
      <c r="E57" s="39">
        <v>15</v>
      </c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4"/>
      <c r="R57" s="64"/>
      <c r="S57" s="64"/>
    </row>
    <row r="58" spans="1:19">
      <c r="A58" s="1">
        <v>1</v>
      </c>
      <c r="B58" s="1" t="s">
        <v>72</v>
      </c>
      <c r="C58" s="39">
        <v>54</v>
      </c>
      <c r="D58" s="39">
        <v>22</v>
      </c>
      <c r="E58" s="39">
        <v>12</v>
      </c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4"/>
      <c r="R58" s="64"/>
      <c r="S58" s="64"/>
    </row>
    <row r="59" spans="1:19">
      <c r="A59" s="1">
        <v>1</v>
      </c>
      <c r="B59" s="1" t="s">
        <v>73</v>
      </c>
      <c r="C59" s="39">
        <v>56</v>
      </c>
      <c r="D59" s="39">
        <v>27</v>
      </c>
      <c r="E59" s="39">
        <v>21</v>
      </c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4"/>
      <c r="R59" s="64"/>
      <c r="S59" s="64"/>
    </row>
    <row r="60" spans="1:19">
      <c r="A60" s="7">
        <v>1</v>
      </c>
      <c r="B60" s="7" t="s">
        <v>74</v>
      </c>
      <c r="C60" s="65">
        <v>64</v>
      </c>
      <c r="D60" s="65">
        <v>67</v>
      </c>
      <c r="E60" s="65">
        <v>21</v>
      </c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6"/>
      <c r="R60" s="66"/>
      <c r="S60" s="66"/>
    </row>
    <row r="61" spans="1:19">
      <c r="A61" s="1">
        <v>1</v>
      </c>
      <c r="B61" s="1" t="s">
        <v>75</v>
      </c>
      <c r="C61" s="39">
        <v>44</v>
      </c>
      <c r="D61" s="39">
        <v>14</v>
      </c>
      <c r="E61" s="39">
        <v>10</v>
      </c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4"/>
      <c r="R61" s="68"/>
      <c r="S61" s="64"/>
    </row>
    <row r="62" spans="1:19">
      <c r="A62" s="1">
        <v>1</v>
      </c>
      <c r="B62" s="1" t="s">
        <v>76</v>
      </c>
      <c r="C62" s="39">
        <v>31</v>
      </c>
      <c r="D62" s="39">
        <v>20</v>
      </c>
      <c r="E62" s="39">
        <v>12</v>
      </c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4"/>
      <c r="R62" s="64"/>
      <c r="S62" s="64"/>
    </row>
    <row r="63" spans="1:19">
      <c r="A63" s="1">
        <v>1</v>
      </c>
      <c r="B63" s="1" t="s">
        <v>77</v>
      </c>
      <c r="C63" s="39">
        <v>48</v>
      </c>
      <c r="D63" s="39">
        <v>16</v>
      </c>
      <c r="E63" s="39">
        <v>11</v>
      </c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4"/>
      <c r="R63" s="64"/>
      <c r="S63" s="64"/>
    </row>
    <row r="64" spans="1:19">
      <c r="A64" s="1">
        <v>1</v>
      </c>
      <c r="B64" s="1" t="s">
        <v>78</v>
      </c>
      <c r="C64" s="39">
        <v>53</v>
      </c>
      <c r="D64" s="39">
        <v>14</v>
      </c>
      <c r="E64" s="39">
        <v>8</v>
      </c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4"/>
      <c r="R64" s="68"/>
      <c r="S64" s="64"/>
    </row>
    <row r="65" spans="1:19">
      <c r="A65" s="1">
        <v>1</v>
      </c>
      <c r="B65" s="1" t="s">
        <v>79</v>
      </c>
      <c r="C65" s="39">
        <v>33</v>
      </c>
      <c r="D65" s="39">
        <v>16</v>
      </c>
      <c r="E65" s="39">
        <v>9</v>
      </c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4"/>
      <c r="R65" s="68"/>
      <c r="S65" s="64"/>
    </row>
    <row r="66" spans="1:19">
      <c r="A66" s="1">
        <v>1</v>
      </c>
      <c r="B66" s="1" t="s">
        <v>80</v>
      </c>
      <c r="C66" s="39">
        <v>32</v>
      </c>
      <c r="D66" s="39">
        <v>11</v>
      </c>
      <c r="E66" s="39">
        <v>9</v>
      </c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4"/>
      <c r="R66" s="64"/>
      <c r="S66" s="64"/>
    </row>
    <row r="67" spans="1:19">
      <c r="A67" s="7">
        <v>1</v>
      </c>
      <c r="B67" s="7" t="s">
        <v>81</v>
      </c>
      <c r="C67" s="65">
        <v>44</v>
      </c>
      <c r="D67" s="65">
        <v>10</v>
      </c>
      <c r="E67" s="65">
        <v>7</v>
      </c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6"/>
      <c r="R67" s="66"/>
      <c r="S67" s="66"/>
    </row>
    <row r="68" spans="1:19">
      <c r="A68" s="1">
        <v>1</v>
      </c>
      <c r="B68" s="1" t="s">
        <v>82</v>
      </c>
      <c r="C68" s="39">
        <v>50</v>
      </c>
      <c r="D68" s="39">
        <v>10</v>
      </c>
      <c r="E68" s="39">
        <v>7</v>
      </c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4"/>
      <c r="R68" s="64"/>
      <c r="S68" s="64"/>
    </row>
    <row r="69" spans="1:19">
      <c r="A69" s="1">
        <v>1</v>
      </c>
      <c r="B69" s="1" t="s">
        <v>83</v>
      </c>
      <c r="C69" s="39">
        <v>44</v>
      </c>
      <c r="D69" s="39">
        <v>21</v>
      </c>
      <c r="E69" s="39">
        <v>15</v>
      </c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4"/>
      <c r="R69" s="64"/>
      <c r="S69" s="64"/>
    </row>
    <row r="70" spans="1:19">
      <c r="A70" s="1">
        <v>1</v>
      </c>
      <c r="B70" s="1" t="s">
        <v>84</v>
      </c>
      <c r="C70" s="39">
        <v>48</v>
      </c>
      <c r="D70" s="39">
        <v>29</v>
      </c>
      <c r="E70" s="39">
        <v>11</v>
      </c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4"/>
      <c r="R70" s="64"/>
      <c r="S70" s="64"/>
    </row>
    <row r="71" spans="1:19">
      <c r="A71" s="1">
        <v>1</v>
      </c>
      <c r="B71" s="1" t="s">
        <v>85</v>
      </c>
      <c r="C71" s="39">
        <v>51</v>
      </c>
      <c r="D71" s="39">
        <v>22</v>
      </c>
      <c r="E71" s="39">
        <v>15</v>
      </c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4"/>
      <c r="R71" s="64"/>
      <c r="S71" s="64"/>
    </row>
    <row r="72" spans="1:19">
      <c r="A72" s="1">
        <v>1</v>
      </c>
      <c r="B72" s="1" t="s">
        <v>86</v>
      </c>
      <c r="C72" s="39">
        <v>37</v>
      </c>
      <c r="D72" s="63" t="s">
        <v>539</v>
      </c>
      <c r="E72" s="63" t="s">
        <v>539</v>
      </c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4"/>
      <c r="R72" s="64"/>
      <c r="S72" s="64"/>
    </row>
    <row r="73" spans="1:19">
      <c r="A73" s="1">
        <v>1</v>
      </c>
      <c r="B73" s="1" t="s">
        <v>87</v>
      </c>
      <c r="C73" s="39">
        <v>49</v>
      </c>
      <c r="D73" s="39">
        <v>11</v>
      </c>
      <c r="E73" s="39">
        <v>10</v>
      </c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4"/>
      <c r="R73" s="64"/>
      <c r="S73" s="64"/>
    </row>
    <row r="74" spans="1:19">
      <c r="A74" s="1">
        <v>1</v>
      </c>
      <c r="B74" s="5" t="s">
        <v>88</v>
      </c>
      <c r="C74" s="39">
        <v>33</v>
      </c>
      <c r="D74" s="39">
        <v>20</v>
      </c>
      <c r="E74" s="39">
        <v>14</v>
      </c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64"/>
      <c r="R74" s="68"/>
      <c r="S74" s="64"/>
    </row>
    <row r="75" spans="1:19">
      <c r="A75" s="1">
        <v>1</v>
      </c>
      <c r="B75" s="1" t="s">
        <v>89</v>
      </c>
      <c r="C75" s="39">
        <v>69</v>
      </c>
      <c r="D75" s="39">
        <v>17</v>
      </c>
      <c r="E75" s="39">
        <v>14</v>
      </c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4"/>
      <c r="R75" s="64"/>
      <c r="S75" s="64"/>
    </row>
    <row r="76" spans="1:19">
      <c r="A76" s="1">
        <v>1</v>
      </c>
      <c r="B76" s="1" t="s">
        <v>90</v>
      </c>
      <c r="C76" s="39">
        <v>50</v>
      </c>
      <c r="D76" s="39">
        <v>11</v>
      </c>
      <c r="E76" s="39">
        <v>8</v>
      </c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4"/>
      <c r="R76" s="64"/>
      <c r="S76" s="64"/>
    </row>
    <row r="77" spans="1:19">
      <c r="A77" s="1">
        <v>1</v>
      </c>
      <c r="B77" s="1" t="s">
        <v>91</v>
      </c>
      <c r="C77" s="39">
        <v>67</v>
      </c>
      <c r="D77" s="39">
        <v>11</v>
      </c>
      <c r="E77" s="39">
        <v>10</v>
      </c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4"/>
      <c r="R77" s="64"/>
      <c r="S77" s="64"/>
    </row>
    <row r="78" spans="1:19">
      <c r="A78" s="1">
        <v>1</v>
      </c>
      <c r="B78" s="1" t="s">
        <v>92</v>
      </c>
      <c r="C78" s="39">
        <v>50</v>
      </c>
      <c r="D78" s="39">
        <v>14</v>
      </c>
      <c r="E78" s="39">
        <v>8</v>
      </c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4"/>
      <c r="R78" s="64"/>
      <c r="S78" s="64"/>
    </row>
    <row r="79" spans="1:19">
      <c r="A79" s="1">
        <v>1</v>
      </c>
      <c r="B79" s="1" t="s">
        <v>93</v>
      </c>
      <c r="C79" s="39">
        <v>75</v>
      </c>
      <c r="D79" s="39">
        <v>23</v>
      </c>
      <c r="E79" s="39">
        <v>18</v>
      </c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4"/>
      <c r="R79" s="64"/>
      <c r="S79" s="64"/>
    </row>
    <row r="80" spans="1:19">
      <c r="A80" s="1">
        <v>1</v>
      </c>
      <c r="B80" s="1" t="s">
        <v>94</v>
      </c>
      <c r="C80" s="39">
        <v>38</v>
      </c>
      <c r="D80" s="39">
        <v>35</v>
      </c>
      <c r="E80" s="39">
        <v>17</v>
      </c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4"/>
      <c r="R80" s="64"/>
      <c r="S80" s="64"/>
    </row>
    <row r="81" spans="1:19">
      <c r="A81" s="1">
        <v>1</v>
      </c>
      <c r="B81" s="1" t="s">
        <v>95</v>
      </c>
      <c r="C81" s="39">
        <v>60</v>
      </c>
      <c r="D81" s="39">
        <v>24</v>
      </c>
      <c r="E81" s="39">
        <v>13</v>
      </c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4"/>
      <c r="R81" s="64"/>
      <c r="S81" s="64"/>
    </row>
    <row r="82" spans="1:19">
      <c r="A82" s="1">
        <v>1</v>
      </c>
      <c r="B82" s="1" t="s">
        <v>96</v>
      </c>
      <c r="C82" s="39">
        <v>39</v>
      </c>
      <c r="D82" s="39">
        <v>26</v>
      </c>
      <c r="E82" s="39">
        <v>19</v>
      </c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4"/>
      <c r="R82" s="64"/>
      <c r="S82" s="64"/>
    </row>
    <row r="83" spans="1:19">
      <c r="A83" s="1">
        <v>1</v>
      </c>
      <c r="B83" s="1" t="s">
        <v>97</v>
      </c>
      <c r="C83" s="39">
        <v>54</v>
      </c>
      <c r="D83" s="39">
        <v>27</v>
      </c>
      <c r="E83" s="39">
        <v>18</v>
      </c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4"/>
      <c r="R83" s="64"/>
      <c r="S83" s="64"/>
    </row>
    <row r="84" spans="1:19">
      <c r="A84" s="1">
        <v>1</v>
      </c>
      <c r="B84" s="1" t="s">
        <v>98</v>
      </c>
      <c r="C84" s="63" t="s">
        <v>539</v>
      </c>
      <c r="D84" s="63" t="s">
        <v>539</v>
      </c>
      <c r="E84" s="39" t="s">
        <v>539</v>
      </c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4"/>
      <c r="R84" s="64"/>
      <c r="S84" s="64"/>
    </row>
    <row r="85" spans="1:19">
      <c r="A85" s="1">
        <v>1</v>
      </c>
      <c r="B85" s="1" t="s">
        <v>99</v>
      </c>
      <c r="C85" s="39">
        <v>28</v>
      </c>
      <c r="D85" s="39">
        <v>13</v>
      </c>
      <c r="E85" s="39">
        <v>12</v>
      </c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4"/>
      <c r="R85" s="64"/>
      <c r="S85" s="64"/>
    </row>
    <row r="86" spans="1:19">
      <c r="A86" s="1">
        <v>1</v>
      </c>
      <c r="B86" s="1" t="s">
        <v>100</v>
      </c>
      <c r="C86" s="39">
        <v>66</v>
      </c>
      <c r="D86" s="39">
        <v>22</v>
      </c>
      <c r="E86" s="39">
        <v>16</v>
      </c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4"/>
      <c r="R86" s="64"/>
      <c r="S86" s="64"/>
    </row>
    <row r="87" spans="1:19">
      <c r="A87" s="1">
        <v>1</v>
      </c>
      <c r="B87" s="1" t="s">
        <v>101</v>
      </c>
      <c r="C87" s="39">
        <v>38</v>
      </c>
      <c r="D87" s="39">
        <v>28</v>
      </c>
      <c r="E87" s="39">
        <v>11</v>
      </c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4"/>
      <c r="R87" s="64"/>
      <c r="S87" s="64"/>
    </row>
    <row r="88" spans="1:19">
      <c r="A88" s="1">
        <v>1</v>
      </c>
      <c r="B88" s="1" t="s">
        <v>102</v>
      </c>
      <c r="C88" s="39">
        <v>38</v>
      </c>
      <c r="D88" s="39">
        <v>39</v>
      </c>
      <c r="E88" s="39">
        <v>17</v>
      </c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4"/>
      <c r="R88" s="64"/>
      <c r="S88" s="64"/>
    </row>
    <row r="89" spans="1:19">
      <c r="A89" s="1">
        <v>1</v>
      </c>
      <c r="B89" s="1" t="s">
        <v>103</v>
      </c>
      <c r="C89" s="39">
        <v>50</v>
      </c>
      <c r="D89" s="39">
        <v>17</v>
      </c>
      <c r="E89" s="39">
        <v>15</v>
      </c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4"/>
      <c r="R89" s="68"/>
      <c r="S89" s="64"/>
    </row>
    <row r="90" spans="1:19">
      <c r="A90" s="1">
        <v>1</v>
      </c>
      <c r="B90" s="1" t="s">
        <v>104</v>
      </c>
      <c r="C90" s="39">
        <v>38</v>
      </c>
      <c r="D90" s="39">
        <v>22</v>
      </c>
      <c r="E90" s="39">
        <v>16</v>
      </c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4"/>
      <c r="R90" s="64"/>
      <c r="S90" s="64"/>
    </row>
    <row r="91" spans="1:19">
      <c r="A91" s="1">
        <v>1</v>
      </c>
      <c r="B91" s="1" t="s">
        <v>105</v>
      </c>
      <c r="C91" s="39">
        <v>51</v>
      </c>
      <c r="D91" s="39">
        <v>53</v>
      </c>
      <c r="E91" s="39">
        <v>18</v>
      </c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4"/>
      <c r="R91" s="64"/>
      <c r="S91" s="64"/>
    </row>
    <row r="92" spans="1:19">
      <c r="A92" s="1">
        <v>1</v>
      </c>
      <c r="B92" s="1" t="s">
        <v>106</v>
      </c>
      <c r="C92" s="39">
        <v>39</v>
      </c>
      <c r="D92" s="39">
        <v>40</v>
      </c>
      <c r="E92" s="39">
        <v>24</v>
      </c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4"/>
      <c r="R92" s="64"/>
      <c r="S92" s="64"/>
    </row>
    <row r="93" spans="1:19">
      <c r="A93" s="1">
        <v>1</v>
      </c>
      <c r="B93" s="1" t="s">
        <v>107</v>
      </c>
      <c r="C93" s="39">
        <v>60</v>
      </c>
      <c r="D93" s="39">
        <v>22</v>
      </c>
      <c r="E93" s="39">
        <v>12</v>
      </c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4"/>
      <c r="R93" s="64"/>
      <c r="S93" s="64"/>
    </row>
    <row r="94" spans="1:19">
      <c r="A94" s="1">
        <v>1</v>
      </c>
      <c r="B94" s="1" t="s">
        <v>108</v>
      </c>
      <c r="C94" s="39">
        <v>42</v>
      </c>
      <c r="D94" s="39">
        <v>18</v>
      </c>
      <c r="E94" s="39">
        <v>11</v>
      </c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4"/>
      <c r="R94" s="64"/>
      <c r="S94" s="64"/>
    </row>
    <row r="95" spans="1:19">
      <c r="A95" s="1">
        <v>1</v>
      </c>
      <c r="B95" s="1" t="s">
        <v>109</v>
      </c>
      <c r="C95" s="39">
        <v>43</v>
      </c>
      <c r="D95" s="39">
        <v>12</v>
      </c>
      <c r="E95" s="39">
        <v>8</v>
      </c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4"/>
      <c r="R95" s="64"/>
      <c r="S95" s="64"/>
    </row>
    <row r="96" spans="1:19">
      <c r="A96" s="7">
        <v>1</v>
      </c>
      <c r="B96" s="7" t="s">
        <v>110</v>
      </c>
      <c r="C96" s="65">
        <v>41</v>
      </c>
      <c r="D96" s="65">
        <v>18</v>
      </c>
      <c r="E96" s="65">
        <v>9</v>
      </c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6"/>
      <c r="R96" s="67"/>
      <c r="S96" s="66"/>
    </row>
    <row r="97" spans="1:19">
      <c r="A97" s="1">
        <v>1</v>
      </c>
      <c r="B97" s="1" t="s">
        <v>111</v>
      </c>
      <c r="C97" s="39">
        <v>42</v>
      </c>
      <c r="D97" s="39">
        <v>32</v>
      </c>
      <c r="E97" s="39">
        <v>12</v>
      </c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4"/>
      <c r="R97" s="64"/>
      <c r="S97" s="64"/>
    </row>
    <row r="98" spans="1:19"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</row>
    <row r="99" spans="1:19">
      <c r="A99" s="1" t="s">
        <v>112</v>
      </c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</row>
    <row r="100" spans="1:19">
      <c r="A100" s="1">
        <v>0</v>
      </c>
      <c r="B100" s="1" t="s">
        <v>113</v>
      </c>
      <c r="C100" s="39">
        <v>23</v>
      </c>
      <c r="D100" s="39">
        <v>9</v>
      </c>
      <c r="E100" s="39">
        <v>7</v>
      </c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4"/>
      <c r="R100" s="70"/>
      <c r="S100" s="71"/>
    </row>
    <row r="101" spans="1:19">
      <c r="A101" s="1">
        <v>0</v>
      </c>
      <c r="B101" s="1" t="s">
        <v>114</v>
      </c>
      <c r="C101" s="39">
        <v>27</v>
      </c>
      <c r="D101" s="39">
        <v>37</v>
      </c>
      <c r="E101" s="39">
        <v>14</v>
      </c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4"/>
      <c r="R101" s="71"/>
      <c r="S101" s="71"/>
    </row>
    <row r="102" spans="1:19">
      <c r="A102" s="1">
        <v>0</v>
      </c>
      <c r="B102" s="1" t="s">
        <v>115</v>
      </c>
      <c r="C102" s="39">
        <v>51</v>
      </c>
      <c r="D102" s="39">
        <v>26</v>
      </c>
      <c r="E102" s="39">
        <v>10</v>
      </c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4"/>
      <c r="R102" s="71"/>
      <c r="S102" s="71"/>
    </row>
    <row r="103" spans="1:19">
      <c r="A103" s="1">
        <v>0</v>
      </c>
      <c r="B103" s="1" t="s">
        <v>116</v>
      </c>
      <c r="C103" s="39">
        <v>62</v>
      </c>
      <c r="D103" s="39">
        <v>50</v>
      </c>
      <c r="E103" s="39">
        <v>14</v>
      </c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4"/>
      <c r="R103" s="71"/>
      <c r="S103" s="71"/>
    </row>
    <row r="104" spans="1:19">
      <c r="A104" s="1">
        <v>0</v>
      </c>
      <c r="B104" s="1" t="s">
        <v>117</v>
      </c>
      <c r="C104" s="39">
        <v>61</v>
      </c>
      <c r="D104" s="39">
        <v>22</v>
      </c>
      <c r="E104" s="39">
        <v>8</v>
      </c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4"/>
      <c r="R104" s="71"/>
      <c r="S104" s="71"/>
    </row>
    <row r="105" spans="1:19">
      <c r="A105" s="1">
        <v>0</v>
      </c>
      <c r="B105" s="1" t="s">
        <v>118</v>
      </c>
      <c r="C105" s="39">
        <v>43</v>
      </c>
      <c r="D105" s="39">
        <v>10</v>
      </c>
      <c r="E105" s="39">
        <v>4</v>
      </c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4"/>
      <c r="R105" s="70"/>
      <c r="S105" s="71"/>
    </row>
    <row r="106" spans="1:19">
      <c r="A106" s="1">
        <v>0</v>
      </c>
      <c r="B106" s="1" t="s">
        <v>119</v>
      </c>
      <c r="C106" s="39">
        <v>45</v>
      </c>
      <c r="D106" s="39">
        <v>6</v>
      </c>
      <c r="E106" s="39">
        <v>3</v>
      </c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4"/>
      <c r="R106" s="70"/>
      <c r="S106" s="71"/>
    </row>
    <row r="107" spans="1:19">
      <c r="A107" s="1">
        <v>0</v>
      </c>
      <c r="B107" s="1" t="s">
        <v>120</v>
      </c>
      <c r="C107" s="39">
        <v>40</v>
      </c>
      <c r="D107" s="39">
        <v>6</v>
      </c>
      <c r="E107" s="39">
        <v>5</v>
      </c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4"/>
      <c r="R107" s="70"/>
      <c r="S107" s="71"/>
    </row>
    <row r="108" spans="1:19">
      <c r="A108" s="1">
        <v>0</v>
      </c>
      <c r="B108" s="1" t="s">
        <v>121</v>
      </c>
      <c r="C108" s="39">
        <v>44</v>
      </c>
      <c r="D108" s="39">
        <v>12</v>
      </c>
      <c r="E108" s="39">
        <v>9</v>
      </c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4"/>
      <c r="R108" s="70"/>
      <c r="S108" s="71"/>
    </row>
    <row r="109" spans="1:19">
      <c r="A109" s="1">
        <v>0</v>
      </c>
      <c r="B109" s="1" t="s">
        <v>122</v>
      </c>
      <c r="C109" s="39">
        <v>48</v>
      </c>
      <c r="D109" s="39">
        <v>8</v>
      </c>
      <c r="E109" s="39">
        <v>6</v>
      </c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4"/>
      <c r="R109" s="70"/>
      <c r="S109" s="71"/>
    </row>
    <row r="110" spans="1:19">
      <c r="A110" s="1">
        <v>0</v>
      </c>
      <c r="B110" s="1" t="s">
        <v>123</v>
      </c>
      <c r="C110" s="39">
        <v>43</v>
      </c>
      <c r="D110" s="39">
        <v>7</v>
      </c>
      <c r="E110" s="39">
        <v>7</v>
      </c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4"/>
      <c r="R110" s="71"/>
      <c r="S110" s="71"/>
    </row>
    <row r="111" spans="1:19">
      <c r="A111" s="1">
        <v>0</v>
      </c>
      <c r="B111" s="1" t="s">
        <v>124</v>
      </c>
      <c r="C111" s="39">
        <v>36</v>
      </c>
      <c r="D111" s="39">
        <v>10</v>
      </c>
      <c r="E111" s="39">
        <v>5</v>
      </c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4"/>
      <c r="R111" s="70"/>
      <c r="S111" s="71"/>
    </row>
    <row r="112" spans="1:19">
      <c r="A112" s="1">
        <v>0</v>
      </c>
      <c r="B112" s="1" t="s">
        <v>125</v>
      </c>
      <c r="C112" s="39">
        <v>25</v>
      </c>
      <c r="D112" s="39">
        <v>23</v>
      </c>
      <c r="E112" s="39">
        <v>10</v>
      </c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4"/>
      <c r="R112" s="71"/>
      <c r="S112" s="71"/>
    </row>
    <row r="113" spans="1:19">
      <c r="A113" s="1">
        <v>0</v>
      </c>
      <c r="B113" s="1" t="s">
        <v>126</v>
      </c>
      <c r="C113" s="39">
        <v>37</v>
      </c>
      <c r="D113" s="39">
        <v>12</v>
      </c>
      <c r="E113" s="39">
        <v>7</v>
      </c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4"/>
      <c r="R113" s="70"/>
      <c r="S113" s="71"/>
    </row>
    <row r="114" spans="1:19">
      <c r="A114" s="1">
        <v>0</v>
      </c>
      <c r="B114" s="1" t="s">
        <v>127</v>
      </c>
      <c r="C114" s="39">
        <v>32</v>
      </c>
      <c r="D114" s="39">
        <v>30</v>
      </c>
      <c r="E114" s="39">
        <v>9</v>
      </c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4"/>
      <c r="R114" s="71"/>
      <c r="S114" s="71"/>
    </row>
    <row r="115" spans="1:19">
      <c r="A115" s="1">
        <v>0</v>
      </c>
      <c r="B115" s="1" t="s">
        <v>128</v>
      </c>
      <c r="C115" s="39">
        <v>42</v>
      </c>
      <c r="D115" s="39">
        <v>14</v>
      </c>
      <c r="E115" s="39">
        <v>7</v>
      </c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4"/>
      <c r="R115" s="70"/>
      <c r="S115" s="71"/>
    </row>
    <row r="116" spans="1:19">
      <c r="A116" s="1">
        <v>0</v>
      </c>
      <c r="B116" s="1" t="s">
        <v>129</v>
      </c>
      <c r="C116" s="39">
        <v>59</v>
      </c>
      <c r="D116" s="39">
        <v>9</v>
      </c>
      <c r="E116" s="39">
        <v>6</v>
      </c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4"/>
      <c r="R116" s="70"/>
      <c r="S116" s="71"/>
    </row>
    <row r="117" spans="1:19">
      <c r="A117" s="1">
        <v>0</v>
      </c>
      <c r="B117" s="1" t="s">
        <v>130</v>
      </c>
      <c r="C117" s="39">
        <v>49</v>
      </c>
      <c r="D117" s="63" t="s">
        <v>539</v>
      </c>
      <c r="E117" s="63" t="s">
        <v>539</v>
      </c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4"/>
      <c r="R117" s="70"/>
      <c r="S117" s="71"/>
    </row>
    <row r="118" spans="1:19">
      <c r="A118" s="1">
        <v>0</v>
      </c>
      <c r="B118" s="1" t="s">
        <v>131</v>
      </c>
      <c r="C118" s="39">
        <v>47</v>
      </c>
      <c r="D118" s="39">
        <v>23</v>
      </c>
      <c r="E118" s="39">
        <v>6</v>
      </c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4"/>
      <c r="R118" s="70"/>
      <c r="S118" s="71"/>
    </row>
    <row r="119" spans="1:19">
      <c r="A119" s="1">
        <v>0</v>
      </c>
      <c r="B119" s="1" t="s">
        <v>132</v>
      </c>
      <c r="C119" s="39">
        <v>44</v>
      </c>
      <c r="D119" s="39">
        <v>8</v>
      </c>
      <c r="E119" s="39">
        <v>6</v>
      </c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4"/>
      <c r="R119" s="70"/>
      <c r="S119" s="71"/>
    </row>
    <row r="120" spans="1:19">
      <c r="A120" s="1">
        <v>0</v>
      </c>
      <c r="B120" s="1" t="s">
        <v>133</v>
      </c>
      <c r="C120" s="39">
        <v>44</v>
      </c>
      <c r="D120" s="39">
        <v>23</v>
      </c>
      <c r="E120" s="39">
        <v>12</v>
      </c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4"/>
      <c r="R120" s="71"/>
      <c r="S120" s="71"/>
    </row>
    <row r="121" spans="1:19">
      <c r="A121" s="1">
        <v>0</v>
      </c>
      <c r="B121" s="1" t="s">
        <v>134</v>
      </c>
      <c r="C121" s="39">
        <v>47</v>
      </c>
      <c r="D121" s="39">
        <v>12</v>
      </c>
      <c r="E121" s="39">
        <v>7</v>
      </c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4"/>
      <c r="R121" s="71"/>
      <c r="S121" s="71"/>
    </row>
    <row r="122" spans="1:19">
      <c r="A122" s="1">
        <v>0</v>
      </c>
      <c r="B122" s="5" t="s">
        <v>135</v>
      </c>
      <c r="C122" s="39">
        <v>34</v>
      </c>
      <c r="D122" s="39">
        <v>23</v>
      </c>
      <c r="E122" s="39">
        <v>11</v>
      </c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64"/>
      <c r="R122" s="70"/>
      <c r="S122" s="71"/>
    </row>
    <row r="123" spans="1:19">
      <c r="A123" s="1">
        <v>0</v>
      </c>
      <c r="B123" s="1" t="s">
        <v>136</v>
      </c>
      <c r="C123" s="39">
        <v>49</v>
      </c>
      <c r="D123" s="39">
        <v>11</v>
      </c>
      <c r="E123" s="39">
        <v>7</v>
      </c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4"/>
      <c r="R123" s="70"/>
      <c r="S123" s="71"/>
    </row>
    <row r="124" spans="1:19">
      <c r="A124" s="7">
        <v>0</v>
      </c>
      <c r="B124" s="7" t="s">
        <v>137</v>
      </c>
      <c r="C124" s="65">
        <v>29</v>
      </c>
      <c r="D124" s="65">
        <v>17</v>
      </c>
      <c r="E124" s="65">
        <v>6</v>
      </c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6"/>
      <c r="R124" s="72"/>
      <c r="S124" s="73"/>
    </row>
    <row r="125" spans="1:19">
      <c r="A125" s="7">
        <v>0</v>
      </c>
      <c r="B125" s="7" t="s">
        <v>138</v>
      </c>
      <c r="C125" s="65">
        <v>24</v>
      </c>
      <c r="D125" s="65">
        <v>17</v>
      </c>
      <c r="E125" s="65">
        <v>4</v>
      </c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6"/>
      <c r="R125" s="73"/>
      <c r="S125" s="73"/>
    </row>
    <row r="126" spans="1:19">
      <c r="A126" s="1">
        <v>0</v>
      </c>
      <c r="B126" s="1" t="s">
        <v>139</v>
      </c>
      <c r="C126" s="39">
        <v>46</v>
      </c>
      <c r="D126" s="39">
        <v>16</v>
      </c>
      <c r="E126" s="39">
        <v>5</v>
      </c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4"/>
      <c r="R126" s="71"/>
      <c r="S126" s="71"/>
    </row>
    <row r="127" spans="1:19">
      <c r="A127" s="1">
        <v>0</v>
      </c>
      <c r="B127" s="1" t="s">
        <v>140</v>
      </c>
      <c r="C127" s="39">
        <v>52</v>
      </c>
      <c r="D127" s="39">
        <v>6</v>
      </c>
      <c r="E127" s="39">
        <v>3</v>
      </c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4"/>
      <c r="R127" s="70"/>
      <c r="S127" s="71"/>
    </row>
    <row r="128" spans="1:19">
      <c r="A128" s="1">
        <v>0</v>
      </c>
      <c r="B128" s="1" t="s">
        <v>141</v>
      </c>
      <c r="C128" s="39">
        <v>44</v>
      </c>
      <c r="D128" s="39">
        <v>26</v>
      </c>
      <c r="E128" s="39">
        <v>11</v>
      </c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4"/>
      <c r="R128" s="71"/>
      <c r="S128" s="71"/>
    </row>
    <row r="129" spans="1:19">
      <c r="A129" s="1">
        <v>0</v>
      </c>
      <c r="B129" s="1" t="s">
        <v>142</v>
      </c>
      <c r="C129" s="39">
        <v>44</v>
      </c>
      <c r="D129" s="39">
        <v>13</v>
      </c>
      <c r="E129" s="39">
        <v>3</v>
      </c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4"/>
      <c r="R129" s="70"/>
      <c r="S129" s="71"/>
    </row>
    <row r="130" spans="1:19">
      <c r="A130" s="1">
        <v>0</v>
      </c>
      <c r="B130" s="1" t="s">
        <v>143</v>
      </c>
      <c r="C130" s="39">
        <v>39</v>
      </c>
      <c r="D130" s="39">
        <v>10</v>
      </c>
      <c r="E130" s="39">
        <v>5</v>
      </c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4"/>
      <c r="R130" s="70"/>
      <c r="S130" s="71"/>
    </row>
    <row r="131" spans="1:19">
      <c r="A131" s="7">
        <v>0</v>
      </c>
      <c r="B131" s="7" t="s">
        <v>144</v>
      </c>
      <c r="C131" s="65">
        <v>51</v>
      </c>
      <c r="D131" s="65">
        <v>16</v>
      </c>
      <c r="E131" s="65">
        <v>4</v>
      </c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6"/>
      <c r="R131" s="73"/>
      <c r="S131" s="73"/>
    </row>
    <row r="132" spans="1:19">
      <c r="A132" s="1">
        <v>0</v>
      </c>
      <c r="B132" s="1" t="s">
        <v>145</v>
      </c>
      <c r="C132" s="39">
        <v>35</v>
      </c>
      <c r="D132" s="39">
        <v>12</v>
      </c>
      <c r="E132" s="39">
        <v>9</v>
      </c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4"/>
      <c r="R132" s="70"/>
      <c r="S132" s="71"/>
    </row>
    <row r="133" spans="1:19">
      <c r="A133" s="1">
        <v>0</v>
      </c>
      <c r="B133" s="1" t="s">
        <v>146</v>
      </c>
      <c r="C133" s="39">
        <v>43</v>
      </c>
      <c r="D133" s="39">
        <v>13</v>
      </c>
      <c r="E133" s="39">
        <v>12</v>
      </c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4"/>
      <c r="R133" s="70"/>
      <c r="S133" s="71"/>
    </row>
    <row r="134" spans="1:19">
      <c r="A134" s="1">
        <v>0</v>
      </c>
      <c r="B134" s="1" t="s">
        <v>147</v>
      </c>
      <c r="C134" s="39">
        <v>53</v>
      </c>
      <c r="D134" s="39">
        <v>7</v>
      </c>
      <c r="E134" s="39">
        <v>7</v>
      </c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4"/>
      <c r="R134" s="71"/>
      <c r="S134" s="71"/>
    </row>
    <row r="135" spans="1:19">
      <c r="A135" s="1">
        <v>0</v>
      </c>
      <c r="B135" s="1" t="s">
        <v>148</v>
      </c>
      <c r="C135" s="39">
        <v>47</v>
      </c>
      <c r="D135" s="39">
        <v>19</v>
      </c>
      <c r="E135" s="39">
        <v>7</v>
      </c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4"/>
      <c r="R135" s="71"/>
      <c r="S135" s="71"/>
    </row>
    <row r="136" spans="1:19">
      <c r="A136" s="1">
        <v>0</v>
      </c>
      <c r="B136" s="1" t="s">
        <v>149</v>
      </c>
      <c r="C136" s="39">
        <v>38</v>
      </c>
      <c r="D136" s="39">
        <v>6</v>
      </c>
      <c r="E136" s="39">
        <v>5</v>
      </c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4"/>
      <c r="R136" s="70"/>
      <c r="S136" s="71"/>
    </row>
    <row r="137" spans="1:19">
      <c r="A137" s="1">
        <v>0</v>
      </c>
      <c r="B137" s="1" t="s">
        <v>150</v>
      </c>
      <c r="C137" s="39">
        <v>49</v>
      </c>
      <c r="D137" s="39">
        <v>8</v>
      </c>
      <c r="E137" s="39">
        <v>3</v>
      </c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4"/>
      <c r="R137" s="70"/>
      <c r="S137" s="71"/>
    </row>
    <row r="138" spans="1:19">
      <c r="A138" s="1">
        <v>0</v>
      </c>
      <c r="B138" s="1" t="s">
        <v>151</v>
      </c>
      <c r="C138" s="39">
        <v>59</v>
      </c>
      <c r="D138" s="39">
        <v>9</v>
      </c>
      <c r="E138" s="39">
        <v>5</v>
      </c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4"/>
      <c r="R138" s="70"/>
      <c r="S138" s="71"/>
    </row>
    <row r="139" spans="1:19">
      <c r="A139" s="1">
        <v>0</v>
      </c>
      <c r="B139" s="1" t="s">
        <v>152</v>
      </c>
      <c r="C139" s="39">
        <v>58</v>
      </c>
      <c r="D139" s="39">
        <v>14</v>
      </c>
      <c r="E139" s="39">
        <v>7</v>
      </c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4"/>
      <c r="R139" s="70"/>
      <c r="S139" s="71"/>
    </row>
    <row r="140" spans="1:19">
      <c r="A140" s="1">
        <v>0</v>
      </c>
      <c r="B140" s="1" t="s">
        <v>153</v>
      </c>
      <c r="C140" s="39">
        <v>45</v>
      </c>
      <c r="D140" s="39">
        <v>9</v>
      </c>
      <c r="E140" s="39">
        <v>3</v>
      </c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4"/>
      <c r="R140" s="70"/>
      <c r="S140" s="71"/>
    </row>
    <row r="141" spans="1:19">
      <c r="A141" s="1">
        <v>0</v>
      </c>
      <c r="B141" s="1" t="s">
        <v>154</v>
      </c>
      <c r="C141" s="39">
        <v>32</v>
      </c>
      <c r="D141" s="39">
        <v>25</v>
      </c>
      <c r="E141" s="39">
        <v>7</v>
      </c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4"/>
      <c r="R141" s="70"/>
      <c r="S141" s="71"/>
    </row>
    <row r="142" spans="1:19">
      <c r="A142" s="1">
        <v>0</v>
      </c>
      <c r="B142" s="1" t="s">
        <v>155</v>
      </c>
      <c r="C142" s="39">
        <v>59</v>
      </c>
      <c r="D142" s="39">
        <v>9</v>
      </c>
      <c r="E142" s="39">
        <v>6</v>
      </c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74"/>
      <c r="R142" s="70"/>
      <c r="S142" s="71"/>
    </row>
    <row r="143" spans="1:19">
      <c r="A143" s="1">
        <v>0</v>
      </c>
      <c r="B143" s="1" t="s">
        <v>156</v>
      </c>
      <c r="C143" s="39">
        <v>37</v>
      </c>
      <c r="D143" s="39">
        <v>13</v>
      </c>
      <c r="E143" s="39">
        <v>7</v>
      </c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4"/>
      <c r="R143" s="71"/>
      <c r="S143" s="71"/>
    </row>
    <row r="144" spans="1:19">
      <c r="A144" s="2">
        <v>0</v>
      </c>
      <c r="B144" s="2" t="s">
        <v>157</v>
      </c>
      <c r="C144" s="75">
        <v>36</v>
      </c>
      <c r="D144" s="75">
        <v>20</v>
      </c>
      <c r="E144" s="75">
        <v>9</v>
      </c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6"/>
      <c r="R144" s="77"/>
      <c r="S144" s="77"/>
    </row>
    <row r="145" spans="1:19">
      <c r="A145" s="1">
        <v>1</v>
      </c>
      <c r="B145" s="1" t="s">
        <v>158</v>
      </c>
      <c r="C145" s="39">
        <v>57</v>
      </c>
      <c r="D145" s="39">
        <v>29</v>
      </c>
      <c r="E145" s="39">
        <v>9</v>
      </c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4"/>
      <c r="R145" s="71"/>
      <c r="S145" s="71"/>
    </row>
    <row r="146" spans="1:19">
      <c r="A146" s="1">
        <v>1</v>
      </c>
      <c r="B146" s="1" t="s">
        <v>159</v>
      </c>
      <c r="C146" s="39">
        <v>52</v>
      </c>
      <c r="D146" s="39">
        <v>16</v>
      </c>
      <c r="E146" s="39">
        <v>12</v>
      </c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4"/>
      <c r="R146" s="71"/>
      <c r="S146" s="71"/>
    </row>
    <row r="147" spans="1:19">
      <c r="A147" s="1">
        <v>1</v>
      </c>
      <c r="B147" s="1" t="s">
        <v>160</v>
      </c>
      <c r="C147" s="39">
        <v>48</v>
      </c>
      <c r="D147" s="39">
        <v>14</v>
      </c>
      <c r="E147" s="39">
        <v>10</v>
      </c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4"/>
      <c r="R147" s="70"/>
      <c r="S147" s="71"/>
    </row>
    <row r="148" spans="1:19">
      <c r="A148" s="1">
        <v>1</v>
      </c>
      <c r="B148" s="1" t="s">
        <v>161</v>
      </c>
      <c r="C148" s="39">
        <v>42</v>
      </c>
      <c r="D148" s="39">
        <v>10</v>
      </c>
      <c r="E148" s="39">
        <v>10</v>
      </c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4"/>
      <c r="R148" s="71"/>
      <c r="S148" s="71"/>
    </row>
    <row r="149" spans="1:19">
      <c r="A149" s="1">
        <v>1</v>
      </c>
      <c r="B149" s="1" t="s">
        <v>162</v>
      </c>
      <c r="C149" s="39">
        <v>41</v>
      </c>
      <c r="D149" s="39">
        <v>14</v>
      </c>
      <c r="E149" s="39">
        <v>13</v>
      </c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4"/>
      <c r="R149" s="71"/>
      <c r="S149" s="71"/>
    </row>
    <row r="150" spans="1:19">
      <c r="A150" s="1">
        <v>1</v>
      </c>
      <c r="B150" s="1" t="s">
        <v>163</v>
      </c>
      <c r="C150" s="39">
        <v>51</v>
      </c>
      <c r="D150" s="39">
        <v>24</v>
      </c>
      <c r="E150" s="39">
        <v>23</v>
      </c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4"/>
      <c r="R150" s="71"/>
      <c r="S150" s="71"/>
    </row>
    <row r="151" spans="1:19">
      <c r="A151" s="1">
        <v>1</v>
      </c>
      <c r="B151" s="1" t="s">
        <v>164</v>
      </c>
      <c r="C151" s="39">
        <v>60</v>
      </c>
      <c r="D151" s="39">
        <v>28</v>
      </c>
      <c r="E151" s="39">
        <v>14</v>
      </c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4"/>
      <c r="R151" s="71"/>
      <c r="S151" s="71"/>
    </row>
    <row r="152" spans="1:19">
      <c r="A152" s="1">
        <v>1</v>
      </c>
      <c r="B152" s="1" t="s">
        <v>165</v>
      </c>
      <c r="C152" s="39">
        <v>54</v>
      </c>
      <c r="D152" s="39">
        <v>22</v>
      </c>
      <c r="E152" s="39">
        <v>13</v>
      </c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4"/>
      <c r="R152" s="71"/>
      <c r="S152" s="71"/>
    </row>
    <row r="153" spans="1:19">
      <c r="A153" s="1">
        <v>1</v>
      </c>
      <c r="B153" s="1" t="s">
        <v>166</v>
      </c>
      <c r="C153" s="39">
        <v>47</v>
      </c>
      <c r="D153" s="39">
        <v>11</v>
      </c>
      <c r="E153" s="39">
        <v>10</v>
      </c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4"/>
      <c r="R153" s="71"/>
      <c r="S153" s="71"/>
    </row>
    <row r="154" spans="1:19">
      <c r="A154" s="7">
        <v>1</v>
      </c>
      <c r="B154" s="7" t="s">
        <v>167</v>
      </c>
      <c r="C154" s="65">
        <v>46</v>
      </c>
      <c r="D154" s="65">
        <v>14</v>
      </c>
      <c r="E154" s="65">
        <v>10</v>
      </c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6"/>
      <c r="R154" s="73"/>
      <c r="S154" s="73"/>
    </row>
    <row r="155" spans="1:19">
      <c r="A155" s="1">
        <v>1</v>
      </c>
      <c r="B155" s="1" t="s">
        <v>168</v>
      </c>
      <c r="C155" s="39">
        <v>40</v>
      </c>
      <c r="D155" s="39">
        <v>29</v>
      </c>
      <c r="E155" s="39">
        <v>12</v>
      </c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4"/>
      <c r="R155" s="71"/>
      <c r="S155" s="71"/>
    </row>
    <row r="156" spans="1:19">
      <c r="A156" s="1">
        <v>1</v>
      </c>
      <c r="B156" s="1" t="s">
        <v>169</v>
      </c>
      <c r="C156" s="39">
        <v>42</v>
      </c>
      <c r="D156" s="39">
        <v>22</v>
      </c>
      <c r="E156" s="39">
        <v>10</v>
      </c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4"/>
      <c r="R156" s="71"/>
      <c r="S156" s="71"/>
    </row>
    <row r="157" spans="1:19">
      <c r="A157" s="1">
        <v>1</v>
      </c>
      <c r="B157" s="1" t="s">
        <v>170</v>
      </c>
      <c r="C157" s="39">
        <v>62</v>
      </c>
      <c r="D157" s="39">
        <v>50</v>
      </c>
      <c r="E157" s="39">
        <v>19</v>
      </c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4"/>
      <c r="R157" s="71"/>
      <c r="S157" s="71"/>
    </row>
    <row r="158" spans="1:19">
      <c r="A158" s="1">
        <v>1</v>
      </c>
      <c r="B158" s="1" t="s">
        <v>171</v>
      </c>
      <c r="C158" s="39">
        <v>35</v>
      </c>
      <c r="D158" s="39">
        <v>29</v>
      </c>
      <c r="E158" s="39">
        <v>14</v>
      </c>
      <c r="F158" s="63"/>
      <c r="G158" s="63"/>
      <c r="H158" s="63"/>
      <c r="I158" s="78"/>
      <c r="J158" s="63"/>
      <c r="K158" s="63"/>
      <c r="L158" s="63"/>
      <c r="M158" s="63"/>
      <c r="N158" s="63"/>
      <c r="O158" s="63"/>
      <c r="P158" s="63"/>
      <c r="Q158" s="64"/>
      <c r="R158" s="71"/>
      <c r="S158" s="71"/>
    </row>
    <row r="159" spans="1:19">
      <c r="A159" s="1">
        <v>1</v>
      </c>
      <c r="B159" s="1" t="s">
        <v>172</v>
      </c>
      <c r="C159" s="63" t="s">
        <v>539</v>
      </c>
      <c r="D159" s="63" t="s">
        <v>539</v>
      </c>
      <c r="E159" s="39" t="s">
        <v>539</v>
      </c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4"/>
      <c r="R159" s="71"/>
      <c r="S159" s="71"/>
    </row>
    <row r="160" spans="1:19">
      <c r="A160" s="1">
        <v>1</v>
      </c>
      <c r="B160" s="1" t="s">
        <v>173</v>
      </c>
      <c r="C160" s="39">
        <v>71</v>
      </c>
      <c r="D160" s="39">
        <v>15</v>
      </c>
      <c r="E160" s="39">
        <v>11</v>
      </c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4"/>
      <c r="R160" s="70"/>
      <c r="S160" s="71"/>
    </row>
    <row r="161" spans="1:19">
      <c r="A161" s="1">
        <v>1</v>
      </c>
      <c r="B161" s="1" t="s">
        <v>174</v>
      </c>
      <c r="C161" s="39">
        <v>47</v>
      </c>
      <c r="D161" s="39">
        <v>25</v>
      </c>
      <c r="E161" s="39">
        <v>15</v>
      </c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4"/>
      <c r="R161" s="71"/>
      <c r="S161" s="71"/>
    </row>
    <row r="162" spans="1:19">
      <c r="A162" s="1">
        <v>1</v>
      </c>
      <c r="B162" s="1" t="s">
        <v>175</v>
      </c>
      <c r="C162" s="39">
        <v>72</v>
      </c>
      <c r="D162" s="39">
        <v>7</v>
      </c>
      <c r="E162" s="39">
        <v>5</v>
      </c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4"/>
      <c r="R162" s="71"/>
      <c r="S162" s="71"/>
    </row>
    <row r="163" spans="1:19">
      <c r="A163" s="1">
        <v>1</v>
      </c>
      <c r="B163" s="1" t="s">
        <v>176</v>
      </c>
      <c r="C163" s="39">
        <v>32</v>
      </c>
      <c r="D163" s="39">
        <v>9</v>
      </c>
      <c r="E163" s="39">
        <v>8</v>
      </c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4"/>
      <c r="R163" s="71"/>
      <c r="S163" s="71"/>
    </row>
    <row r="164" spans="1:19">
      <c r="A164" s="1">
        <v>1</v>
      </c>
      <c r="B164" s="1" t="s">
        <v>177</v>
      </c>
      <c r="C164" s="39">
        <v>66</v>
      </c>
      <c r="D164" s="39">
        <v>12</v>
      </c>
      <c r="E164" s="39">
        <v>12</v>
      </c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4"/>
      <c r="R164" s="71"/>
      <c r="S164" s="71"/>
    </row>
    <row r="165" spans="1:19">
      <c r="A165" s="1">
        <v>1</v>
      </c>
      <c r="B165" s="1" t="s">
        <v>178</v>
      </c>
      <c r="C165" s="39">
        <v>59</v>
      </c>
      <c r="D165" s="39">
        <v>16</v>
      </c>
      <c r="E165" s="39">
        <v>7</v>
      </c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4"/>
      <c r="R165" s="70"/>
      <c r="S165" s="71"/>
    </row>
    <row r="166" spans="1:19">
      <c r="A166" s="7">
        <v>1</v>
      </c>
      <c r="B166" s="7" t="s">
        <v>179</v>
      </c>
      <c r="C166" s="65">
        <v>64</v>
      </c>
      <c r="D166" s="65">
        <v>67</v>
      </c>
      <c r="E166" s="65">
        <v>21</v>
      </c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6"/>
      <c r="R166" s="73"/>
      <c r="S166" s="73"/>
    </row>
    <row r="167" spans="1:19">
      <c r="A167" s="1">
        <v>1</v>
      </c>
      <c r="B167" s="1" t="s">
        <v>180</v>
      </c>
      <c r="C167" s="39">
        <v>38</v>
      </c>
      <c r="D167" s="39">
        <v>32</v>
      </c>
      <c r="E167" s="39">
        <v>18</v>
      </c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4"/>
      <c r="R167" s="71"/>
      <c r="S167" s="71"/>
    </row>
    <row r="168" spans="1:19">
      <c r="A168" s="1">
        <v>1</v>
      </c>
      <c r="B168" s="1" t="s">
        <v>181</v>
      </c>
      <c r="C168" s="39">
        <v>78</v>
      </c>
      <c r="D168" s="39">
        <v>32</v>
      </c>
      <c r="E168" s="39">
        <v>18</v>
      </c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4"/>
      <c r="R168" s="71"/>
      <c r="S168" s="71"/>
    </row>
    <row r="169" spans="1:19">
      <c r="A169" s="1">
        <v>1</v>
      </c>
      <c r="B169" s="1" t="s">
        <v>182</v>
      </c>
      <c r="C169" s="39">
        <v>43</v>
      </c>
      <c r="D169" s="39">
        <v>27</v>
      </c>
      <c r="E169" s="39">
        <v>13</v>
      </c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4"/>
      <c r="R169" s="71"/>
      <c r="S169" s="71"/>
    </row>
    <row r="170" spans="1:19">
      <c r="A170" s="1">
        <v>1</v>
      </c>
      <c r="B170" s="1" t="s">
        <v>183</v>
      </c>
      <c r="C170" s="39">
        <v>58</v>
      </c>
      <c r="D170" s="39">
        <v>19</v>
      </c>
      <c r="E170" s="39">
        <v>10</v>
      </c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4"/>
      <c r="R170" s="70"/>
      <c r="S170" s="71"/>
    </row>
    <row r="171" spans="1:19">
      <c r="A171" s="1">
        <v>1</v>
      </c>
      <c r="B171" s="1" t="s">
        <v>184</v>
      </c>
      <c r="C171" s="39">
        <v>48</v>
      </c>
      <c r="D171" s="39">
        <v>9</v>
      </c>
      <c r="E171" s="39">
        <v>6</v>
      </c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4"/>
      <c r="R171" s="70"/>
      <c r="S171" s="71"/>
    </row>
    <row r="172" spans="1:19">
      <c r="A172" s="7">
        <v>1</v>
      </c>
      <c r="B172" s="7" t="s">
        <v>185</v>
      </c>
      <c r="C172" s="65">
        <v>40</v>
      </c>
      <c r="D172" s="65">
        <v>28</v>
      </c>
      <c r="E172" s="65">
        <v>9</v>
      </c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6"/>
      <c r="R172" s="73"/>
      <c r="S172" s="73"/>
    </row>
    <row r="173" spans="1:19">
      <c r="A173" s="1">
        <v>1</v>
      </c>
      <c r="B173" s="1" t="s">
        <v>186</v>
      </c>
      <c r="C173" s="39">
        <v>44</v>
      </c>
      <c r="D173" s="39">
        <v>10</v>
      </c>
      <c r="E173" s="39">
        <v>7</v>
      </c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4"/>
      <c r="R173" s="71"/>
      <c r="S173" s="71"/>
    </row>
    <row r="174" spans="1:19">
      <c r="A174" s="1">
        <v>1</v>
      </c>
      <c r="B174" s="1" t="s">
        <v>187</v>
      </c>
      <c r="C174" s="39">
        <v>37</v>
      </c>
      <c r="D174" s="39">
        <v>18</v>
      </c>
      <c r="E174" s="39">
        <v>11</v>
      </c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4"/>
      <c r="R174" s="71"/>
      <c r="S174" s="71"/>
    </row>
    <row r="175" spans="1:19">
      <c r="A175" s="1">
        <v>1</v>
      </c>
      <c r="B175" s="1" t="s">
        <v>188</v>
      </c>
      <c r="C175" s="39">
        <v>34</v>
      </c>
      <c r="D175" s="39">
        <v>18</v>
      </c>
      <c r="E175" s="39">
        <v>15</v>
      </c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4"/>
      <c r="R175" s="71"/>
      <c r="S175" s="71"/>
    </row>
    <row r="176" spans="1:19">
      <c r="A176" s="1">
        <v>1</v>
      </c>
      <c r="B176" s="1" t="s">
        <v>189</v>
      </c>
      <c r="C176" s="39">
        <v>37</v>
      </c>
      <c r="D176" s="39">
        <v>19</v>
      </c>
      <c r="E176" s="39">
        <v>12</v>
      </c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4"/>
      <c r="R176" s="70"/>
      <c r="S176" s="71"/>
    </row>
    <row r="177" spans="1:19">
      <c r="A177" s="1">
        <v>1</v>
      </c>
      <c r="B177" s="1" t="s">
        <v>190</v>
      </c>
      <c r="C177" s="39">
        <v>71</v>
      </c>
      <c r="D177" s="39">
        <v>9</v>
      </c>
      <c r="E177" s="39">
        <v>6</v>
      </c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4"/>
      <c r="R177" s="71"/>
      <c r="S177" s="71"/>
    </row>
    <row r="178" spans="1:19">
      <c r="A178" s="1">
        <v>1</v>
      </c>
      <c r="B178" s="1" t="s">
        <v>191</v>
      </c>
      <c r="C178" s="39">
        <v>44</v>
      </c>
      <c r="D178" s="39">
        <v>35</v>
      </c>
      <c r="E178" s="39">
        <v>18</v>
      </c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4"/>
      <c r="R178" s="71"/>
      <c r="S178" s="71"/>
    </row>
    <row r="179" spans="1:19">
      <c r="A179" s="1">
        <v>1</v>
      </c>
      <c r="B179" s="1" t="s">
        <v>192</v>
      </c>
      <c r="C179" s="39">
        <v>53</v>
      </c>
      <c r="D179" s="39">
        <v>26</v>
      </c>
      <c r="E179" s="39">
        <v>13</v>
      </c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4"/>
      <c r="R179" s="71"/>
      <c r="S179" s="71"/>
    </row>
    <row r="180" spans="1:19">
      <c r="A180" s="7">
        <v>1</v>
      </c>
      <c r="B180" s="7" t="s">
        <v>193</v>
      </c>
      <c r="C180" s="65">
        <v>50</v>
      </c>
      <c r="D180" s="65">
        <v>19</v>
      </c>
      <c r="E180" s="65">
        <v>12</v>
      </c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6"/>
      <c r="R180" s="73"/>
      <c r="S180" s="73"/>
    </row>
    <row r="181" spans="1:19">
      <c r="A181" s="1">
        <v>1</v>
      </c>
      <c r="B181" s="1" t="s">
        <v>194</v>
      </c>
      <c r="C181" s="39">
        <v>51</v>
      </c>
      <c r="D181" s="39">
        <v>20</v>
      </c>
      <c r="E181" s="39">
        <v>12</v>
      </c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4"/>
      <c r="R181" s="71"/>
      <c r="S181" s="71"/>
    </row>
    <row r="182" spans="1:19">
      <c r="A182" s="1">
        <v>1</v>
      </c>
      <c r="B182" s="1" t="s">
        <v>195</v>
      </c>
      <c r="C182" s="39">
        <v>43</v>
      </c>
      <c r="D182" s="39">
        <v>17</v>
      </c>
      <c r="E182" s="39">
        <v>8</v>
      </c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4"/>
      <c r="R182" s="70"/>
      <c r="S182" s="71"/>
    </row>
    <row r="183" spans="1:19">
      <c r="A183" s="1">
        <v>1</v>
      </c>
      <c r="B183" s="1" t="s">
        <v>196</v>
      </c>
      <c r="C183" s="39">
        <v>59</v>
      </c>
      <c r="D183" s="39">
        <v>17</v>
      </c>
      <c r="E183" s="39">
        <v>10</v>
      </c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4"/>
      <c r="R183" s="71"/>
      <c r="S183" s="71"/>
    </row>
    <row r="184" spans="1:19">
      <c r="A184" s="1">
        <v>1</v>
      </c>
      <c r="B184" s="1" t="s">
        <v>197</v>
      </c>
      <c r="C184" s="39">
        <v>52</v>
      </c>
      <c r="D184" s="39">
        <v>19</v>
      </c>
      <c r="E184" s="39">
        <v>13</v>
      </c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4"/>
      <c r="R184" s="71"/>
      <c r="S184" s="71"/>
    </row>
    <row r="185" spans="1:19">
      <c r="A185" s="1">
        <v>1</v>
      </c>
      <c r="B185" s="1" t="s">
        <v>198</v>
      </c>
      <c r="C185" s="39">
        <v>51</v>
      </c>
      <c r="D185" s="63" t="s">
        <v>539</v>
      </c>
      <c r="E185" s="63" t="s">
        <v>539</v>
      </c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4"/>
      <c r="R185" s="71"/>
      <c r="S185" s="71"/>
    </row>
    <row r="186" spans="1:19">
      <c r="A186" s="1">
        <v>1</v>
      </c>
      <c r="B186" s="1" t="s">
        <v>199</v>
      </c>
      <c r="C186" s="39">
        <v>47</v>
      </c>
      <c r="D186" s="39">
        <v>26</v>
      </c>
      <c r="E186" s="39">
        <v>14</v>
      </c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4"/>
      <c r="R186" s="71"/>
      <c r="S186" s="71"/>
    </row>
    <row r="187" spans="1:19">
      <c r="A187" s="1">
        <v>1</v>
      </c>
      <c r="B187" s="1" t="s">
        <v>200</v>
      </c>
      <c r="C187" s="39">
        <v>54</v>
      </c>
      <c r="D187" s="39">
        <v>17</v>
      </c>
      <c r="E187" s="39">
        <v>10</v>
      </c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4"/>
      <c r="R187" s="71"/>
      <c r="S187" s="71"/>
    </row>
    <row r="188" spans="1:19">
      <c r="A188" s="7">
        <v>1</v>
      </c>
      <c r="B188" s="7" t="s">
        <v>201</v>
      </c>
      <c r="C188" s="65">
        <v>58</v>
      </c>
      <c r="D188" s="65">
        <v>12</v>
      </c>
      <c r="E188" s="65">
        <v>7</v>
      </c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6"/>
      <c r="R188" s="73"/>
      <c r="S188" s="73"/>
    </row>
    <row r="189" spans="1:19"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4"/>
      <c r="R189" s="79"/>
      <c r="S189" s="79"/>
    </row>
    <row r="190" spans="1:19">
      <c r="A190" s="1" t="s">
        <v>202</v>
      </c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4"/>
      <c r="R190" s="70"/>
      <c r="S190" s="71"/>
    </row>
    <row r="191" spans="1:19">
      <c r="A191" s="1">
        <v>0</v>
      </c>
      <c r="B191" s="1" t="s">
        <v>203</v>
      </c>
      <c r="C191" s="39">
        <v>34</v>
      </c>
      <c r="D191" s="39">
        <v>7</v>
      </c>
      <c r="E191" s="39">
        <v>5</v>
      </c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4"/>
      <c r="R191" s="70"/>
      <c r="S191" s="71"/>
    </row>
    <row r="192" spans="1:19">
      <c r="A192" s="7">
        <v>0</v>
      </c>
      <c r="B192" s="7" t="s">
        <v>204</v>
      </c>
      <c r="C192" s="65">
        <v>49</v>
      </c>
      <c r="D192" s="65">
        <v>11</v>
      </c>
      <c r="E192" s="65">
        <v>9</v>
      </c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6"/>
      <c r="R192" s="72"/>
      <c r="S192" s="73"/>
    </row>
    <row r="193" spans="1:19">
      <c r="A193" s="1">
        <v>0</v>
      </c>
      <c r="B193" s="1" t="s">
        <v>205</v>
      </c>
      <c r="C193" s="39">
        <v>37</v>
      </c>
      <c r="D193" s="39">
        <v>16</v>
      </c>
      <c r="E193" s="39">
        <v>7</v>
      </c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4"/>
      <c r="R193" s="70"/>
      <c r="S193" s="71"/>
    </row>
    <row r="194" spans="1:19">
      <c r="A194" s="1">
        <v>0</v>
      </c>
      <c r="B194" s="1" t="s">
        <v>206</v>
      </c>
      <c r="C194" s="39">
        <v>41</v>
      </c>
      <c r="D194" s="39">
        <v>26</v>
      </c>
      <c r="E194" s="39">
        <v>13</v>
      </c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4"/>
      <c r="R194" s="71"/>
      <c r="S194" s="71"/>
    </row>
    <row r="195" spans="1:19">
      <c r="A195" s="1">
        <v>0</v>
      </c>
      <c r="B195" s="1" t="s">
        <v>207</v>
      </c>
      <c r="C195" s="39">
        <v>31</v>
      </c>
      <c r="D195" s="39">
        <v>25</v>
      </c>
      <c r="E195" s="39">
        <v>12</v>
      </c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4"/>
      <c r="R195" s="71"/>
      <c r="S195" s="71"/>
    </row>
    <row r="196" spans="1:19">
      <c r="A196" s="1">
        <v>0</v>
      </c>
      <c r="B196" s="1" t="s">
        <v>208</v>
      </c>
      <c r="C196" s="39">
        <v>51</v>
      </c>
      <c r="D196" s="39">
        <v>16</v>
      </c>
      <c r="E196" s="39">
        <v>11</v>
      </c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4"/>
      <c r="R196" s="70"/>
      <c r="S196" s="71"/>
    </row>
    <row r="197" spans="1:19">
      <c r="A197" s="1">
        <v>0</v>
      </c>
      <c r="B197" s="1" t="s">
        <v>209</v>
      </c>
      <c r="C197" s="39">
        <v>44</v>
      </c>
      <c r="D197" s="39">
        <v>9</v>
      </c>
      <c r="E197" s="39">
        <v>5</v>
      </c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4"/>
      <c r="R197" s="70"/>
      <c r="S197" s="71"/>
    </row>
    <row r="198" spans="1:19">
      <c r="A198" s="1">
        <v>0</v>
      </c>
      <c r="B198" s="1" t="s">
        <v>210</v>
      </c>
      <c r="C198" s="39">
        <v>42</v>
      </c>
      <c r="D198" s="39">
        <v>12</v>
      </c>
      <c r="E198" s="39">
        <v>6</v>
      </c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4"/>
      <c r="R198" s="70"/>
      <c r="S198" s="71"/>
    </row>
    <row r="199" spans="1:19">
      <c r="A199" s="1">
        <v>0</v>
      </c>
      <c r="B199" s="1" t="s">
        <v>211</v>
      </c>
      <c r="C199" s="39">
        <v>49</v>
      </c>
      <c r="D199" s="39">
        <v>14</v>
      </c>
      <c r="E199" s="39">
        <v>7</v>
      </c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4"/>
      <c r="R199" s="70"/>
      <c r="S199" s="71"/>
    </row>
    <row r="200" spans="1:19">
      <c r="A200" s="1">
        <v>0</v>
      </c>
      <c r="B200" s="1" t="s">
        <v>212</v>
      </c>
      <c r="C200" s="39">
        <v>39</v>
      </c>
      <c r="D200" s="39">
        <v>24</v>
      </c>
      <c r="E200" s="39">
        <v>16</v>
      </c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4"/>
      <c r="R200" s="70"/>
      <c r="S200" s="71"/>
    </row>
    <row r="201" spans="1:19">
      <c r="A201" s="1">
        <v>0</v>
      </c>
      <c r="B201" s="1" t="s">
        <v>213</v>
      </c>
      <c r="C201" s="39">
        <v>43</v>
      </c>
      <c r="D201" s="39">
        <v>9</v>
      </c>
      <c r="E201" s="39">
        <v>6</v>
      </c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4"/>
      <c r="R201" s="71"/>
      <c r="S201" s="71"/>
    </row>
    <row r="202" spans="1:19">
      <c r="A202" s="1">
        <v>0</v>
      </c>
      <c r="B202" s="1" t="s">
        <v>214</v>
      </c>
      <c r="C202" s="39">
        <v>31</v>
      </c>
      <c r="D202" s="39">
        <v>10</v>
      </c>
      <c r="E202" s="39">
        <v>5</v>
      </c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4"/>
      <c r="R202" s="71"/>
      <c r="S202" s="71"/>
    </row>
    <row r="203" spans="1:19">
      <c r="A203" s="1">
        <v>0</v>
      </c>
      <c r="B203" s="1" t="s">
        <v>215</v>
      </c>
      <c r="C203" s="39">
        <v>46</v>
      </c>
      <c r="D203" s="39">
        <v>7</v>
      </c>
      <c r="E203" s="39">
        <v>6</v>
      </c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4"/>
      <c r="R203" s="70"/>
      <c r="S203" s="71"/>
    </row>
    <row r="204" spans="1:19">
      <c r="A204" s="1">
        <v>0</v>
      </c>
      <c r="B204" s="1" t="s">
        <v>216</v>
      </c>
      <c r="C204" s="39">
        <v>44</v>
      </c>
      <c r="D204" s="39">
        <v>5</v>
      </c>
      <c r="E204" s="39">
        <v>3</v>
      </c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4"/>
      <c r="R204" s="71"/>
      <c r="S204" s="71"/>
    </row>
    <row r="205" spans="1:19">
      <c r="A205" s="1">
        <v>0</v>
      </c>
      <c r="B205" s="1" t="s">
        <v>217</v>
      </c>
      <c r="C205" s="39">
        <v>47</v>
      </c>
      <c r="D205" s="39">
        <v>16</v>
      </c>
      <c r="E205" s="39">
        <v>7</v>
      </c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4"/>
      <c r="R205" s="70"/>
      <c r="S205" s="71"/>
    </row>
    <row r="206" spans="1:19">
      <c r="A206" s="1">
        <v>0</v>
      </c>
      <c r="B206" s="1" t="s">
        <v>218</v>
      </c>
      <c r="C206" s="39">
        <v>32</v>
      </c>
      <c r="D206" s="39">
        <v>23</v>
      </c>
      <c r="E206" s="39">
        <v>13</v>
      </c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4"/>
      <c r="R206" s="70"/>
      <c r="S206" s="71"/>
    </row>
    <row r="207" spans="1:19">
      <c r="A207" s="7">
        <v>0</v>
      </c>
      <c r="B207" s="7" t="s">
        <v>219</v>
      </c>
      <c r="C207" s="65">
        <v>35</v>
      </c>
      <c r="D207" s="65">
        <v>14</v>
      </c>
      <c r="E207" s="65">
        <v>5</v>
      </c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6"/>
      <c r="R207" s="72"/>
      <c r="S207" s="73"/>
    </row>
    <row r="208" spans="1:19">
      <c r="A208" s="1">
        <v>0</v>
      </c>
      <c r="B208" s="1" t="s">
        <v>220</v>
      </c>
      <c r="C208" s="39">
        <v>33</v>
      </c>
      <c r="D208" s="39">
        <v>17</v>
      </c>
      <c r="E208" s="39">
        <v>7</v>
      </c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4"/>
      <c r="R208" s="70"/>
      <c r="S208" s="71"/>
    </row>
    <row r="209" spans="1:19">
      <c r="A209" s="1">
        <v>0</v>
      </c>
      <c r="B209" s="1" t="s">
        <v>221</v>
      </c>
      <c r="C209" s="39">
        <v>48</v>
      </c>
      <c r="D209" s="39">
        <v>10</v>
      </c>
      <c r="E209" s="39">
        <v>6</v>
      </c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4"/>
      <c r="R209" s="70"/>
      <c r="S209" s="71"/>
    </row>
    <row r="210" spans="1:19">
      <c r="A210" s="1">
        <v>0</v>
      </c>
      <c r="B210" s="1" t="s">
        <v>222</v>
      </c>
      <c r="C210" s="39">
        <v>47</v>
      </c>
      <c r="D210" s="39">
        <v>8</v>
      </c>
      <c r="E210" s="39">
        <v>5</v>
      </c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4"/>
      <c r="R210" s="70"/>
      <c r="S210" s="71"/>
    </row>
    <row r="211" spans="1:19">
      <c r="A211" s="1">
        <v>0</v>
      </c>
      <c r="B211" s="1" t="s">
        <v>223</v>
      </c>
      <c r="C211" s="39">
        <v>42</v>
      </c>
      <c r="D211" s="39">
        <v>7</v>
      </c>
      <c r="E211" s="39">
        <v>4</v>
      </c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4"/>
      <c r="R211" s="70"/>
      <c r="S211" s="71"/>
    </row>
    <row r="212" spans="1:19">
      <c r="A212" s="1">
        <v>0</v>
      </c>
      <c r="B212" s="1" t="s">
        <v>224</v>
      </c>
      <c r="C212" s="39">
        <v>30</v>
      </c>
      <c r="D212" s="39">
        <v>15</v>
      </c>
      <c r="E212" s="39">
        <v>9</v>
      </c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4"/>
      <c r="R212" s="70"/>
      <c r="S212" s="71"/>
    </row>
    <row r="213" spans="1:19">
      <c r="A213" s="1">
        <v>0</v>
      </c>
      <c r="B213" s="1" t="s">
        <v>225</v>
      </c>
      <c r="C213" s="39">
        <v>38</v>
      </c>
      <c r="D213" s="39">
        <v>19</v>
      </c>
      <c r="E213" s="39">
        <v>8</v>
      </c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4"/>
      <c r="R213" s="71"/>
      <c r="S213" s="71"/>
    </row>
    <row r="214" spans="1:19">
      <c r="A214" s="7">
        <v>0</v>
      </c>
      <c r="B214" s="7" t="s">
        <v>226</v>
      </c>
      <c r="C214" s="65">
        <v>31</v>
      </c>
      <c r="D214" s="65">
        <v>14</v>
      </c>
      <c r="E214" s="65">
        <v>4</v>
      </c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6"/>
      <c r="R214" s="72"/>
      <c r="S214" s="73"/>
    </row>
    <row r="215" spans="1:19">
      <c r="A215" s="7">
        <v>0</v>
      </c>
      <c r="B215" s="7" t="s">
        <v>227</v>
      </c>
      <c r="C215" s="65">
        <v>24</v>
      </c>
      <c r="D215" s="65">
        <v>17</v>
      </c>
      <c r="E215" s="65">
        <v>5</v>
      </c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6"/>
      <c r="R215" s="73"/>
      <c r="S215" s="73"/>
    </row>
    <row r="216" spans="1:19">
      <c r="A216" s="1">
        <v>0</v>
      </c>
      <c r="B216" s="1" t="s">
        <v>228</v>
      </c>
      <c r="C216" s="39">
        <v>54</v>
      </c>
      <c r="D216" s="39">
        <v>4</v>
      </c>
      <c r="E216" s="39">
        <v>2</v>
      </c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4"/>
      <c r="R216" s="70"/>
      <c r="S216" s="71"/>
    </row>
    <row r="217" spans="1:19">
      <c r="A217" s="7">
        <v>0</v>
      </c>
      <c r="B217" s="7" t="s">
        <v>229</v>
      </c>
      <c r="C217" s="65">
        <v>37</v>
      </c>
      <c r="D217" s="65">
        <v>26</v>
      </c>
      <c r="E217" s="65">
        <v>14</v>
      </c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6"/>
      <c r="R217" s="73"/>
      <c r="S217" s="73"/>
    </row>
    <row r="218" spans="1:19">
      <c r="A218" s="1">
        <v>0</v>
      </c>
      <c r="B218" s="1" t="s">
        <v>230</v>
      </c>
      <c r="C218" s="39">
        <v>59</v>
      </c>
      <c r="D218" s="39">
        <v>11</v>
      </c>
      <c r="E218" s="39">
        <v>9</v>
      </c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4"/>
      <c r="R218" s="70"/>
      <c r="S218" s="71"/>
    </row>
    <row r="219" spans="1:19">
      <c r="A219" s="1">
        <v>0</v>
      </c>
      <c r="B219" s="1" t="s">
        <v>231</v>
      </c>
      <c r="C219" s="39">
        <v>39</v>
      </c>
      <c r="D219" s="39">
        <v>5</v>
      </c>
      <c r="E219" s="39">
        <v>5</v>
      </c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4"/>
      <c r="R219" s="70"/>
      <c r="S219" s="71"/>
    </row>
    <row r="220" spans="1:19">
      <c r="A220" s="1">
        <v>0</v>
      </c>
      <c r="B220" s="1" t="s">
        <v>232</v>
      </c>
      <c r="C220" s="39">
        <v>48</v>
      </c>
      <c r="D220" s="39">
        <v>7</v>
      </c>
      <c r="E220" s="39">
        <v>6</v>
      </c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4"/>
      <c r="R220" s="70"/>
      <c r="S220" s="71"/>
    </row>
    <row r="221" spans="1:19">
      <c r="A221" s="1">
        <v>0</v>
      </c>
      <c r="B221" s="1" t="s">
        <v>233</v>
      </c>
      <c r="C221" s="39">
        <v>64</v>
      </c>
      <c r="D221" s="39">
        <v>14</v>
      </c>
      <c r="E221" s="39">
        <v>6</v>
      </c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4"/>
      <c r="R221" s="70"/>
      <c r="S221" s="71"/>
    </row>
    <row r="222" spans="1:19">
      <c r="A222" s="1">
        <v>0</v>
      </c>
      <c r="B222" s="1" t="s">
        <v>234</v>
      </c>
      <c r="C222" s="39">
        <v>42</v>
      </c>
      <c r="D222" s="39">
        <v>25</v>
      </c>
      <c r="E222" s="39">
        <v>13</v>
      </c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4"/>
      <c r="R222" s="70"/>
      <c r="S222" s="71"/>
    </row>
    <row r="223" spans="1:19">
      <c r="A223" s="1">
        <v>0</v>
      </c>
      <c r="B223" s="1" t="s">
        <v>235</v>
      </c>
      <c r="C223" s="39">
        <v>42</v>
      </c>
      <c r="D223" s="39">
        <v>19</v>
      </c>
      <c r="E223" s="39">
        <v>8</v>
      </c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4"/>
      <c r="R223" s="70"/>
      <c r="S223" s="71"/>
    </row>
    <row r="224" spans="1:19">
      <c r="A224" s="1">
        <v>0</v>
      </c>
      <c r="B224" s="1" t="s">
        <v>236</v>
      </c>
      <c r="C224" s="39">
        <v>43</v>
      </c>
      <c r="D224" s="39">
        <v>17</v>
      </c>
      <c r="E224" s="39">
        <v>7</v>
      </c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4"/>
      <c r="R224" s="70"/>
      <c r="S224" s="71"/>
    </row>
    <row r="225" spans="1:19">
      <c r="A225" s="1">
        <v>0</v>
      </c>
      <c r="B225" s="1" t="s">
        <v>237</v>
      </c>
      <c r="C225" s="39">
        <v>37</v>
      </c>
      <c r="D225" s="39">
        <v>18</v>
      </c>
      <c r="E225" s="39">
        <v>9</v>
      </c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4"/>
      <c r="R225" s="70"/>
      <c r="S225" s="71"/>
    </row>
    <row r="226" spans="1:19">
      <c r="A226" s="1">
        <v>0</v>
      </c>
      <c r="B226" s="1" t="s">
        <v>238</v>
      </c>
      <c r="C226" s="39">
        <v>30</v>
      </c>
      <c r="D226" s="39">
        <v>30</v>
      </c>
      <c r="E226" s="39">
        <v>16</v>
      </c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4"/>
      <c r="R226" s="71"/>
      <c r="S226" s="71"/>
    </row>
    <row r="227" spans="1:19">
      <c r="A227" s="7">
        <v>0</v>
      </c>
      <c r="B227" s="7" t="s">
        <v>239</v>
      </c>
      <c r="C227" s="65">
        <v>42</v>
      </c>
      <c r="D227" s="65">
        <v>6</v>
      </c>
      <c r="E227" s="65">
        <v>5</v>
      </c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6"/>
      <c r="R227" s="72"/>
      <c r="S227" s="73"/>
    </row>
    <row r="228" spans="1:19">
      <c r="A228" s="1">
        <v>0</v>
      </c>
      <c r="B228" s="1" t="s">
        <v>240</v>
      </c>
      <c r="C228" s="39">
        <v>67</v>
      </c>
      <c r="D228" s="39">
        <v>19</v>
      </c>
      <c r="E228" s="39">
        <v>8</v>
      </c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4"/>
      <c r="R228" s="70"/>
      <c r="S228" s="71"/>
    </row>
    <row r="229" spans="1:19">
      <c r="A229" s="1">
        <v>0</v>
      </c>
      <c r="B229" s="1" t="s">
        <v>241</v>
      </c>
      <c r="C229" s="39">
        <v>51</v>
      </c>
      <c r="D229" s="39">
        <v>8</v>
      </c>
      <c r="E229" s="39">
        <v>5</v>
      </c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4"/>
      <c r="R229" s="70"/>
      <c r="S229" s="71"/>
    </row>
    <row r="230" spans="1:19">
      <c r="A230" s="1">
        <v>0</v>
      </c>
      <c r="B230" s="1" t="s">
        <v>242</v>
      </c>
      <c r="C230" s="39">
        <v>46</v>
      </c>
      <c r="D230" s="39">
        <v>12</v>
      </c>
      <c r="E230" s="39">
        <v>5</v>
      </c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4"/>
      <c r="R230" s="70"/>
      <c r="S230" s="71"/>
    </row>
    <row r="231" spans="1:19">
      <c r="A231" s="1">
        <v>0</v>
      </c>
      <c r="B231" s="1" t="s">
        <v>243</v>
      </c>
      <c r="C231" s="39">
        <v>40</v>
      </c>
      <c r="D231" s="39">
        <v>8</v>
      </c>
      <c r="E231" s="39">
        <v>6</v>
      </c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4"/>
      <c r="R231" s="70"/>
      <c r="S231" s="71"/>
    </row>
    <row r="232" spans="1:19">
      <c r="A232" s="1">
        <v>0</v>
      </c>
      <c r="B232" s="1" t="s">
        <v>244</v>
      </c>
      <c r="C232" s="39">
        <v>49</v>
      </c>
      <c r="D232" s="39">
        <v>9</v>
      </c>
      <c r="E232" s="39">
        <v>5</v>
      </c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4"/>
      <c r="R232" s="70"/>
      <c r="S232" s="71"/>
    </row>
    <row r="233" spans="1:19">
      <c r="A233" s="1">
        <v>0</v>
      </c>
      <c r="B233" s="1" t="s">
        <v>245</v>
      </c>
      <c r="C233" s="39">
        <v>44</v>
      </c>
      <c r="D233" s="39">
        <v>11</v>
      </c>
      <c r="E233" s="39">
        <v>5</v>
      </c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4"/>
      <c r="R233" s="70"/>
      <c r="S233" s="71"/>
    </row>
    <row r="234" spans="1:19">
      <c r="A234" s="1">
        <v>1</v>
      </c>
      <c r="B234" s="1" t="s">
        <v>246</v>
      </c>
      <c r="C234" s="39">
        <v>51</v>
      </c>
      <c r="D234" s="39">
        <v>23</v>
      </c>
      <c r="E234" s="39">
        <v>9</v>
      </c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4"/>
      <c r="R234" s="71"/>
      <c r="S234" s="71"/>
    </row>
    <row r="235" spans="1:19">
      <c r="A235" s="1">
        <v>1</v>
      </c>
      <c r="B235" s="1" t="s">
        <v>247</v>
      </c>
      <c r="C235" s="39">
        <v>46</v>
      </c>
      <c r="D235" s="39">
        <v>34</v>
      </c>
      <c r="E235" s="39">
        <v>13</v>
      </c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4"/>
      <c r="R235" s="71"/>
      <c r="S235" s="71"/>
    </row>
    <row r="236" spans="1:19">
      <c r="A236" s="1">
        <v>1</v>
      </c>
      <c r="B236" s="1" t="s">
        <v>248</v>
      </c>
      <c r="C236" s="39">
        <v>40</v>
      </c>
      <c r="D236" s="39">
        <v>10</v>
      </c>
      <c r="E236" s="39">
        <v>8</v>
      </c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4"/>
      <c r="R236" s="71"/>
      <c r="S236" s="71"/>
    </row>
    <row r="237" spans="1:19">
      <c r="A237" s="1">
        <v>1</v>
      </c>
      <c r="B237" s="1" t="s">
        <v>249</v>
      </c>
      <c r="C237" s="39">
        <v>54</v>
      </c>
      <c r="D237" s="39">
        <v>19</v>
      </c>
      <c r="E237" s="39">
        <v>18</v>
      </c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4"/>
      <c r="R237" s="71"/>
      <c r="S237" s="71"/>
    </row>
    <row r="238" spans="1:19">
      <c r="A238" s="1">
        <v>1</v>
      </c>
      <c r="B238" s="1" t="s">
        <v>250</v>
      </c>
      <c r="C238" s="39">
        <v>54</v>
      </c>
      <c r="D238" s="39">
        <v>21</v>
      </c>
      <c r="E238" s="39">
        <v>15</v>
      </c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4"/>
      <c r="R238" s="71"/>
      <c r="S238" s="71"/>
    </row>
    <row r="239" spans="1:19">
      <c r="A239" s="7">
        <v>1</v>
      </c>
      <c r="B239" s="7" t="s">
        <v>251</v>
      </c>
      <c r="C239" s="65">
        <v>57</v>
      </c>
      <c r="D239" s="65">
        <v>40</v>
      </c>
      <c r="E239" s="65">
        <v>12</v>
      </c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6"/>
      <c r="R239" s="73"/>
      <c r="S239" s="73"/>
    </row>
    <row r="240" spans="1:19">
      <c r="A240" s="7">
        <v>1</v>
      </c>
      <c r="B240" s="7" t="s">
        <v>252</v>
      </c>
      <c r="C240" s="65">
        <v>39</v>
      </c>
      <c r="D240" s="65">
        <v>21</v>
      </c>
      <c r="E240" s="65">
        <v>17</v>
      </c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6"/>
      <c r="R240" s="73"/>
      <c r="S240" s="73"/>
    </row>
    <row r="241" spans="1:19">
      <c r="A241" s="1">
        <v>1</v>
      </c>
      <c r="B241" s="1" t="s">
        <v>253</v>
      </c>
      <c r="C241" s="39">
        <v>42</v>
      </c>
      <c r="D241" s="39">
        <v>29</v>
      </c>
      <c r="E241" s="39">
        <v>15</v>
      </c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4"/>
      <c r="R241" s="71"/>
      <c r="S241" s="71"/>
    </row>
    <row r="242" spans="1:19">
      <c r="A242" s="1">
        <v>1</v>
      </c>
      <c r="B242" s="1" t="s">
        <v>254</v>
      </c>
      <c r="C242" s="39">
        <v>43</v>
      </c>
      <c r="D242" s="39">
        <v>40</v>
      </c>
      <c r="E242" s="39">
        <v>14</v>
      </c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4"/>
      <c r="R242" s="71"/>
      <c r="S242" s="71"/>
    </row>
    <row r="243" spans="1:19">
      <c r="A243" s="1">
        <v>1</v>
      </c>
      <c r="B243" s="1" t="s">
        <v>255</v>
      </c>
      <c r="C243" s="39">
        <v>50</v>
      </c>
      <c r="D243" s="39">
        <v>12</v>
      </c>
      <c r="E243" s="39">
        <v>9</v>
      </c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4"/>
      <c r="R243" s="71"/>
      <c r="S243" s="71"/>
    </row>
    <row r="244" spans="1:19">
      <c r="A244" s="1">
        <v>1</v>
      </c>
      <c r="B244" s="1" t="s">
        <v>256</v>
      </c>
      <c r="C244" s="39">
        <v>36</v>
      </c>
      <c r="D244" s="39">
        <v>21</v>
      </c>
      <c r="E244" s="39">
        <v>10</v>
      </c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4"/>
      <c r="R244" s="71"/>
      <c r="S244" s="71"/>
    </row>
    <row r="245" spans="1:19">
      <c r="A245" s="1">
        <v>1</v>
      </c>
      <c r="B245" s="1" t="s">
        <v>257</v>
      </c>
      <c r="C245" s="39">
        <v>48</v>
      </c>
      <c r="D245" s="39">
        <v>19</v>
      </c>
      <c r="E245" s="39">
        <v>12</v>
      </c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4"/>
      <c r="R245" s="70"/>
      <c r="S245" s="71"/>
    </row>
    <row r="246" spans="1:19">
      <c r="A246" s="1">
        <v>1</v>
      </c>
      <c r="B246" s="1" t="s">
        <v>258</v>
      </c>
      <c r="C246" s="39">
        <v>57</v>
      </c>
      <c r="D246" s="39">
        <v>39</v>
      </c>
      <c r="E246" s="39">
        <v>11</v>
      </c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4"/>
      <c r="R246" s="71"/>
      <c r="S246" s="71"/>
    </row>
    <row r="247" spans="1:19">
      <c r="A247" s="1">
        <v>1</v>
      </c>
      <c r="B247" s="1" t="s">
        <v>259</v>
      </c>
      <c r="C247" s="39">
        <v>40</v>
      </c>
      <c r="D247" s="39">
        <v>14</v>
      </c>
      <c r="E247" s="39">
        <v>11</v>
      </c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4"/>
      <c r="R247" s="71"/>
      <c r="S247" s="71"/>
    </row>
    <row r="248" spans="1:19">
      <c r="A248" s="1">
        <v>1</v>
      </c>
      <c r="B248" s="1" t="s">
        <v>260</v>
      </c>
      <c r="C248" s="39">
        <v>35</v>
      </c>
      <c r="D248" s="39">
        <v>15</v>
      </c>
      <c r="E248" s="39">
        <v>11</v>
      </c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4"/>
      <c r="R248" s="71"/>
      <c r="S248" s="71"/>
    </row>
    <row r="249" spans="1:19">
      <c r="A249" s="1">
        <v>1</v>
      </c>
      <c r="B249" s="1" t="s">
        <v>261</v>
      </c>
      <c r="C249" s="39">
        <v>44</v>
      </c>
      <c r="D249" s="39">
        <v>13</v>
      </c>
      <c r="E249" s="39">
        <v>9</v>
      </c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4"/>
      <c r="R249" s="71"/>
      <c r="S249" s="71"/>
    </row>
    <row r="250" spans="1:19">
      <c r="A250" s="1">
        <v>1</v>
      </c>
      <c r="B250" s="1" t="s">
        <v>262</v>
      </c>
      <c r="C250" s="39">
        <v>28</v>
      </c>
      <c r="D250" s="39">
        <v>12</v>
      </c>
      <c r="E250" s="39">
        <v>7</v>
      </c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4"/>
      <c r="R250" s="71"/>
      <c r="S250" s="71"/>
    </row>
    <row r="251" spans="1:19">
      <c r="A251" s="1">
        <v>1</v>
      </c>
      <c r="B251" s="1" t="s">
        <v>263</v>
      </c>
      <c r="C251" s="39">
        <v>61</v>
      </c>
      <c r="D251" s="63" t="s">
        <v>539</v>
      </c>
      <c r="E251" s="63" t="s">
        <v>539</v>
      </c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4"/>
      <c r="R251" s="70"/>
      <c r="S251" s="71"/>
    </row>
    <row r="252" spans="1:19">
      <c r="A252" s="1">
        <v>1</v>
      </c>
      <c r="B252" s="1" t="s">
        <v>264</v>
      </c>
      <c r="C252" s="39">
        <v>45</v>
      </c>
      <c r="D252" s="39">
        <v>20</v>
      </c>
      <c r="E252" s="39">
        <v>14</v>
      </c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4"/>
      <c r="R252" s="71"/>
      <c r="S252" s="71"/>
    </row>
    <row r="253" spans="1:19">
      <c r="A253" s="1">
        <v>1</v>
      </c>
      <c r="B253" s="1" t="s">
        <v>265</v>
      </c>
      <c r="C253" s="39">
        <v>64</v>
      </c>
      <c r="D253" s="39">
        <v>19</v>
      </c>
      <c r="E253" s="39">
        <v>11</v>
      </c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4"/>
      <c r="R253" s="71"/>
      <c r="S253" s="71"/>
    </row>
    <row r="254" spans="1:19">
      <c r="A254" s="1">
        <v>1</v>
      </c>
      <c r="B254" s="1" t="s">
        <v>266</v>
      </c>
      <c r="C254" s="39">
        <v>39</v>
      </c>
      <c r="D254" s="39">
        <v>28</v>
      </c>
      <c r="E254" s="39">
        <v>14</v>
      </c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4"/>
      <c r="R254" s="70"/>
      <c r="S254" s="71"/>
    </row>
    <row r="255" spans="1:19">
      <c r="A255" s="1">
        <v>1</v>
      </c>
      <c r="B255" s="1" t="s">
        <v>267</v>
      </c>
      <c r="C255" s="39">
        <v>41</v>
      </c>
      <c r="D255" s="39">
        <v>34</v>
      </c>
      <c r="E255" s="39">
        <v>15</v>
      </c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4"/>
      <c r="R255" s="70"/>
      <c r="S255" s="71"/>
    </row>
    <row r="256" spans="1:19">
      <c r="A256" s="1">
        <v>1</v>
      </c>
      <c r="B256" s="1" t="s">
        <v>268</v>
      </c>
      <c r="C256" s="39">
        <v>64</v>
      </c>
      <c r="D256" s="39">
        <v>14</v>
      </c>
      <c r="E256" s="39">
        <v>11</v>
      </c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4"/>
      <c r="R256" s="71"/>
      <c r="S256" s="71"/>
    </row>
    <row r="257" spans="1:19">
      <c r="A257" s="1">
        <v>1</v>
      </c>
      <c r="B257" s="1" t="s">
        <v>269</v>
      </c>
      <c r="C257" s="39">
        <v>37</v>
      </c>
      <c r="D257" s="39">
        <v>23</v>
      </c>
      <c r="E257" s="39">
        <v>11</v>
      </c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4"/>
      <c r="R257" s="71"/>
      <c r="S257" s="71"/>
    </row>
    <row r="258" spans="1:19">
      <c r="A258" s="1">
        <v>1</v>
      </c>
      <c r="B258" s="1" t="s">
        <v>270</v>
      </c>
      <c r="C258" s="39">
        <v>59</v>
      </c>
      <c r="D258" s="39">
        <v>21</v>
      </c>
      <c r="E258" s="39">
        <v>15</v>
      </c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4"/>
      <c r="R258" s="71"/>
      <c r="S258" s="71"/>
    </row>
    <row r="259" spans="1:19">
      <c r="A259" s="1">
        <v>1</v>
      </c>
      <c r="B259" s="1" t="s">
        <v>271</v>
      </c>
      <c r="C259" s="39">
        <v>56</v>
      </c>
      <c r="D259" s="39">
        <v>24</v>
      </c>
      <c r="E259" s="39">
        <v>12</v>
      </c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4"/>
      <c r="R259" s="71"/>
      <c r="S259" s="71"/>
    </row>
    <row r="260" spans="1:19">
      <c r="A260" s="1">
        <v>1</v>
      </c>
      <c r="B260" s="1" t="s">
        <v>272</v>
      </c>
      <c r="C260" s="39">
        <v>54</v>
      </c>
      <c r="D260" s="39">
        <v>17</v>
      </c>
      <c r="E260" s="39">
        <v>12</v>
      </c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4"/>
      <c r="R260" s="71"/>
      <c r="S260" s="71"/>
    </row>
    <row r="261" spans="1:19">
      <c r="A261" s="1">
        <v>1</v>
      </c>
      <c r="B261" s="1" t="s">
        <v>273</v>
      </c>
      <c r="C261" s="63" t="s">
        <v>539</v>
      </c>
      <c r="D261" s="63" t="s">
        <v>539</v>
      </c>
      <c r="E261" s="39" t="s">
        <v>539</v>
      </c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4"/>
      <c r="R261" s="71"/>
      <c r="S261" s="71"/>
    </row>
    <row r="262" spans="1:19">
      <c r="A262" s="1">
        <v>1</v>
      </c>
      <c r="B262" s="1" t="s">
        <v>274</v>
      </c>
      <c r="C262" s="39">
        <v>41</v>
      </c>
      <c r="D262" s="39">
        <v>13</v>
      </c>
      <c r="E262" s="39">
        <v>8</v>
      </c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4"/>
      <c r="R262" s="71"/>
      <c r="S262" s="71"/>
    </row>
    <row r="263" spans="1:19">
      <c r="A263" s="7">
        <v>1</v>
      </c>
      <c r="B263" s="7" t="s">
        <v>275</v>
      </c>
      <c r="C263" s="65">
        <v>47</v>
      </c>
      <c r="D263" s="65">
        <v>16</v>
      </c>
      <c r="E263" s="65">
        <v>15</v>
      </c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6"/>
      <c r="R263" s="72"/>
      <c r="S263" s="73"/>
    </row>
    <row r="264" spans="1:19">
      <c r="A264" s="1">
        <v>1</v>
      </c>
      <c r="B264" s="1" t="s">
        <v>276</v>
      </c>
      <c r="C264" s="39">
        <v>42</v>
      </c>
      <c r="D264" s="39">
        <v>25</v>
      </c>
      <c r="E264" s="39">
        <v>13</v>
      </c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4"/>
      <c r="R264" s="71"/>
      <c r="S264" s="71"/>
    </row>
    <row r="265" spans="1:19">
      <c r="A265" s="1">
        <v>1</v>
      </c>
      <c r="B265" s="1" t="s">
        <v>277</v>
      </c>
      <c r="C265" s="39">
        <v>55</v>
      </c>
      <c r="D265" s="39">
        <v>16</v>
      </c>
      <c r="E265" s="39">
        <v>14</v>
      </c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4"/>
      <c r="R265" s="71"/>
      <c r="S265" s="71"/>
    </row>
    <row r="266" spans="1:19">
      <c r="A266" s="1">
        <v>1</v>
      </c>
      <c r="B266" s="1" t="s">
        <v>278</v>
      </c>
      <c r="C266" s="39">
        <v>46</v>
      </c>
      <c r="D266" s="39">
        <v>9</v>
      </c>
      <c r="E266" s="39">
        <v>4</v>
      </c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4"/>
      <c r="R266" s="71"/>
      <c r="S266" s="71"/>
    </row>
    <row r="267" spans="1:19">
      <c r="A267" s="7">
        <v>1</v>
      </c>
      <c r="B267" s="7" t="s">
        <v>279</v>
      </c>
      <c r="C267" s="65">
        <v>49</v>
      </c>
      <c r="D267" s="65">
        <v>14</v>
      </c>
      <c r="E267" s="65">
        <v>11</v>
      </c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6"/>
      <c r="R267" s="73"/>
      <c r="S267" s="73"/>
    </row>
    <row r="268" spans="1:19">
      <c r="A268" s="1">
        <v>1</v>
      </c>
      <c r="B268" s="1" t="s">
        <v>280</v>
      </c>
      <c r="C268" s="39">
        <v>53</v>
      </c>
      <c r="D268" s="39">
        <v>28</v>
      </c>
      <c r="E268" s="39">
        <v>15</v>
      </c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4"/>
      <c r="R268" s="71"/>
      <c r="S268" s="71"/>
    </row>
    <row r="269" spans="1:19">
      <c r="A269" s="1">
        <v>1</v>
      </c>
      <c r="B269" s="1" t="s">
        <v>281</v>
      </c>
      <c r="C269" s="39">
        <v>48</v>
      </c>
      <c r="D269" s="39">
        <v>28</v>
      </c>
      <c r="E269" s="39">
        <v>12</v>
      </c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4"/>
      <c r="R269" s="71"/>
      <c r="S269" s="71"/>
    </row>
    <row r="270" spans="1:19">
      <c r="A270" s="1">
        <v>1</v>
      </c>
      <c r="B270" s="1" t="s">
        <v>282</v>
      </c>
      <c r="C270" s="39">
        <v>50</v>
      </c>
      <c r="D270" s="39">
        <v>18</v>
      </c>
      <c r="E270" s="39">
        <v>8</v>
      </c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4"/>
      <c r="R270" s="71"/>
      <c r="S270" s="71"/>
    </row>
    <row r="271" spans="1:19">
      <c r="A271" s="1">
        <v>1</v>
      </c>
      <c r="B271" s="1" t="s">
        <v>283</v>
      </c>
      <c r="C271" s="39">
        <v>28</v>
      </c>
      <c r="D271" s="39">
        <v>12</v>
      </c>
      <c r="E271" s="39">
        <v>7</v>
      </c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4"/>
      <c r="R271" s="71"/>
      <c r="S271" s="71"/>
    </row>
    <row r="272" spans="1:19">
      <c r="A272" s="1">
        <v>1</v>
      </c>
      <c r="B272" s="1" t="s">
        <v>284</v>
      </c>
      <c r="C272" s="39">
        <v>51</v>
      </c>
      <c r="D272" s="39">
        <v>26</v>
      </c>
      <c r="E272" s="39">
        <v>13</v>
      </c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4"/>
      <c r="R272" s="71"/>
      <c r="S272" s="71"/>
    </row>
    <row r="273" spans="1:19">
      <c r="A273" s="1">
        <v>1</v>
      </c>
      <c r="B273" s="1" t="s">
        <v>285</v>
      </c>
      <c r="C273" s="39">
        <v>36</v>
      </c>
      <c r="D273" s="39">
        <v>35</v>
      </c>
      <c r="E273" s="39">
        <v>22</v>
      </c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4"/>
      <c r="R273" s="71"/>
      <c r="S273" s="71"/>
    </row>
    <row r="274" spans="1:19">
      <c r="A274" s="7">
        <v>1</v>
      </c>
      <c r="B274" s="7" t="s">
        <v>286</v>
      </c>
      <c r="C274" s="65">
        <v>46</v>
      </c>
      <c r="D274" s="65">
        <v>72</v>
      </c>
      <c r="E274" s="65">
        <v>25</v>
      </c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6"/>
      <c r="R274" s="73"/>
      <c r="S274" s="73"/>
    </row>
    <row r="275" spans="1:19">
      <c r="A275" s="1">
        <v>1</v>
      </c>
      <c r="B275" s="5" t="s">
        <v>287</v>
      </c>
      <c r="C275" s="39">
        <v>65</v>
      </c>
      <c r="D275" s="39">
        <v>28</v>
      </c>
      <c r="E275" s="39">
        <v>11</v>
      </c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64"/>
      <c r="R275" s="71"/>
      <c r="S275" s="71"/>
    </row>
    <row r="276" spans="1:19">
      <c r="A276" s="1">
        <v>1</v>
      </c>
      <c r="B276" s="1" t="s">
        <v>288</v>
      </c>
      <c r="C276" s="39">
        <v>52</v>
      </c>
      <c r="D276" s="39">
        <v>11</v>
      </c>
      <c r="E276" s="39">
        <v>5</v>
      </c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4"/>
      <c r="R276" s="70"/>
      <c r="S276" s="71"/>
    </row>
    <row r="277" spans="1:19">
      <c r="A277" s="1">
        <v>1</v>
      </c>
      <c r="B277" s="1" t="s">
        <v>289</v>
      </c>
      <c r="C277" s="39">
        <v>46</v>
      </c>
      <c r="D277" s="39">
        <v>11</v>
      </c>
      <c r="E277" s="39">
        <v>8</v>
      </c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4"/>
      <c r="R277" s="71"/>
      <c r="S277" s="71"/>
    </row>
    <row r="278" spans="1:19">
      <c r="A278" s="1">
        <v>1</v>
      </c>
      <c r="B278" s="1" t="s">
        <v>290</v>
      </c>
      <c r="C278" s="39">
        <v>54</v>
      </c>
      <c r="D278" s="39">
        <v>23</v>
      </c>
      <c r="E278" s="39">
        <v>10</v>
      </c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4"/>
      <c r="R278" s="71"/>
      <c r="S278" s="71"/>
    </row>
    <row r="279" spans="1:19"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4"/>
      <c r="R279" s="70"/>
      <c r="S279" s="71"/>
    </row>
    <row r="280" spans="1:19">
      <c r="A280" s="1" t="s">
        <v>291</v>
      </c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4"/>
      <c r="R280" s="70"/>
      <c r="S280" s="71"/>
    </row>
    <row r="281" spans="1:19">
      <c r="A281" s="1">
        <v>0</v>
      </c>
      <c r="B281" s="1" t="s">
        <v>292</v>
      </c>
      <c r="C281" s="39">
        <v>32</v>
      </c>
      <c r="D281" s="39">
        <v>24</v>
      </c>
      <c r="E281" s="39">
        <v>16</v>
      </c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4"/>
      <c r="R281" s="70"/>
      <c r="S281" s="71"/>
    </row>
    <row r="282" spans="1:19">
      <c r="A282" s="1">
        <v>0</v>
      </c>
      <c r="B282" s="1" t="s">
        <v>293</v>
      </c>
      <c r="C282" s="39">
        <v>39</v>
      </c>
      <c r="D282" s="39">
        <v>5</v>
      </c>
      <c r="E282" s="39">
        <v>3</v>
      </c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4"/>
      <c r="R282" s="70"/>
      <c r="S282" s="71"/>
    </row>
    <row r="283" spans="1:19">
      <c r="A283" s="1">
        <v>0</v>
      </c>
      <c r="B283" s="1" t="s">
        <v>294</v>
      </c>
      <c r="C283" s="39">
        <v>54</v>
      </c>
      <c r="D283" s="39">
        <v>5</v>
      </c>
      <c r="E283" s="39">
        <v>2</v>
      </c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4"/>
      <c r="R283" s="70"/>
      <c r="S283" s="71"/>
    </row>
    <row r="284" spans="1:19">
      <c r="A284" s="1">
        <v>0</v>
      </c>
      <c r="B284" s="1" t="s">
        <v>295</v>
      </c>
      <c r="C284" s="39">
        <v>45</v>
      </c>
      <c r="D284" s="39">
        <v>8</v>
      </c>
      <c r="E284" s="39">
        <v>5</v>
      </c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4"/>
      <c r="R284" s="70"/>
      <c r="S284" s="71"/>
    </row>
    <row r="285" spans="1:19">
      <c r="A285" s="1">
        <v>0</v>
      </c>
      <c r="B285" s="1" t="s">
        <v>296</v>
      </c>
      <c r="C285" s="39">
        <v>49</v>
      </c>
      <c r="D285" s="39">
        <v>13</v>
      </c>
      <c r="E285" s="39">
        <v>5</v>
      </c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4"/>
      <c r="R285" s="70"/>
      <c r="S285" s="71"/>
    </row>
    <row r="286" spans="1:19">
      <c r="A286" s="1">
        <v>0</v>
      </c>
      <c r="B286" s="1" t="s">
        <v>297</v>
      </c>
      <c r="C286" s="39">
        <v>41</v>
      </c>
      <c r="D286" s="39">
        <v>22</v>
      </c>
      <c r="E286" s="39">
        <v>14</v>
      </c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4"/>
      <c r="R286" s="70"/>
      <c r="S286" s="71"/>
    </row>
    <row r="287" spans="1:19">
      <c r="A287" s="1">
        <v>0</v>
      </c>
      <c r="B287" s="1" t="s">
        <v>298</v>
      </c>
      <c r="C287" s="39">
        <v>38</v>
      </c>
      <c r="D287" s="39">
        <v>13</v>
      </c>
      <c r="E287" s="39">
        <v>9</v>
      </c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4"/>
      <c r="R287" s="70"/>
      <c r="S287" s="71"/>
    </row>
    <row r="288" spans="1:19">
      <c r="A288" s="1">
        <v>0</v>
      </c>
      <c r="B288" s="1" t="s">
        <v>299</v>
      </c>
      <c r="C288" s="39">
        <v>32</v>
      </c>
      <c r="D288" s="39">
        <v>15</v>
      </c>
      <c r="E288" s="39">
        <v>9</v>
      </c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4"/>
      <c r="R288" s="70"/>
      <c r="S288" s="71"/>
    </row>
    <row r="289" spans="1:19">
      <c r="A289" s="1">
        <v>0</v>
      </c>
      <c r="B289" s="1" t="s">
        <v>300</v>
      </c>
      <c r="C289" s="39">
        <v>51</v>
      </c>
      <c r="D289" s="39">
        <v>12</v>
      </c>
      <c r="E289" s="39">
        <v>5</v>
      </c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4"/>
      <c r="R289" s="70"/>
      <c r="S289" s="71"/>
    </row>
    <row r="290" spans="1:19">
      <c r="A290" s="1">
        <v>0</v>
      </c>
      <c r="B290" s="1" t="s">
        <v>301</v>
      </c>
      <c r="C290" s="39">
        <v>69</v>
      </c>
      <c r="D290" s="39">
        <v>11</v>
      </c>
      <c r="E290" s="39">
        <v>11</v>
      </c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4"/>
      <c r="R290" s="70"/>
      <c r="S290" s="71"/>
    </row>
    <row r="291" spans="1:19">
      <c r="A291" s="1">
        <v>0</v>
      </c>
      <c r="B291" s="1" t="s">
        <v>302</v>
      </c>
      <c r="C291" s="39">
        <v>36</v>
      </c>
      <c r="D291" s="39">
        <v>16</v>
      </c>
      <c r="E291" s="39">
        <v>8</v>
      </c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4"/>
      <c r="R291" s="70"/>
      <c r="S291" s="71"/>
    </row>
    <row r="292" spans="1:19">
      <c r="A292" s="7">
        <v>0</v>
      </c>
      <c r="B292" s="7" t="s">
        <v>303</v>
      </c>
      <c r="C292" s="65">
        <v>45</v>
      </c>
      <c r="D292" s="65">
        <v>9</v>
      </c>
      <c r="E292" s="65">
        <v>6</v>
      </c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6"/>
      <c r="R292" s="73"/>
      <c r="S292" s="73"/>
    </row>
    <row r="293" spans="1:19">
      <c r="A293" s="1">
        <v>0</v>
      </c>
      <c r="B293" s="1" t="s">
        <v>304</v>
      </c>
      <c r="C293" s="39">
        <v>47</v>
      </c>
      <c r="D293" s="39">
        <v>10</v>
      </c>
      <c r="E293" s="39">
        <v>5</v>
      </c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4"/>
      <c r="R293" s="70"/>
      <c r="S293" s="71"/>
    </row>
    <row r="294" spans="1:19">
      <c r="A294" s="1">
        <v>0</v>
      </c>
      <c r="B294" s="1" t="s">
        <v>305</v>
      </c>
      <c r="C294" s="39">
        <v>55</v>
      </c>
      <c r="D294" s="39">
        <v>13</v>
      </c>
      <c r="E294" s="39">
        <v>8</v>
      </c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4"/>
      <c r="R294" s="70"/>
      <c r="S294" s="71"/>
    </row>
    <row r="295" spans="1:19">
      <c r="A295" s="1">
        <v>0</v>
      </c>
      <c r="B295" s="1" t="s">
        <v>306</v>
      </c>
      <c r="C295" s="39">
        <v>43</v>
      </c>
      <c r="D295" s="39">
        <v>9</v>
      </c>
      <c r="E295" s="39">
        <v>5</v>
      </c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4"/>
      <c r="R295" s="70"/>
      <c r="S295" s="71"/>
    </row>
    <row r="296" spans="1:19">
      <c r="A296" s="1">
        <v>0</v>
      </c>
      <c r="B296" s="1" t="s">
        <v>307</v>
      </c>
      <c r="C296" s="39">
        <v>34</v>
      </c>
      <c r="D296" s="39">
        <v>15</v>
      </c>
      <c r="E296" s="39">
        <v>10</v>
      </c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4"/>
      <c r="R296" s="70"/>
      <c r="S296" s="71"/>
    </row>
    <row r="297" spans="1:19">
      <c r="A297" s="1">
        <v>0</v>
      </c>
      <c r="B297" s="5" t="s">
        <v>308</v>
      </c>
      <c r="C297" s="39">
        <v>35</v>
      </c>
      <c r="D297" s="39">
        <v>14</v>
      </c>
      <c r="E297" s="39">
        <v>5</v>
      </c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64"/>
      <c r="R297" s="70"/>
      <c r="S297" s="71"/>
    </row>
    <row r="298" spans="1:19">
      <c r="A298" s="7">
        <v>0</v>
      </c>
      <c r="B298" s="7" t="s">
        <v>309</v>
      </c>
      <c r="C298" s="65">
        <v>70</v>
      </c>
      <c r="D298" s="65">
        <v>23</v>
      </c>
      <c r="E298" s="65">
        <v>7</v>
      </c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6"/>
      <c r="R298" s="73"/>
      <c r="S298" s="73"/>
    </row>
    <row r="299" spans="1:19">
      <c r="A299" s="1">
        <v>0</v>
      </c>
      <c r="B299" s="1" t="s">
        <v>310</v>
      </c>
      <c r="C299" s="39">
        <v>44</v>
      </c>
      <c r="D299" s="39">
        <v>7</v>
      </c>
      <c r="E299" s="39">
        <v>5</v>
      </c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4"/>
      <c r="R299" s="70"/>
      <c r="S299" s="71"/>
    </row>
    <row r="300" spans="1:19">
      <c r="A300" s="1">
        <v>0</v>
      </c>
      <c r="B300" s="1" t="s">
        <v>311</v>
      </c>
      <c r="C300" s="39">
        <v>44</v>
      </c>
      <c r="D300" s="39">
        <v>13</v>
      </c>
      <c r="E300" s="39">
        <v>4</v>
      </c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4"/>
      <c r="R300" s="70"/>
      <c r="S300" s="71"/>
    </row>
    <row r="301" spans="1:19">
      <c r="A301" s="1">
        <v>0</v>
      </c>
      <c r="B301" s="1" t="s">
        <v>312</v>
      </c>
      <c r="C301" s="39">
        <v>54</v>
      </c>
      <c r="D301" s="63" t="s">
        <v>539</v>
      </c>
      <c r="E301" s="63" t="s">
        <v>539</v>
      </c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4"/>
      <c r="R301" s="70"/>
      <c r="S301" s="71"/>
    </row>
    <row r="302" spans="1:19">
      <c r="A302" s="1">
        <v>0</v>
      </c>
      <c r="B302" s="1" t="s">
        <v>313</v>
      </c>
      <c r="C302" s="39">
        <v>48</v>
      </c>
      <c r="D302" s="39">
        <v>6</v>
      </c>
      <c r="E302" s="39">
        <v>3</v>
      </c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4"/>
      <c r="R302" s="70"/>
      <c r="S302" s="71"/>
    </row>
    <row r="303" spans="1:19">
      <c r="A303" s="1">
        <v>0</v>
      </c>
      <c r="B303" s="1" t="s">
        <v>314</v>
      </c>
      <c r="C303" s="39">
        <v>50</v>
      </c>
      <c r="D303" s="63" t="s">
        <v>539</v>
      </c>
      <c r="E303" s="63" t="s">
        <v>539</v>
      </c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4"/>
      <c r="R303" s="70"/>
      <c r="S303" s="71"/>
    </row>
    <row r="304" spans="1:19">
      <c r="A304" s="1">
        <v>0</v>
      </c>
      <c r="B304" s="1" t="s">
        <v>315</v>
      </c>
      <c r="C304" s="39">
        <v>48</v>
      </c>
      <c r="D304" s="39">
        <v>10</v>
      </c>
      <c r="E304" s="39">
        <v>2</v>
      </c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4"/>
      <c r="R304" s="70"/>
      <c r="S304" s="71"/>
    </row>
    <row r="305" spans="1:19">
      <c r="A305" s="1">
        <v>0</v>
      </c>
      <c r="B305" s="1" t="s">
        <v>316</v>
      </c>
      <c r="C305" s="39">
        <v>49</v>
      </c>
      <c r="D305" s="39">
        <v>25</v>
      </c>
      <c r="E305" s="39">
        <v>9</v>
      </c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4"/>
      <c r="R305" s="70"/>
      <c r="S305" s="71"/>
    </row>
    <row r="306" spans="1:19">
      <c r="A306" s="1">
        <v>0</v>
      </c>
      <c r="B306" s="1" t="s">
        <v>317</v>
      </c>
      <c r="C306" s="39">
        <v>51</v>
      </c>
      <c r="D306" s="39">
        <v>15</v>
      </c>
      <c r="E306" s="39">
        <v>10</v>
      </c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4"/>
      <c r="R306" s="71"/>
      <c r="S306" s="71"/>
    </row>
    <row r="307" spans="1:19">
      <c r="A307" s="1">
        <v>0</v>
      </c>
      <c r="B307" s="1" t="s">
        <v>318</v>
      </c>
      <c r="C307" s="39">
        <v>54</v>
      </c>
      <c r="D307" s="39">
        <v>16</v>
      </c>
      <c r="E307" s="39">
        <v>14</v>
      </c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4"/>
      <c r="R307" s="71"/>
      <c r="S307" s="71"/>
    </row>
    <row r="308" spans="1:19">
      <c r="A308" s="1">
        <v>0</v>
      </c>
      <c r="B308" s="1" t="s">
        <v>319</v>
      </c>
      <c r="C308" s="39">
        <v>45</v>
      </c>
      <c r="D308" s="39">
        <v>23</v>
      </c>
      <c r="E308" s="39">
        <v>10</v>
      </c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4"/>
      <c r="R308" s="70"/>
      <c r="S308" s="71"/>
    </row>
    <row r="309" spans="1:19">
      <c r="A309" s="7">
        <v>0</v>
      </c>
      <c r="B309" s="7" t="s">
        <v>320</v>
      </c>
      <c r="C309" s="65">
        <v>50</v>
      </c>
      <c r="D309" s="65">
        <v>6</v>
      </c>
      <c r="E309" s="65">
        <v>4</v>
      </c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6"/>
      <c r="R309" s="73"/>
      <c r="S309" s="73"/>
    </row>
    <row r="310" spans="1:19">
      <c r="A310" s="1">
        <v>0</v>
      </c>
      <c r="B310" s="1" t="s">
        <v>321</v>
      </c>
      <c r="C310" s="39">
        <v>53</v>
      </c>
      <c r="D310" s="39">
        <v>12</v>
      </c>
      <c r="E310" s="39">
        <v>4</v>
      </c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4"/>
      <c r="R310" s="70"/>
      <c r="S310" s="71"/>
    </row>
    <row r="311" spans="1:19">
      <c r="A311" s="1">
        <v>0</v>
      </c>
      <c r="B311" s="1" t="s">
        <v>322</v>
      </c>
      <c r="C311" s="39">
        <v>47</v>
      </c>
      <c r="D311" s="39">
        <v>13</v>
      </c>
      <c r="E311" s="39">
        <v>9</v>
      </c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4"/>
      <c r="R311" s="70"/>
      <c r="S311" s="71"/>
    </row>
    <row r="312" spans="1:19">
      <c r="A312" s="1">
        <v>0</v>
      </c>
      <c r="B312" s="1" t="s">
        <v>323</v>
      </c>
      <c r="C312" s="39">
        <v>61</v>
      </c>
      <c r="D312" s="39">
        <v>15</v>
      </c>
      <c r="E312" s="39">
        <v>8</v>
      </c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4"/>
      <c r="R312" s="70"/>
      <c r="S312" s="71"/>
    </row>
    <row r="313" spans="1:19">
      <c r="A313" s="1">
        <v>0</v>
      </c>
      <c r="B313" s="1" t="s">
        <v>324</v>
      </c>
      <c r="C313" s="39">
        <v>34</v>
      </c>
      <c r="D313" s="39">
        <v>9</v>
      </c>
      <c r="E313" s="39">
        <v>8</v>
      </c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4"/>
      <c r="R313" s="70"/>
      <c r="S313" s="71"/>
    </row>
    <row r="314" spans="1:19">
      <c r="A314" s="1">
        <v>0</v>
      </c>
      <c r="B314" s="1" t="s">
        <v>325</v>
      </c>
      <c r="C314" s="39">
        <v>43</v>
      </c>
      <c r="D314" s="39">
        <v>13</v>
      </c>
      <c r="E314" s="39">
        <v>12</v>
      </c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4"/>
      <c r="R314" s="70"/>
      <c r="S314" s="71"/>
    </row>
    <row r="315" spans="1:19">
      <c r="A315" s="1">
        <v>0</v>
      </c>
      <c r="B315" s="1" t="s">
        <v>326</v>
      </c>
      <c r="C315" s="39">
        <v>44</v>
      </c>
      <c r="D315" s="39">
        <v>8</v>
      </c>
      <c r="E315" s="39">
        <v>4</v>
      </c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4"/>
      <c r="R315" s="70"/>
      <c r="S315" s="71"/>
    </row>
    <row r="316" spans="1:19">
      <c r="A316" s="1">
        <v>0</v>
      </c>
      <c r="B316" s="1" t="s">
        <v>327</v>
      </c>
      <c r="C316" s="39">
        <v>35</v>
      </c>
      <c r="D316" s="39">
        <v>25</v>
      </c>
      <c r="E316" s="39">
        <v>15</v>
      </c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4"/>
      <c r="R316" s="70"/>
      <c r="S316" s="71"/>
    </row>
    <row r="317" spans="1:19">
      <c r="A317" s="1">
        <v>0</v>
      </c>
      <c r="B317" s="1" t="s">
        <v>328</v>
      </c>
      <c r="C317" s="39">
        <v>44</v>
      </c>
      <c r="D317" s="39">
        <v>9</v>
      </c>
      <c r="E317" s="39">
        <v>5</v>
      </c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4"/>
      <c r="R317" s="70"/>
      <c r="S317" s="71"/>
    </row>
    <row r="318" spans="1:19">
      <c r="A318" s="1">
        <v>0</v>
      </c>
      <c r="B318" s="1" t="s">
        <v>329</v>
      </c>
      <c r="C318" s="39">
        <v>42</v>
      </c>
      <c r="D318" s="39">
        <v>11</v>
      </c>
      <c r="E318" s="39">
        <v>5</v>
      </c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4"/>
      <c r="R318" s="70"/>
      <c r="S318" s="71"/>
    </row>
    <row r="319" spans="1:19">
      <c r="A319" s="1">
        <v>0</v>
      </c>
      <c r="B319" s="5" t="s">
        <v>330</v>
      </c>
      <c r="C319" s="39">
        <v>39</v>
      </c>
      <c r="D319" s="39">
        <v>4</v>
      </c>
      <c r="E319" s="39">
        <v>2</v>
      </c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64"/>
      <c r="R319" s="70"/>
      <c r="S319" s="71"/>
    </row>
    <row r="320" spans="1:19">
      <c r="A320" s="1">
        <v>0</v>
      </c>
      <c r="B320" s="1" t="s">
        <v>331</v>
      </c>
      <c r="C320" s="39">
        <v>45</v>
      </c>
      <c r="D320" s="39">
        <v>10</v>
      </c>
      <c r="E320" s="39">
        <v>5</v>
      </c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4"/>
      <c r="R320" s="70"/>
      <c r="S320" s="71"/>
    </row>
    <row r="321" spans="1:19">
      <c r="A321" s="1">
        <v>0</v>
      </c>
      <c r="B321" s="1" t="s">
        <v>332</v>
      </c>
      <c r="C321" s="39">
        <v>42</v>
      </c>
      <c r="D321" s="39">
        <v>18</v>
      </c>
      <c r="E321" s="39">
        <v>8</v>
      </c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4"/>
      <c r="R321" s="70"/>
      <c r="S321" s="71"/>
    </row>
    <row r="322" spans="1:19">
      <c r="A322" s="1">
        <v>0</v>
      </c>
      <c r="B322" s="1" t="s">
        <v>333</v>
      </c>
      <c r="C322" s="39">
        <v>59</v>
      </c>
      <c r="D322" s="39">
        <v>8</v>
      </c>
      <c r="E322" s="39">
        <v>5</v>
      </c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4"/>
      <c r="R322" s="70"/>
      <c r="S322" s="71"/>
    </row>
    <row r="323" spans="1:19">
      <c r="A323" s="1">
        <v>0</v>
      </c>
      <c r="B323" s="1" t="s">
        <v>334</v>
      </c>
      <c r="C323" s="39">
        <v>42</v>
      </c>
      <c r="D323" s="39">
        <v>7</v>
      </c>
      <c r="E323" s="39">
        <v>4</v>
      </c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4"/>
      <c r="R323" s="70"/>
      <c r="S323" s="71"/>
    </row>
    <row r="324" spans="1:19">
      <c r="A324" s="1">
        <v>1</v>
      </c>
      <c r="B324" s="1" t="s">
        <v>335</v>
      </c>
      <c r="C324" s="39">
        <v>35</v>
      </c>
      <c r="D324" s="39">
        <v>20</v>
      </c>
      <c r="E324" s="39">
        <v>13</v>
      </c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4"/>
      <c r="R324" s="71"/>
      <c r="S324" s="71"/>
    </row>
    <row r="325" spans="1:19">
      <c r="A325" s="1">
        <v>1</v>
      </c>
      <c r="B325" s="1" t="s">
        <v>336</v>
      </c>
      <c r="C325" s="39">
        <v>33</v>
      </c>
      <c r="D325" s="39">
        <v>16</v>
      </c>
      <c r="E325" s="39">
        <v>9</v>
      </c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4"/>
      <c r="R325" s="70"/>
      <c r="S325" s="71"/>
    </row>
    <row r="326" spans="1:19">
      <c r="A326" s="1">
        <v>1</v>
      </c>
      <c r="B326" s="1" t="s">
        <v>337</v>
      </c>
      <c r="C326" s="39">
        <v>51</v>
      </c>
      <c r="D326" s="39">
        <v>27</v>
      </c>
      <c r="E326" s="39">
        <v>16</v>
      </c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4"/>
      <c r="R326" s="71"/>
      <c r="S326" s="71"/>
    </row>
    <row r="327" spans="1:19">
      <c r="A327" s="1">
        <v>1</v>
      </c>
      <c r="B327" s="1" t="s">
        <v>338</v>
      </c>
      <c r="C327" s="39">
        <v>53</v>
      </c>
      <c r="D327" s="39">
        <v>19</v>
      </c>
      <c r="E327" s="39">
        <v>16</v>
      </c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4"/>
      <c r="R327" s="71"/>
      <c r="S327" s="71"/>
    </row>
    <row r="328" spans="1:19">
      <c r="A328" s="1">
        <v>1</v>
      </c>
      <c r="B328" s="1" t="s">
        <v>339</v>
      </c>
      <c r="C328" s="63" t="s">
        <v>539</v>
      </c>
      <c r="D328" s="63" t="s">
        <v>539</v>
      </c>
      <c r="E328" s="39" t="s">
        <v>539</v>
      </c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4"/>
      <c r="R328" s="71"/>
      <c r="S328" s="71"/>
    </row>
    <row r="329" spans="1:19">
      <c r="A329" s="1">
        <v>1</v>
      </c>
      <c r="B329" s="1" t="s">
        <v>340</v>
      </c>
      <c r="C329" s="39">
        <v>43</v>
      </c>
      <c r="D329" s="39">
        <v>12</v>
      </c>
      <c r="E329" s="39">
        <v>11</v>
      </c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4"/>
      <c r="R329" s="71"/>
      <c r="S329" s="71"/>
    </row>
    <row r="330" spans="1:19">
      <c r="A330" s="7">
        <v>1</v>
      </c>
      <c r="B330" s="7" t="s">
        <v>341</v>
      </c>
      <c r="C330" s="65">
        <v>43</v>
      </c>
      <c r="D330" s="65">
        <v>8</v>
      </c>
      <c r="E330" s="65">
        <v>7</v>
      </c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6"/>
      <c r="R330" s="73"/>
      <c r="S330" s="73"/>
    </row>
    <row r="331" spans="1:19">
      <c r="A331" s="1">
        <v>1</v>
      </c>
      <c r="B331" s="1" t="s">
        <v>342</v>
      </c>
      <c r="C331" s="39">
        <v>45</v>
      </c>
      <c r="D331" s="39">
        <v>38</v>
      </c>
      <c r="E331" s="39">
        <v>16</v>
      </c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4"/>
      <c r="R331" s="71"/>
      <c r="S331" s="71"/>
    </row>
    <row r="332" spans="1:19">
      <c r="A332" s="1">
        <v>1</v>
      </c>
      <c r="B332" s="1" t="s">
        <v>343</v>
      </c>
      <c r="C332" s="39">
        <v>42</v>
      </c>
      <c r="D332" s="39">
        <v>12</v>
      </c>
      <c r="E332" s="39">
        <v>8</v>
      </c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4"/>
      <c r="R332" s="71"/>
      <c r="S332" s="71"/>
    </row>
    <row r="333" spans="1:19">
      <c r="A333" s="1">
        <v>1</v>
      </c>
      <c r="B333" s="1" t="s">
        <v>344</v>
      </c>
      <c r="C333" s="39">
        <v>39</v>
      </c>
      <c r="D333" s="39">
        <v>14</v>
      </c>
      <c r="E333" s="39">
        <v>9</v>
      </c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4"/>
      <c r="R333" s="71"/>
      <c r="S333" s="71"/>
    </row>
    <row r="334" spans="1:19">
      <c r="A334" s="7">
        <v>1</v>
      </c>
      <c r="B334" s="7" t="s">
        <v>345</v>
      </c>
      <c r="C334" s="65">
        <v>48</v>
      </c>
      <c r="D334" s="65">
        <v>24</v>
      </c>
      <c r="E334" s="65">
        <v>9</v>
      </c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6"/>
      <c r="R334" s="73"/>
      <c r="S334" s="73"/>
    </row>
    <row r="335" spans="1:19">
      <c r="A335" s="1">
        <v>1</v>
      </c>
      <c r="B335" s="1" t="s">
        <v>346</v>
      </c>
      <c r="C335" s="39">
        <v>49</v>
      </c>
      <c r="D335" s="39">
        <v>27</v>
      </c>
      <c r="E335" s="39">
        <v>17</v>
      </c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4"/>
      <c r="R335" s="71"/>
      <c r="S335" s="71"/>
    </row>
    <row r="336" spans="1:19">
      <c r="A336" s="1">
        <v>1</v>
      </c>
      <c r="B336" s="1" t="s">
        <v>347</v>
      </c>
      <c r="C336" s="39">
        <v>45</v>
      </c>
      <c r="D336" s="39">
        <v>30</v>
      </c>
      <c r="E336" s="39">
        <v>21</v>
      </c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4"/>
      <c r="R336" s="71"/>
      <c r="S336" s="71"/>
    </row>
    <row r="337" spans="1:19">
      <c r="A337" s="1">
        <v>1</v>
      </c>
      <c r="B337" s="1" t="s">
        <v>348</v>
      </c>
      <c r="C337" s="39">
        <v>51</v>
      </c>
      <c r="D337" s="39">
        <v>35</v>
      </c>
      <c r="E337" s="39">
        <v>19</v>
      </c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4"/>
      <c r="R337" s="71"/>
      <c r="S337" s="71"/>
    </row>
    <row r="338" spans="1:19">
      <c r="A338" s="1">
        <v>1</v>
      </c>
      <c r="B338" s="1" t="s">
        <v>349</v>
      </c>
      <c r="C338" s="39">
        <v>40</v>
      </c>
      <c r="D338" s="39">
        <v>19</v>
      </c>
      <c r="E338" s="39">
        <v>13</v>
      </c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4"/>
      <c r="R338" s="70"/>
      <c r="S338" s="71"/>
    </row>
    <row r="339" spans="1:19">
      <c r="A339" s="1">
        <v>1</v>
      </c>
      <c r="B339" s="1" t="s">
        <v>350</v>
      </c>
      <c r="C339" s="39">
        <v>52</v>
      </c>
      <c r="D339" s="39">
        <v>15</v>
      </c>
      <c r="E339" s="39">
        <v>8</v>
      </c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4"/>
      <c r="R339" s="70"/>
      <c r="S339" s="71"/>
    </row>
    <row r="340" spans="1:19">
      <c r="A340" s="1">
        <v>1</v>
      </c>
      <c r="B340" s="1" t="s">
        <v>351</v>
      </c>
      <c r="C340" s="63">
        <v>28</v>
      </c>
      <c r="D340" s="63">
        <v>15</v>
      </c>
      <c r="E340" s="39">
        <v>9</v>
      </c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4"/>
      <c r="R340" s="71"/>
      <c r="S340" s="71"/>
    </row>
    <row r="341" spans="1:19">
      <c r="A341" s="1">
        <v>1</v>
      </c>
      <c r="B341" s="5" t="s">
        <v>352</v>
      </c>
      <c r="C341" s="39">
        <v>49</v>
      </c>
      <c r="D341" s="39">
        <v>37</v>
      </c>
      <c r="E341" s="39">
        <v>17</v>
      </c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64"/>
      <c r="R341" s="70"/>
      <c r="S341" s="71"/>
    </row>
    <row r="342" spans="1:19">
      <c r="A342" s="7">
        <v>1</v>
      </c>
      <c r="B342" s="7" t="s">
        <v>353</v>
      </c>
      <c r="C342" s="65">
        <v>38</v>
      </c>
      <c r="D342" s="65">
        <v>15</v>
      </c>
      <c r="E342" s="65">
        <v>7</v>
      </c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6"/>
      <c r="R342" s="73"/>
      <c r="S342" s="73"/>
    </row>
    <row r="343" spans="1:19">
      <c r="A343" s="1">
        <v>1</v>
      </c>
      <c r="B343" s="1" t="s">
        <v>354</v>
      </c>
      <c r="C343" s="39">
        <v>82</v>
      </c>
      <c r="D343" s="39">
        <v>30</v>
      </c>
      <c r="E343" s="39">
        <v>16</v>
      </c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4"/>
      <c r="R343" s="71"/>
      <c r="S343" s="71"/>
    </row>
    <row r="344" spans="1:19">
      <c r="A344" s="1">
        <v>1</v>
      </c>
      <c r="B344" s="1" t="s">
        <v>355</v>
      </c>
      <c r="C344" s="39">
        <v>60</v>
      </c>
      <c r="D344" s="39">
        <v>16</v>
      </c>
      <c r="E344" s="39">
        <v>15</v>
      </c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4"/>
      <c r="R344" s="71"/>
      <c r="S344" s="71"/>
    </row>
    <row r="345" spans="1:19">
      <c r="A345" s="1">
        <v>1</v>
      </c>
      <c r="B345" s="1" t="s">
        <v>356</v>
      </c>
      <c r="C345" s="39">
        <v>62</v>
      </c>
      <c r="D345" s="39">
        <v>16</v>
      </c>
      <c r="E345" s="39">
        <v>9</v>
      </c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4"/>
      <c r="R345" s="70"/>
      <c r="S345" s="71"/>
    </row>
    <row r="346" spans="1:19">
      <c r="A346" s="7">
        <v>1</v>
      </c>
      <c r="B346" s="7" t="s">
        <v>357</v>
      </c>
      <c r="C346" s="65">
        <v>45</v>
      </c>
      <c r="D346" s="65">
        <v>7</v>
      </c>
      <c r="E346" s="65">
        <v>5</v>
      </c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6"/>
      <c r="R346" s="72"/>
      <c r="S346" s="73"/>
    </row>
    <row r="347" spans="1:19">
      <c r="A347" s="1">
        <v>1</v>
      </c>
      <c r="B347" s="1" t="s">
        <v>358</v>
      </c>
      <c r="C347" s="39">
        <v>70</v>
      </c>
      <c r="D347" s="39">
        <v>10</v>
      </c>
      <c r="E347" s="39">
        <v>9</v>
      </c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4"/>
      <c r="R347" s="71"/>
      <c r="S347" s="71"/>
    </row>
    <row r="348" spans="1:19">
      <c r="A348" s="1">
        <v>1</v>
      </c>
      <c r="B348" s="1" t="s">
        <v>359</v>
      </c>
      <c r="C348" s="39">
        <v>60</v>
      </c>
      <c r="D348" s="39">
        <v>19</v>
      </c>
      <c r="E348" s="39">
        <v>13</v>
      </c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4"/>
      <c r="R348" s="71"/>
      <c r="S348" s="71"/>
    </row>
    <row r="349" spans="1:19">
      <c r="A349" s="1">
        <v>1</v>
      </c>
      <c r="B349" s="1" t="s">
        <v>360</v>
      </c>
      <c r="C349" s="39">
        <v>39</v>
      </c>
      <c r="D349" s="39">
        <v>17</v>
      </c>
      <c r="E349" s="39">
        <v>12</v>
      </c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4"/>
      <c r="R349" s="71"/>
      <c r="S349" s="71"/>
    </row>
    <row r="350" spans="1:19">
      <c r="A350" s="1">
        <v>1</v>
      </c>
      <c r="B350" s="1" t="s">
        <v>361</v>
      </c>
      <c r="C350" s="39">
        <v>50</v>
      </c>
      <c r="D350" s="39">
        <v>19</v>
      </c>
      <c r="E350" s="39">
        <v>15</v>
      </c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4"/>
      <c r="R350" s="71"/>
      <c r="S350" s="71"/>
    </row>
    <row r="351" spans="1:19">
      <c r="A351" s="1">
        <v>1</v>
      </c>
      <c r="B351" s="1" t="s">
        <v>362</v>
      </c>
      <c r="C351" s="39">
        <v>47</v>
      </c>
      <c r="D351" s="39">
        <v>47</v>
      </c>
      <c r="E351" s="39">
        <v>27</v>
      </c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4"/>
      <c r="R351" s="71"/>
      <c r="S351" s="71"/>
    </row>
    <row r="352" spans="1:19">
      <c r="A352" s="1">
        <v>1</v>
      </c>
      <c r="B352" s="1" t="s">
        <v>363</v>
      </c>
      <c r="C352" s="39">
        <v>46</v>
      </c>
      <c r="D352" s="39">
        <v>9</v>
      </c>
      <c r="E352" s="39">
        <v>4</v>
      </c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4"/>
      <c r="R352" s="70"/>
      <c r="S352" s="71"/>
    </row>
    <row r="353" spans="1:19">
      <c r="A353" s="1">
        <v>1</v>
      </c>
      <c r="B353" s="1" t="s">
        <v>364</v>
      </c>
      <c r="C353" s="39">
        <v>41</v>
      </c>
      <c r="D353" s="39">
        <v>14</v>
      </c>
      <c r="E353" s="39">
        <v>9</v>
      </c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4"/>
      <c r="R353" s="71"/>
      <c r="S353" s="71"/>
    </row>
    <row r="354" spans="1:19">
      <c r="A354" s="1">
        <v>1</v>
      </c>
      <c r="B354" s="1" t="s">
        <v>365</v>
      </c>
      <c r="C354" s="39">
        <v>48</v>
      </c>
      <c r="D354" s="39">
        <v>10</v>
      </c>
      <c r="E354" s="39">
        <v>7</v>
      </c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4"/>
      <c r="R354" s="71"/>
      <c r="S354" s="71"/>
    </row>
    <row r="355" spans="1:19">
      <c r="A355" s="1">
        <v>1</v>
      </c>
      <c r="B355" s="1" t="s">
        <v>366</v>
      </c>
      <c r="C355" s="39">
        <v>45</v>
      </c>
      <c r="D355" s="39">
        <v>19</v>
      </c>
      <c r="E355" s="39">
        <v>13</v>
      </c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4"/>
      <c r="R355" s="71"/>
      <c r="S355" s="71"/>
    </row>
    <row r="356" spans="1:19">
      <c r="A356" s="1">
        <v>1</v>
      </c>
      <c r="B356" s="1" t="s">
        <v>367</v>
      </c>
      <c r="C356" s="39">
        <v>49</v>
      </c>
      <c r="D356" s="39">
        <v>25</v>
      </c>
      <c r="E356" s="39">
        <v>18</v>
      </c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4"/>
      <c r="R356" s="71"/>
      <c r="S356" s="71"/>
    </row>
    <row r="357" spans="1:19">
      <c r="A357" s="1">
        <v>1</v>
      </c>
      <c r="B357" s="1" t="s">
        <v>368</v>
      </c>
      <c r="C357" s="39">
        <v>59</v>
      </c>
      <c r="D357" s="39">
        <v>15</v>
      </c>
      <c r="E357" s="39">
        <v>10</v>
      </c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4"/>
      <c r="R357" s="71"/>
      <c r="S357" s="71"/>
    </row>
    <row r="358" spans="1:19">
      <c r="A358" s="1">
        <v>1</v>
      </c>
      <c r="B358" s="1" t="s">
        <v>369</v>
      </c>
      <c r="C358" s="39">
        <v>59</v>
      </c>
      <c r="D358" s="39">
        <v>41</v>
      </c>
      <c r="E358" s="39">
        <v>26</v>
      </c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4"/>
      <c r="R358" s="71"/>
      <c r="S358" s="71"/>
    </row>
    <row r="359" spans="1:19">
      <c r="A359" s="1">
        <v>1</v>
      </c>
      <c r="B359" s="1" t="s">
        <v>370</v>
      </c>
      <c r="C359" s="39">
        <v>68</v>
      </c>
      <c r="D359" s="39">
        <v>14</v>
      </c>
      <c r="E359" s="39">
        <v>9</v>
      </c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4"/>
      <c r="R359" s="71"/>
      <c r="S359" s="71"/>
    </row>
    <row r="360" spans="1:19">
      <c r="A360" s="1">
        <v>1</v>
      </c>
      <c r="B360" s="1" t="s">
        <v>371</v>
      </c>
      <c r="C360" s="63" t="s">
        <v>539</v>
      </c>
      <c r="D360" s="63" t="s">
        <v>539</v>
      </c>
      <c r="E360" s="39" t="s">
        <v>539</v>
      </c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4"/>
      <c r="R360" s="71"/>
      <c r="S360" s="71"/>
    </row>
    <row r="361" spans="1:19">
      <c r="A361" s="1">
        <v>1</v>
      </c>
      <c r="B361" s="1" t="s">
        <v>372</v>
      </c>
      <c r="C361" s="39">
        <v>45</v>
      </c>
      <c r="D361" s="39">
        <v>13</v>
      </c>
      <c r="E361" s="39">
        <v>9</v>
      </c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4"/>
      <c r="R361" s="70"/>
      <c r="S361" s="71"/>
    </row>
    <row r="362" spans="1:19">
      <c r="A362" s="1">
        <v>1</v>
      </c>
      <c r="B362" s="1" t="s">
        <v>373</v>
      </c>
      <c r="C362" s="63" t="s">
        <v>539</v>
      </c>
      <c r="D362" s="63" t="s">
        <v>539</v>
      </c>
      <c r="E362" s="39" t="s">
        <v>539</v>
      </c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4"/>
      <c r="R362" s="71"/>
      <c r="S362" s="71"/>
    </row>
    <row r="363" spans="1:19">
      <c r="A363" s="1">
        <v>1</v>
      </c>
      <c r="B363" s="1" t="s">
        <v>374</v>
      </c>
      <c r="C363" s="39">
        <v>68</v>
      </c>
      <c r="D363" s="39">
        <v>18</v>
      </c>
      <c r="E363" s="39">
        <v>12</v>
      </c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4"/>
      <c r="R363" s="71"/>
      <c r="S363" s="71"/>
    </row>
    <row r="364" spans="1:19">
      <c r="A364" s="1">
        <v>1</v>
      </c>
      <c r="B364" s="1" t="s">
        <v>375</v>
      </c>
      <c r="C364" s="39">
        <v>52</v>
      </c>
      <c r="D364" s="39">
        <v>29</v>
      </c>
      <c r="E364" s="39">
        <v>9</v>
      </c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70"/>
      <c r="S364" s="71"/>
    </row>
    <row r="365" spans="1:19">
      <c r="A365" s="1">
        <v>1</v>
      </c>
      <c r="B365" s="1" t="s">
        <v>376</v>
      </c>
      <c r="C365" s="39">
        <v>43</v>
      </c>
      <c r="D365" s="39">
        <v>43</v>
      </c>
      <c r="E365" s="39">
        <v>16</v>
      </c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4"/>
      <c r="R365" s="71"/>
      <c r="S365" s="71"/>
    </row>
    <row r="366" spans="1:19">
      <c r="A366" s="1">
        <v>1</v>
      </c>
      <c r="B366" s="1" t="s">
        <v>377</v>
      </c>
      <c r="C366" s="39">
        <v>43</v>
      </c>
      <c r="D366" s="39">
        <v>15</v>
      </c>
      <c r="E366" s="39">
        <v>10</v>
      </c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4"/>
      <c r="R366" s="71"/>
      <c r="S366" s="71"/>
    </row>
    <row r="367" spans="1:19">
      <c r="A367" s="1">
        <v>1</v>
      </c>
      <c r="B367" s="1" t="s">
        <v>378</v>
      </c>
      <c r="C367" s="39">
        <v>66</v>
      </c>
      <c r="D367" s="39">
        <v>22</v>
      </c>
      <c r="E367" s="39">
        <v>12</v>
      </c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4"/>
      <c r="R367" s="71"/>
      <c r="S367" s="71"/>
    </row>
    <row r="368" spans="1:19">
      <c r="A368" s="1">
        <v>1</v>
      </c>
      <c r="B368" s="1" t="s">
        <v>379</v>
      </c>
      <c r="C368" s="39">
        <v>46</v>
      </c>
      <c r="D368" s="39">
        <v>17</v>
      </c>
      <c r="E368" s="39">
        <v>11</v>
      </c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4"/>
      <c r="R368" s="70"/>
      <c r="S368" s="71"/>
    </row>
    <row r="369" spans="1:19">
      <c r="A369" s="1">
        <v>1</v>
      </c>
      <c r="B369" s="1" t="s">
        <v>380</v>
      </c>
      <c r="C369" s="39">
        <v>57</v>
      </c>
      <c r="D369" s="39">
        <v>63</v>
      </c>
      <c r="E369" s="39">
        <v>43</v>
      </c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4"/>
      <c r="R369" s="71"/>
      <c r="S369" s="71"/>
    </row>
    <row r="370" spans="1:19"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4"/>
      <c r="R370" s="70"/>
      <c r="S370" s="71"/>
    </row>
    <row r="371" spans="1:19">
      <c r="A371" s="1" t="s">
        <v>381</v>
      </c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4"/>
      <c r="R371" s="71"/>
      <c r="S371" s="71"/>
    </row>
    <row r="372" spans="1:19">
      <c r="A372" s="1">
        <v>0</v>
      </c>
      <c r="B372" s="1" t="s">
        <v>382</v>
      </c>
      <c r="C372" s="39">
        <v>36</v>
      </c>
      <c r="D372" s="39">
        <v>17</v>
      </c>
      <c r="E372" s="39">
        <v>9</v>
      </c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4"/>
      <c r="R372" s="70"/>
      <c r="S372" s="71"/>
    </row>
    <row r="373" spans="1:19">
      <c r="A373" s="1">
        <v>0</v>
      </c>
      <c r="B373" s="1" t="s">
        <v>383</v>
      </c>
      <c r="C373" s="39">
        <v>35</v>
      </c>
      <c r="D373" s="39">
        <v>20</v>
      </c>
      <c r="E373" s="39">
        <v>8</v>
      </c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4"/>
      <c r="R373" s="70"/>
      <c r="S373" s="71"/>
    </row>
    <row r="374" spans="1:19">
      <c r="A374" s="1">
        <v>0</v>
      </c>
      <c r="B374" s="1" t="s">
        <v>384</v>
      </c>
      <c r="C374" s="39">
        <v>36</v>
      </c>
      <c r="D374" s="39">
        <v>17</v>
      </c>
      <c r="E374" s="39">
        <v>11</v>
      </c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4"/>
      <c r="R374" s="71"/>
      <c r="S374" s="71"/>
    </row>
    <row r="375" spans="1:19">
      <c r="A375" s="1">
        <v>0</v>
      </c>
      <c r="B375" s="1" t="s">
        <v>385</v>
      </c>
      <c r="C375" s="39">
        <v>49</v>
      </c>
      <c r="D375" s="39">
        <v>8</v>
      </c>
      <c r="E375" s="39">
        <v>7</v>
      </c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4"/>
      <c r="R375" s="70"/>
      <c r="S375" s="71"/>
    </row>
    <row r="376" spans="1:19">
      <c r="A376" s="1">
        <v>0</v>
      </c>
      <c r="B376" s="1" t="s">
        <v>386</v>
      </c>
      <c r="C376" s="39">
        <v>57</v>
      </c>
      <c r="D376" s="39">
        <v>16</v>
      </c>
      <c r="E376" s="39">
        <v>14</v>
      </c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4"/>
      <c r="R376" s="71"/>
      <c r="S376" s="71"/>
    </row>
    <row r="377" spans="1:19">
      <c r="A377" s="1">
        <v>0</v>
      </c>
      <c r="B377" s="1" t="s">
        <v>387</v>
      </c>
      <c r="C377" s="39">
        <v>30</v>
      </c>
      <c r="D377" s="39">
        <v>11</v>
      </c>
      <c r="E377" s="39">
        <v>6</v>
      </c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4"/>
      <c r="R377" s="70"/>
      <c r="S377" s="71"/>
    </row>
    <row r="378" spans="1:19">
      <c r="A378" s="1">
        <v>0</v>
      </c>
      <c r="B378" s="1" t="s">
        <v>388</v>
      </c>
      <c r="C378" s="39">
        <v>42</v>
      </c>
      <c r="D378" s="63" t="s">
        <v>539</v>
      </c>
      <c r="E378" s="63" t="s">
        <v>539</v>
      </c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4"/>
      <c r="R378" s="70"/>
      <c r="S378" s="71"/>
    </row>
    <row r="379" spans="1:19">
      <c r="A379" s="1">
        <v>0</v>
      </c>
      <c r="B379" s="1" t="s">
        <v>389</v>
      </c>
      <c r="C379" s="39">
        <v>49</v>
      </c>
      <c r="D379" s="39">
        <v>14</v>
      </c>
      <c r="E379" s="39">
        <v>7</v>
      </c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4"/>
      <c r="R379" s="70"/>
      <c r="S379" s="71"/>
    </row>
    <row r="380" spans="1:19">
      <c r="A380" s="1">
        <v>0</v>
      </c>
      <c r="B380" s="1" t="s">
        <v>390</v>
      </c>
      <c r="C380" s="39">
        <v>51</v>
      </c>
      <c r="D380" s="39">
        <v>7</v>
      </c>
      <c r="E380" s="39">
        <v>3</v>
      </c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4"/>
      <c r="R380" s="70"/>
      <c r="S380" s="71"/>
    </row>
    <row r="381" spans="1:19">
      <c r="A381" s="1">
        <v>0</v>
      </c>
      <c r="B381" s="1" t="s">
        <v>391</v>
      </c>
      <c r="C381" s="39">
        <v>48</v>
      </c>
      <c r="D381" s="39">
        <v>7</v>
      </c>
      <c r="E381" s="39">
        <v>5</v>
      </c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4"/>
      <c r="R381" s="70"/>
      <c r="S381" s="71"/>
    </row>
    <row r="382" spans="1:19">
      <c r="A382" s="1">
        <v>0</v>
      </c>
      <c r="B382" s="1" t="s">
        <v>392</v>
      </c>
      <c r="C382" s="39">
        <v>42</v>
      </c>
      <c r="D382" s="63" t="s">
        <v>539</v>
      </c>
      <c r="E382" s="63" t="s">
        <v>539</v>
      </c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4"/>
      <c r="R382" s="70"/>
      <c r="S382" s="71"/>
    </row>
    <row r="383" spans="1:19">
      <c r="A383" s="1">
        <v>0</v>
      </c>
      <c r="B383" s="1" t="s">
        <v>393</v>
      </c>
      <c r="C383" s="39">
        <v>39</v>
      </c>
      <c r="D383" s="39">
        <v>11</v>
      </c>
      <c r="E383" s="39">
        <v>8</v>
      </c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4"/>
      <c r="R383" s="70"/>
      <c r="S383" s="71"/>
    </row>
    <row r="384" spans="1:19">
      <c r="A384" s="7">
        <v>0</v>
      </c>
      <c r="B384" s="7" t="s">
        <v>394</v>
      </c>
      <c r="C384" s="65">
        <v>43</v>
      </c>
      <c r="D384" s="65">
        <v>14</v>
      </c>
      <c r="E384" s="65">
        <v>8</v>
      </c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6"/>
      <c r="R384" s="72"/>
      <c r="S384" s="73"/>
    </row>
    <row r="385" spans="1:19">
      <c r="A385" s="1">
        <v>0</v>
      </c>
      <c r="B385" s="1" t="s">
        <v>395</v>
      </c>
      <c r="C385" s="39">
        <v>43</v>
      </c>
      <c r="D385" s="39">
        <v>18</v>
      </c>
      <c r="E385" s="39">
        <v>7</v>
      </c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4"/>
      <c r="R385" s="71"/>
      <c r="S385" s="71"/>
    </row>
    <row r="386" spans="1:19">
      <c r="A386" s="1">
        <v>0</v>
      </c>
      <c r="B386" s="1" t="s">
        <v>396</v>
      </c>
      <c r="C386" s="39">
        <v>50</v>
      </c>
      <c r="D386" s="39">
        <v>18</v>
      </c>
      <c r="E386" s="39">
        <v>8</v>
      </c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4"/>
      <c r="R386" s="70"/>
      <c r="S386" s="71"/>
    </row>
    <row r="387" spans="1:19">
      <c r="A387" s="1">
        <v>0</v>
      </c>
      <c r="B387" s="1" t="s">
        <v>397</v>
      </c>
      <c r="C387" s="39">
        <v>51</v>
      </c>
      <c r="D387" s="39">
        <v>11</v>
      </c>
      <c r="E387" s="39">
        <v>4</v>
      </c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4"/>
      <c r="R387" s="70"/>
      <c r="S387" s="71"/>
    </row>
    <row r="388" spans="1:19">
      <c r="A388" s="1">
        <v>0</v>
      </c>
      <c r="B388" s="1" t="s">
        <v>398</v>
      </c>
      <c r="C388" s="39">
        <v>41</v>
      </c>
      <c r="D388" s="39">
        <v>6</v>
      </c>
      <c r="E388" s="39">
        <v>5</v>
      </c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4"/>
      <c r="R388" s="70"/>
      <c r="S388" s="71"/>
    </row>
    <row r="389" spans="1:19">
      <c r="A389" s="1">
        <v>0</v>
      </c>
      <c r="B389" s="1" t="s">
        <v>399</v>
      </c>
      <c r="C389" s="39">
        <v>41</v>
      </c>
      <c r="D389" s="39">
        <v>7</v>
      </c>
      <c r="E389" s="39">
        <v>3</v>
      </c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4"/>
      <c r="R389" s="70"/>
      <c r="S389" s="71"/>
    </row>
    <row r="390" spans="1:19">
      <c r="A390" s="1">
        <v>0</v>
      </c>
      <c r="B390" s="1" t="s">
        <v>400</v>
      </c>
      <c r="C390" s="39">
        <v>43</v>
      </c>
      <c r="D390" s="39">
        <v>11</v>
      </c>
      <c r="E390" s="39">
        <v>7</v>
      </c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4"/>
      <c r="R390" s="70"/>
      <c r="S390" s="71"/>
    </row>
    <row r="391" spans="1:19">
      <c r="A391" s="1">
        <v>0</v>
      </c>
      <c r="B391" s="1" t="s">
        <v>401</v>
      </c>
      <c r="C391" s="39">
        <v>51</v>
      </c>
      <c r="D391" s="39">
        <v>9</v>
      </c>
      <c r="E391" s="39">
        <v>5</v>
      </c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4"/>
      <c r="R391" s="70"/>
      <c r="S391" s="71"/>
    </row>
    <row r="392" spans="1:19">
      <c r="A392" s="1">
        <v>0</v>
      </c>
      <c r="B392" s="1" t="s">
        <v>402</v>
      </c>
      <c r="C392" s="39">
        <v>69</v>
      </c>
      <c r="D392" s="39">
        <v>11</v>
      </c>
      <c r="E392" s="39">
        <v>11</v>
      </c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4"/>
      <c r="R392" s="70"/>
      <c r="S392" s="71"/>
    </row>
    <row r="393" spans="1:19">
      <c r="A393" s="1">
        <v>0</v>
      </c>
      <c r="B393" s="1" t="s">
        <v>403</v>
      </c>
      <c r="C393" s="39">
        <v>49</v>
      </c>
      <c r="D393" s="39">
        <v>26</v>
      </c>
      <c r="E393" s="39">
        <v>10</v>
      </c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4"/>
      <c r="R393" s="70"/>
      <c r="S393" s="71"/>
    </row>
    <row r="394" spans="1:19">
      <c r="A394" s="1">
        <v>0</v>
      </c>
      <c r="B394" s="1" t="s">
        <v>404</v>
      </c>
      <c r="C394" s="39">
        <v>37</v>
      </c>
      <c r="D394" s="39">
        <v>11</v>
      </c>
      <c r="E394" s="39">
        <v>7</v>
      </c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4"/>
      <c r="R394" s="70"/>
      <c r="S394" s="71"/>
    </row>
    <row r="395" spans="1:19">
      <c r="A395" s="1">
        <v>0</v>
      </c>
      <c r="B395" s="1" t="s">
        <v>405</v>
      </c>
      <c r="C395" s="39">
        <v>32</v>
      </c>
      <c r="D395" s="39">
        <v>14</v>
      </c>
      <c r="E395" s="39">
        <v>8</v>
      </c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4"/>
      <c r="R395" s="71"/>
      <c r="S395" s="71"/>
    </row>
    <row r="396" spans="1:19">
      <c r="A396" s="1">
        <v>0</v>
      </c>
      <c r="B396" s="1" t="s">
        <v>406</v>
      </c>
      <c r="C396" s="39">
        <v>57</v>
      </c>
      <c r="D396" s="39">
        <v>8</v>
      </c>
      <c r="E396" s="39">
        <v>5</v>
      </c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4"/>
      <c r="R396" s="70"/>
      <c r="S396" s="71"/>
    </row>
    <row r="397" spans="1:19">
      <c r="A397" s="1">
        <v>0</v>
      </c>
      <c r="B397" s="1" t="s">
        <v>407</v>
      </c>
      <c r="C397" s="39">
        <v>32</v>
      </c>
      <c r="D397" s="39">
        <v>10</v>
      </c>
      <c r="E397" s="39">
        <v>4</v>
      </c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4"/>
      <c r="R397" s="70"/>
      <c r="S397" s="71"/>
    </row>
    <row r="398" spans="1:19">
      <c r="A398" s="1">
        <v>0</v>
      </c>
      <c r="B398" s="1" t="s">
        <v>408</v>
      </c>
      <c r="C398" s="39">
        <v>49</v>
      </c>
      <c r="D398" s="39">
        <v>9</v>
      </c>
      <c r="E398" s="39">
        <v>5</v>
      </c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4"/>
      <c r="R398" s="70"/>
      <c r="S398" s="71"/>
    </row>
    <row r="399" spans="1:19">
      <c r="A399" s="1">
        <v>0</v>
      </c>
      <c r="B399" s="1" t="s">
        <v>409</v>
      </c>
      <c r="C399" s="39">
        <v>44</v>
      </c>
      <c r="D399" s="39">
        <v>15</v>
      </c>
      <c r="E399" s="39">
        <v>9</v>
      </c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4"/>
      <c r="R399" s="70"/>
      <c r="S399" s="71"/>
    </row>
    <row r="400" spans="1:19">
      <c r="A400" s="1">
        <v>0</v>
      </c>
      <c r="B400" s="1" t="s">
        <v>410</v>
      </c>
      <c r="C400" s="39">
        <v>53</v>
      </c>
      <c r="D400" s="39">
        <v>27</v>
      </c>
      <c r="E400" s="39">
        <v>13</v>
      </c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4"/>
      <c r="R400" s="70"/>
      <c r="S400" s="71"/>
    </row>
    <row r="401" spans="1:19">
      <c r="A401" s="1">
        <v>0</v>
      </c>
      <c r="B401" s="1" t="s">
        <v>411</v>
      </c>
      <c r="C401" s="39">
        <v>41</v>
      </c>
      <c r="D401" s="39">
        <v>16</v>
      </c>
      <c r="E401" s="39">
        <v>12</v>
      </c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4"/>
      <c r="R401" s="70"/>
      <c r="S401" s="71"/>
    </row>
    <row r="402" spans="1:19">
      <c r="A402" s="1">
        <v>0</v>
      </c>
      <c r="B402" s="1" t="s">
        <v>412</v>
      </c>
      <c r="C402" s="39">
        <v>34</v>
      </c>
      <c r="D402" s="39">
        <v>24</v>
      </c>
      <c r="E402" s="39">
        <v>13</v>
      </c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4"/>
      <c r="R402" s="71"/>
      <c r="S402" s="71"/>
    </row>
    <row r="403" spans="1:19">
      <c r="A403" s="1">
        <v>0</v>
      </c>
      <c r="B403" s="1" t="s">
        <v>413</v>
      </c>
      <c r="C403" s="39">
        <v>46</v>
      </c>
      <c r="D403" s="39">
        <v>10</v>
      </c>
      <c r="E403" s="39">
        <v>7</v>
      </c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4"/>
      <c r="R403" s="71"/>
      <c r="S403" s="71"/>
    </row>
    <row r="404" spans="1:19">
      <c r="A404" s="1">
        <v>0</v>
      </c>
      <c r="B404" s="1" t="s">
        <v>414</v>
      </c>
      <c r="C404" s="39">
        <v>44</v>
      </c>
      <c r="D404" s="39">
        <v>24</v>
      </c>
      <c r="E404" s="39">
        <v>11</v>
      </c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4"/>
      <c r="R404" s="70"/>
      <c r="S404" s="71"/>
    </row>
    <row r="405" spans="1:19">
      <c r="A405" s="1">
        <v>0</v>
      </c>
      <c r="B405" s="1" t="s">
        <v>415</v>
      </c>
      <c r="C405" s="39">
        <v>44</v>
      </c>
      <c r="D405" s="39">
        <v>10</v>
      </c>
      <c r="E405" s="39">
        <v>3</v>
      </c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4"/>
      <c r="R405" s="70"/>
      <c r="S405" s="71"/>
    </row>
    <row r="406" spans="1:19">
      <c r="A406" s="1">
        <v>0</v>
      </c>
      <c r="B406" s="1" t="s">
        <v>416</v>
      </c>
      <c r="C406" s="39">
        <v>44</v>
      </c>
      <c r="D406" s="39">
        <v>3</v>
      </c>
      <c r="E406" s="39">
        <v>2</v>
      </c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4"/>
      <c r="R406" s="70"/>
      <c r="S406" s="71"/>
    </row>
    <row r="407" spans="1:19">
      <c r="A407" s="1">
        <v>0</v>
      </c>
      <c r="B407" s="1" t="s">
        <v>417</v>
      </c>
      <c r="C407" s="39">
        <v>47</v>
      </c>
      <c r="D407" s="39">
        <v>5</v>
      </c>
      <c r="E407" s="39">
        <v>4</v>
      </c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4"/>
      <c r="R407" s="70"/>
      <c r="S407" s="71"/>
    </row>
    <row r="408" spans="1:19">
      <c r="A408" s="1">
        <v>0</v>
      </c>
      <c r="B408" s="1" t="s">
        <v>418</v>
      </c>
      <c r="C408" s="39">
        <v>47</v>
      </c>
      <c r="D408" s="39">
        <v>7</v>
      </c>
      <c r="E408" s="39">
        <v>4</v>
      </c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4"/>
      <c r="R408" s="70"/>
      <c r="S408" s="71"/>
    </row>
    <row r="409" spans="1:19">
      <c r="A409" s="1">
        <v>0</v>
      </c>
      <c r="B409" s="1" t="s">
        <v>419</v>
      </c>
      <c r="C409" s="39">
        <v>44</v>
      </c>
      <c r="D409" s="39">
        <v>23</v>
      </c>
      <c r="E409" s="39">
        <v>12</v>
      </c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4"/>
      <c r="R409" s="70"/>
      <c r="S409" s="71"/>
    </row>
    <row r="410" spans="1:19">
      <c r="A410" s="1">
        <v>0</v>
      </c>
      <c r="B410" s="1" t="s">
        <v>420</v>
      </c>
      <c r="C410" s="39">
        <v>47</v>
      </c>
      <c r="D410" s="39">
        <v>8</v>
      </c>
      <c r="E410" s="39">
        <v>4</v>
      </c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4"/>
      <c r="R410" s="70"/>
      <c r="S410" s="71"/>
    </row>
    <row r="411" spans="1:19">
      <c r="A411" s="1">
        <v>0</v>
      </c>
      <c r="B411" s="1" t="s">
        <v>421</v>
      </c>
      <c r="C411" s="39">
        <v>45</v>
      </c>
      <c r="D411" s="39">
        <v>7</v>
      </c>
      <c r="E411" s="39">
        <v>5</v>
      </c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4"/>
      <c r="R411" s="70"/>
      <c r="S411" s="71"/>
    </row>
    <row r="412" spans="1:19">
      <c r="A412" s="1">
        <v>0</v>
      </c>
      <c r="B412" s="1" t="s">
        <v>422</v>
      </c>
      <c r="C412" s="39">
        <v>52</v>
      </c>
      <c r="D412" s="39">
        <v>8</v>
      </c>
      <c r="E412" s="39">
        <v>5</v>
      </c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4"/>
      <c r="R412" s="70"/>
      <c r="S412" s="71"/>
    </row>
    <row r="413" spans="1:19">
      <c r="A413" s="1">
        <v>0</v>
      </c>
      <c r="B413" s="1" t="s">
        <v>423</v>
      </c>
      <c r="C413" s="39">
        <v>41</v>
      </c>
      <c r="D413" s="39">
        <v>11</v>
      </c>
      <c r="E413" s="39">
        <v>3</v>
      </c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4"/>
      <c r="R413" s="70"/>
      <c r="S413" s="71"/>
    </row>
    <row r="414" spans="1:19">
      <c r="A414" s="1">
        <v>0</v>
      </c>
      <c r="B414" s="1" t="s">
        <v>424</v>
      </c>
      <c r="C414" s="39">
        <v>52</v>
      </c>
      <c r="D414" s="39">
        <v>8</v>
      </c>
      <c r="E414" s="39">
        <v>8</v>
      </c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4"/>
      <c r="R414" s="70"/>
      <c r="S414" s="71"/>
    </row>
    <row r="415" spans="1:19">
      <c r="A415" s="1">
        <v>1</v>
      </c>
      <c r="B415" s="1" t="s">
        <v>425</v>
      </c>
      <c r="C415" s="39">
        <v>47</v>
      </c>
      <c r="D415" s="39">
        <v>19</v>
      </c>
      <c r="E415" s="39">
        <v>14</v>
      </c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4"/>
      <c r="R415" s="71"/>
      <c r="S415" s="71"/>
    </row>
    <row r="416" spans="1:19">
      <c r="A416" s="1">
        <v>1</v>
      </c>
      <c r="B416" s="1" t="s">
        <v>426</v>
      </c>
      <c r="C416" s="39">
        <v>55</v>
      </c>
      <c r="D416" s="39">
        <v>22</v>
      </c>
      <c r="E416" s="39">
        <v>13</v>
      </c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4"/>
      <c r="R416" s="71"/>
      <c r="S416" s="71"/>
    </row>
    <row r="417" spans="1:19">
      <c r="A417" s="1">
        <v>1</v>
      </c>
      <c r="B417" s="1" t="s">
        <v>427</v>
      </c>
      <c r="C417" s="39">
        <v>64</v>
      </c>
      <c r="D417" s="39">
        <v>21</v>
      </c>
      <c r="E417" s="39">
        <v>11</v>
      </c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4"/>
      <c r="R417" s="71"/>
      <c r="S417" s="71"/>
    </row>
    <row r="418" spans="1:19">
      <c r="A418" s="1">
        <v>1</v>
      </c>
      <c r="B418" s="1" t="s">
        <v>428</v>
      </c>
      <c r="C418" s="39">
        <v>51</v>
      </c>
      <c r="D418" s="39">
        <v>18</v>
      </c>
      <c r="E418" s="39">
        <v>7</v>
      </c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4"/>
      <c r="R418" s="71"/>
      <c r="S418" s="71"/>
    </row>
    <row r="419" spans="1:19">
      <c r="A419" s="1">
        <v>1</v>
      </c>
      <c r="B419" s="1" t="s">
        <v>429</v>
      </c>
      <c r="C419" s="39">
        <v>46</v>
      </c>
      <c r="D419" s="39">
        <v>28</v>
      </c>
      <c r="E419" s="39">
        <v>17</v>
      </c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4"/>
      <c r="R419" s="71"/>
      <c r="S419" s="71"/>
    </row>
    <row r="420" spans="1:19">
      <c r="A420" s="1">
        <v>1</v>
      </c>
      <c r="B420" s="1" t="s">
        <v>430</v>
      </c>
      <c r="C420" s="39">
        <v>57</v>
      </c>
      <c r="D420" s="39">
        <v>35</v>
      </c>
      <c r="E420" s="39">
        <v>20</v>
      </c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4"/>
      <c r="R420" s="71"/>
      <c r="S420" s="71"/>
    </row>
    <row r="421" spans="1:19">
      <c r="A421" s="1">
        <v>1</v>
      </c>
      <c r="B421" s="1" t="s">
        <v>431</v>
      </c>
      <c r="C421" s="39">
        <v>47</v>
      </c>
      <c r="D421" s="39">
        <v>40</v>
      </c>
      <c r="E421" s="39">
        <v>17</v>
      </c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4"/>
      <c r="R421" s="71"/>
      <c r="S421" s="71"/>
    </row>
    <row r="422" spans="1:19">
      <c r="A422" s="1">
        <v>1</v>
      </c>
      <c r="B422" s="1" t="s">
        <v>432</v>
      </c>
      <c r="C422" s="39">
        <v>42</v>
      </c>
      <c r="D422" s="39">
        <v>15</v>
      </c>
      <c r="E422" s="39">
        <v>11</v>
      </c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4"/>
      <c r="R422" s="71"/>
      <c r="S422" s="71"/>
    </row>
    <row r="423" spans="1:19">
      <c r="A423" s="1">
        <v>1</v>
      </c>
      <c r="B423" s="1" t="s">
        <v>433</v>
      </c>
      <c r="C423" s="39">
        <v>51</v>
      </c>
      <c r="D423" s="39">
        <v>21</v>
      </c>
      <c r="E423" s="39">
        <v>15</v>
      </c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4"/>
      <c r="R423" s="71"/>
      <c r="S423" s="71"/>
    </row>
    <row r="424" spans="1:19">
      <c r="A424" s="1">
        <v>1</v>
      </c>
      <c r="B424" s="1" t="s">
        <v>434</v>
      </c>
      <c r="C424" s="39">
        <v>45</v>
      </c>
      <c r="D424" s="39">
        <v>13</v>
      </c>
      <c r="E424" s="39">
        <v>7</v>
      </c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4"/>
      <c r="R424" s="71"/>
      <c r="S424" s="71"/>
    </row>
    <row r="425" spans="1:19">
      <c r="A425" s="1">
        <v>1</v>
      </c>
      <c r="B425" s="1" t="s">
        <v>435</v>
      </c>
      <c r="C425" s="39">
        <v>51</v>
      </c>
      <c r="D425" s="39">
        <v>20</v>
      </c>
      <c r="E425" s="39">
        <v>12</v>
      </c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4"/>
      <c r="R425" s="71"/>
      <c r="S425" s="71"/>
    </row>
    <row r="426" spans="1:19">
      <c r="A426" s="1">
        <v>1</v>
      </c>
      <c r="B426" s="1" t="s">
        <v>436</v>
      </c>
      <c r="C426" s="39">
        <v>61</v>
      </c>
      <c r="D426" s="39">
        <v>30</v>
      </c>
      <c r="E426" s="39">
        <v>14</v>
      </c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4"/>
      <c r="R426" s="71"/>
      <c r="S426" s="71"/>
    </row>
    <row r="427" spans="1:19">
      <c r="A427" s="7">
        <v>1</v>
      </c>
      <c r="B427" s="7" t="s">
        <v>437</v>
      </c>
      <c r="C427" s="65">
        <v>40</v>
      </c>
      <c r="D427" s="65">
        <v>4</v>
      </c>
      <c r="E427" s="65">
        <v>2</v>
      </c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6"/>
      <c r="R427" s="73"/>
      <c r="S427" s="73"/>
    </row>
    <row r="428" spans="1:19">
      <c r="A428" s="1">
        <v>1</v>
      </c>
      <c r="B428" s="1" t="s">
        <v>438</v>
      </c>
      <c r="C428" s="39">
        <v>53</v>
      </c>
      <c r="D428" s="39">
        <v>24</v>
      </c>
      <c r="E428" s="39">
        <v>12</v>
      </c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4"/>
      <c r="R428" s="71"/>
      <c r="S428" s="71"/>
    </row>
    <row r="429" spans="1:19">
      <c r="A429" s="7">
        <v>1</v>
      </c>
      <c r="B429" s="7" t="s">
        <v>439</v>
      </c>
      <c r="C429" s="65">
        <v>50</v>
      </c>
      <c r="D429" s="65">
        <v>29</v>
      </c>
      <c r="E429" s="65">
        <v>13</v>
      </c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6"/>
      <c r="R429" s="73"/>
      <c r="S429" s="73"/>
    </row>
    <row r="430" spans="1:19">
      <c r="A430" s="1">
        <v>1</v>
      </c>
      <c r="B430" s="1" t="s">
        <v>440</v>
      </c>
      <c r="C430" s="39">
        <v>48</v>
      </c>
      <c r="D430" s="39">
        <v>21</v>
      </c>
      <c r="E430" s="39">
        <v>11</v>
      </c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4"/>
      <c r="R430" s="71"/>
      <c r="S430" s="71"/>
    </row>
    <row r="431" spans="1:19">
      <c r="A431" s="1">
        <v>1</v>
      </c>
      <c r="B431" s="1" t="s">
        <v>441</v>
      </c>
      <c r="C431" s="39">
        <v>61</v>
      </c>
      <c r="D431" s="39">
        <v>25</v>
      </c>
      <c r="E431" s="39">
        <v>21</v>
      </c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4"/>
      <c r="R431" s="71"/>
      <c r="S431" s="71"/>
    </row>
    <row r="432" spans="1:19">
      <c r="A432" s="7">
        <v>1</v>
      </c>
      <c r="B432" s="7" t="s">
        <v>442</v>
      </c>
      <c r="C432" s="65">
        <v>48</v>
      </c>
      <c r="D432" s="65">
        <v>27</v>
      </c>
      <c r="E432" s="65">
        <v>11</v>
      </c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6"/>
      <c r="R432" s="67"/>
      <c r="S432" s="66"/>
    </row>
    <row r="433" spans="1:19">
      <c r="A433" s="1">
        <v>1</v>
      </c>
      <c r="B433" s="1" t="s">
        <v>443</v>
      </c>
      <c r="C433" s="39">
        <v>45</v>
      </c>
      <c r="D433" s="39">
        <v>37</v>
      </c>
      <c r="E433" s="39">
        <v>21</v>
      </c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4"/>
      <c r="R433" s="71"/>
      <c r="S433" s="71"/>
    </row>
    <row r="434" spans="1:19">
      <c r="A434" s="1">
        <v>1</v>
      </c>
      <c r="B434" s="1" t="s">
        <v>444</v>
      </c>
      <c r="C434" s="39">
        <v>27</v>
      </c>
      <c r="D434" s="39">
        <v>9</v>
      </c>
      <c r="E434" s="39">
        <v>8</v>
      </c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4"/>
      <c r="R434" s="71"/>
      <c r="S434" s="71"/>
    </row>
    <row r="435" spans="1:19">
      <c r="A435" s="1">
        <v>1</v>
      </c>
      <c r="B435" s="1" t="s">
        <v>445</v>
      </c>
      <c r="C435" s="39">
        <v>30</v>
      </c>
      <c r="D435" s="39">
        <v>26</v>
      </c>
      <c r="E435" s="39">
        <v>16</v>
      </c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4"/>
      <c r="R435" s="70"/>
      <c r="S435" s="71"/>
    </row>
    <row r="436" spans="1:19">
      <c r="A436" s="1">
        <v>1</v>
      </c>
      <c r="B436" s="1" t="s">
        <v>446</v>
      </c>
      <c r="C436" s="39">
        <v>58</v>
      </c>
      <c r="D436" s="39">
        <v>45</v>
      </c>
      <c r="E436" s="39">
        <v>35</v>
      </c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4"/>
      <c r="R436" s="71"/>
      <c r="S436" s="71"/>
    </row>
    <row r="437" spans="1:19">
      <c r="A437" s="7">
        <v>1</v>
      </c>
      <c r="B437" s="7" t="s">
        <v>447</v>
      </c>
      <c r="C437" s="65">
        <v>57</v>
      </c>
      <c r="D437" s="65">
        <v>23</v>
      </c>
      <c r="E437" s="65">
        <v>12</v>
      </c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6"/>
      <c r="R437" s="73"/>
      <c r="S437" s="73"/>
    </row>
    <row r="438" spans="1:19">
      <c r="A438" s="1">
        <v>1</v>
      </c>
      <c r="B438" s="1" t="s">
        <v>448</v>
      </c>
      <c r="C438" s="39">
        <v>47</v>
      </c>
      <c r="D438" s="39">
        <v>13</v>
      </c>
      <c r="E438" s="39">
        <v>9</v>
      </c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4"/>
      <c r="R438" s="70"/>
      <c r="S438" s="71"/>
    </row>
    <row r="439" spans="1:19">
      <c r="A439" s="1">
        <v>1</v>
      </c>
      <c r="B439" s="1" t="s">
        <v>449</v>
      </c>
      <c r="C439" s="39">
        <v>48</v>
      </c>
      <c r="D439" s="39">
        <v>19</v>
      </c>
      <c r="E439" s="39">
        <v>12</v>
      </c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4"/>
      <c r="R439" s="70"/>
      <c r="S439" s="71"/>
    </row>
    <row r="440" spans="1:19">
      <c r="A440" s="1">
        <v>1</v>
      </c>
      <c r="B440" s="1" t="s">
        <v>450</v>
      </c>
      <c r="C440" s="39">
        <v>36</v>
      </c>
      <c r="D440" s="39">
        <v>15</v>
      </c>
      <c r="E440" s="39">
        <v>9</v>
      </c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4"/>
      <c r="R440" s="71"/>
      <c r="S440" s="71"/>
    </row>
    <row r="441" spans="1:19">
      <c r="A441" s="1">
        <v>1</v>
      </c>
      <c r="B441" s="1" t="s">
        <v>451</v>
      </c>
      <c r="C441" s="39">
        <v>52</v>
      </c>
      <c r="D441" s="39">
        <v>30</v>
      </c>
      <c r="E441" s="39">
        <v>12</v>
      </c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4"/>
      <c r="R441" s="71"/>
      <c r="S441" s="71"/>
    </row>
    <row r="442" spans="1:19">
      <c r="A442" s="1">
        <v>1</v>
      </c>
      <c r="B442" s="1" t="s">
        <v>452</v>
      </c>
      <c r="C442" s="39">
        <v>51</v>
      </c>
      <c r="D442" s="39">
        <v>25</v>
      </c>
      <c r="E442" s="39">
        <v>20</v>
      </c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4"/>
      <c r="R442" s="71"/>
      <c r="S442" s="71"/>
    </row>
    <row r="443" spans="1:19">
      <c r="A443" s="1">
        <v>1</v>
      </c>
      <c r="B443" s="1" t="s">
        <v>453</v>
      </c>
      <c r="C443" s="39">
        <v>40</v>
      </c>
      <c r="D443" s="39">
        <v>24</v>
      </c>
      <c r="E443" s="39">
        <v>19</v>
      </c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4"/>
      <c r="R443" s="71"/>
      <c r="S443" s="71"/>
    </row>
    <row r="444" spans="1:19">
      <c r="A444" s="1">
        <v>1</v>
      </c>
      <c r="B444" s="1" t="s">
        <v>454</v>
      </c>
      <c r="C444" s="39">
        <v>61</v>
      </c>
      <c r="D444" s="39">
        <v>21</v>
      </c>
      <c r="E444" s="39">
        <v>13</v>
      </c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4"/>
      <c r="R444" s="71"/>
      <c r="S444" s="71"/>
    </row>
    <row r="445" spans="1:19">
      <c r="A445" s="1">
        <v>1</v>
      </c>
      <c r="B445" s="1" t="s">
        <v>455</v>
      </c>
      <c r="C445" s="39">
        <v>48</v>
      </c>
      <c r="D445" s="39">
        <v>17</v>
      </c>
      <c r="E445" s="39">
        <v>10</v>
      </c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4"/>
      <c r="R445" s="71"/>
      <c r="S445" s="71"/>
    </row>
    <row r="446" spans="1:19">
      <c r="A446" s="1">
        <v>1</v>
      </c>
      <c r="B446" s="1" t="s">
        <v>456</v>
      </c>
      <c r="C446" s="39">
        <v>58</v>
      </c>
      <c r="D446" s="39">
        <v>23</v>
      </c>
      <c r="E446" s="39">
        <v>22</v>
      </c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4"/>
      <c r="R446" s="71"/>
      <c r="S446" s="71"/>
    </row>
    <row r="447" spans="1:19">
      <c r="A447" s="1">
        <v>1</v>
      </c>
      <c r="B447" s="1" t="s">
        <v>457</v>
      </c>
      <c r="C447" s="39">
        <v>69</v>
      </c>
      <c r="D447" s="39">
        <v>18</v>
      </c>
      <c r="E447" s="39">
        <v>10</v>
      </c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4"/>
      <c r="R447" s="71"/>
      <c r="S447" s="71"/>
    </row>
    <row r="448" spans="1:19">
      <c r="A448" s="1">
        <v>1</v>
      </c>
      <c r="B448" s="1" t="s">
        <v>458</v>
      </c>
      <c r="C448" s="39">
        <v>38</v>
      </c>
      <c r="D448" s="39">
        <v>25</v>
      </c>
      <c r="E448" s="39">
        <v>13</v>
      </c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4"/>
      <c r="R448" s="70"/>
      <c r="S448" s="71"/>
    </row>
    <row r="449" spans="1:19">
      <c r="A449" s="1">
        <v>1</v>
      </c>
      <c r="B449" s="1" t="s">
        <v>459</v>
      </c>
      <c r="C449" s="39">
        <v>46</v>
      </c>
      <c r="D449" s="39">
        <v>36</v>
      </c>
      <c r="E449" s="39">
        <v>18</v>
      </c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4"/>
      <c r="R449" s="71"/>
      <c r="S449" s="71"/>
    </row>
    <row r="450" spans="1:19">
      <c r="A450" s="1">
        <v>1</v>
      </c>
      <c r="B450" s="1" t="s">
        <v>460</v>
      </c>
      <c r="C450" s="39">
        <v>39</v>
      </c>
      <c r="D450" s="39">
        <v>29</v>
      </c>
      <c r="E450" s="39">
        <v>18</v>
      </c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4"/>
      <c r="R450" s="70"/>
      <c r="S450" s="71"/>
    </row>
    <row r="451" spans="1:19">
      <c r="A451" s="1">
        <v>1</v>
      </c>
      <c r="B451" s="1" t="s">
        <v>461</v>
      </c>
      <c r="C451" s="39">
        <v>51</v>
      </c>
      <c r="D451" s="39">
        <v>17</v>
      </c>
      <c r="E451" s="39">
        <v>9</v>
      </c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4"/>
      <c r="R451" s="71"/>
      <c r="S451" s="71"/>
    </row>
    <row r="452" spans="1:19">
      <c r="A452" s="1">
        <v>1</v>
      </c>
      <c r="B452" s="1" t="s">
        <v>462</v>
      </c>
      <c r="C452" s="39">
        <v>55</v>
      </c>
      <c r="D452" s="39">
        <v>38</v>
      </c>
      <c r="E452" s="39">
        <v>20</v>
      </c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4"/>
      <c r="R452" s="71"/>
      <c r="S452" s="71"/>
    </row>
    <row r="453" spans="1:19">
      <c r="A453" s="1">
        <v>1</v>
      </c>
      <c r="B453" s="1" t="s">
        <v>463</v>
      </c>
      <c r="C453" s="39">
        <v>45</v>
      </c>
      <c r="D453" s="39">
        <v>18</v>
      </c>
      <c r="E453" s="39">
        <v>9</v>
      </c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4"/>
      <c r="R453" s="71"/>
      <c r="S453" s="71"/>
    </row>
    <row r="454" spans="1:19">
      <c r="A454" s="1">
        <v>1</v>
      </c>
      <c r="B454" s="1" t="s">
        <v>464</v>
      </c>
      <c r="C454" s="39">
        <v>75</v>
      </c>
      <c r="D454" s="39">
        <v>18</v>
      </c>
      <c r="E454" s="39">
        <v>15</v>
      </c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4"/>
      <c r="R454" s="71"/>
      <c r="S454" s="71"/>
    </row>
    <row r="455" spans="1:19">
      <c r="A455" s="1">
        <v>1</v>
      </c>
      <c r="B455" s="1" t="s">
        <v>465</v>
      </c>
      <c r="C455" s="39">
        <v>47</v>
      </c>
      <c r="D455" s="39">
        <v>20</v>
      </c>
      <c r="E455" s="39">
        <v>13</v>
      </c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4"/>
      <c r="R455" s="71"/>
      <c r="S455" s="71"/>
    </row>
    <row r="456" spans="1:19">
      <c r="A456" s="1">
        <v>1</v>
      </c>
      <c r="B456" s="1" t="s">
        <v>466</v>
      </c>
      <c r="C456" s="63">
        <v>61</v>
      </c>
      <c r="D456" s="39">
        <v>43</v>
      </c>
      <c r="E456" s="39">
        <v>13</v>
      </c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4"/>
      <c r="R456" s="71"/>
      <c r="S456" s="71"/>
    </row>
    <row r="457" spans="1:19">
      <c r="A457" s="1">
        <v>1</v>
      </c>
      <c r="B457" s="1" t="s">
        <v>467</v>
      </c>
      <c r="C457" s="39">
        <v>52</v>
      </c>
      <c r="D457" s="39">
        <v>21</v>
      </c>
      <c r="E457" s="39">
        <v>15</v>
      </c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4"/>
      <c r="R457" s="71"/>
      <c r="S457" s="71"/>
    </row>
    <row r="458" spans="1:19">
      <c r="A458" s="1">
        <v>1</v>
      </c>
      <c r="B458" s="1" t="s">
        <v>468</v>
      </c>
      <c r="C458" s="39">
        <v>44</v>
      </c>
      <c r="D458" s="39">
        <v>35</v>
      </c>
      <c r="E458" s="39">
        <v>12</v>
      </c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4"/>
      <c r="R458" s="71"/>
      <c r="S458" s="71"/>
    </row>
    <row r="459" spans="1:19">
      <c r="A459" s="1">
        <v>1</v>
      </c>
      <c r="B459" s="1" t="s">
        <v>469</v>
      </c>
      <c r="C459" s="39">
        <v>49</v>
      </c>
      <c r="D459" s="39">
        <v>10</v>
      </c>
      <c r="E459" s="39">
        <v>9</v>
      </c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4"/>
      <c r="R459" s="70"/>
      <c r="S459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9"/>
  <sheetViews>
    <sheetView workbookViewId="0">
      <selection activeCell="A4" sqref="A4"/>
    </sheetView>
  </sheetViews>
  <sheetFormatPr defaultColWidth="7.453125" defaultRowHeight="17"/>
  <cols>
    <col min="1" max="1" width="12.36328125" style="1" customWidth="1"/>
    <col min="2" max="2" width="33.90625" style="1" bestFit="1" customWidth="1"/>
    <col min="3" max="3" width="25.08984375" style="1" bestFit="1" customWidth="1"/>
    <col min="4" max="4" width="14.90625" style="1" bestFit="1" customWidth="1"/>
    <col min="5" max="6" width="10.90625" style="1" bestFit="1" customWidth="1"/>
    <col min="7" max="8" width="7.453125" style="1"/>
    <col min="9" max="9" width="10" style="1" bestFit="1" customWidth="1"/>
    <col min="10" max="10" width="7.453125" style="1"/>
    <col min="11" max="11" width="10" style="1" bestFit="1" customWidth="1"/>
    <col min="12" max="12" width="7.453125" style="1"/>
    <col min="13" max="13" width="8.6328125" style="1" bestFit="1" customWidth="1"/>
    <col min="14" max="14" width="7.453125" style="1"/>
    <col min="15" max="15" width="11" style="1" bestFit="1" customWidth="1"/>
    <col min="16" max="16384" width="7.453125" style="1"/>
  </cols>
  <sheetData>
    <row r="1" spans="1:19">
      <c r="B1" s="2" t="s">
        <v>0</v>
      </c>
      <c r="C1" s="3" t="s">
        <v>1</v>
      </c>
      <c r="D1" s="3" t="s">
        <v>2</v>
      </c>
    </row>
    <row r="2" spans="1:19">
      <c r="A2" s="1">
        <v>1</v>
      </c>
      <c r="B2" s="1" t="s">
        <v>3</v>
      </c>
      <c r="C2" s="1">
        <v>0.50504680000000002</v>
      </c>
      <c r="D2" s="1">
        <v>0.57327410000000001</v>
      </c>
      <c r="E2" s="1">
        <v>0.29012315999999999</v>
      </c>
      <c r="F2" s="1">
        <v>0.75436853999999998</v>
      </c>
      <c r="G2" s="1">
        <v>0.19668081000000001</v>
      </c>
      <c r="H2" s="1">
        <v>0.80331916000000003</v>
      </c>
      <c r="I2" s="1">
        <v>0.57564740000000003</v>
      </c>
      <c r="J2" s="1">
        <v>0.42435262000000001</v>
      </c>
      <c r="K2" s="1">
        <v>0.16617193999999999</v>
      </c>
      <c r="L2" s="1">
        <v>0.12508211999999999</v>
      </c>
      <c r="M2" s="1">
        <v>0.72280352999999997</v>
      </c>
      <c r="N2" s="1">
        <v>0.27719643999999999</v>
      </c>
      <c r="O2" s="1">
        <v>0.92269409999999996</v>
      </c>
      <c r="P2" s="1">
        <v>7.7305905999999994E-2</v>
      </c>
      <c r="R2" s="4" t="s">
        <v>4</v>
      </c>
    </row>
    <row r="3" spans="1:19">
      <c r="A3" s="1" t="s">
        <v>5</v>
      </c>
      <c r="B3" s="1" t="s">
        <v>6</v>
      </c>
      <c r="C3" s="1">
        <v>0.25455477999999998</v>
      </c>
      <c r="D3" s="1">
        <v>0.77015659999999997</v>
      </c>
      <c r="E3" s="1">
        <v>4.7584724000000002E-2</v>
      </c>
      <c r="F3" s="1">
        <v>0.78442590000000001</v>
      </c>
      <c r="G3" s="1">
        <v>1.3558812E-2</v>
      </c>
      <c r="H3" s="1">
        <v>0.98644120000000002</v>
      </c>
      <c r="I3" s="1">
        <v>1.4139561E-2</v>
      </c>
      <c r="J3" s="1">
        <v>0.98586046999999999</v>
      </c>
      <c r="K3" s="1">
        <v>0.12469679</v>
      </c>
      <c r="L3" s="1">
        <v>0.46619250000000001</v>
      </c>
      <c r="M3" s="1">
        <v>0.47942066</v>
      </c>
      <c r="N3" s="1">
        <v>0.52057933999999995</v>
      </c>
      <c r="O3" s="1">
        <v>0.33339685000000002</v>
      </c>
      <c r="P3" s="1">
        <v>0.66660319999999995</v>
      </c>
      <c r="R3" s="4" t="s">
        <v>7</v>
      </c>
    </row>
    <row r="4" spans="1:19">
      <c r="R4" s="4" t="s">
        <v>8</v>
      </c>
    </row>
    <row r="5" spans="1:19">
      <c r="B5" s="5"/>
      <c r="C5" s="5"/>
    </row>
    <row r="6" spans="1:19">
      <c r="A6" s="1" t="s">
        <v>9</v>
      </c>
      <c r="C6" s="1" t="s">
        <v>10</v>
      </c>
      <c r="D6" s="1" t="s">
        <v>11</v>
      </c>
    </row>
    <row r="7" spans="1:19">
      <c r="C7" s="1" t="s">
        <v>12</v>
      </c>
      <c r="E7" s="1" t="s">
        <v>13</v>
      </c>
      <c r="G7" s="1" t="s">
        <v>14</v>
      </c>
      <c r="I7" s="1" t="s">
        <v>15</v>
      </c>
      <c r="K7" s="1" t="s">
        <v>16</v>
      </c>
      <c r="M7" s="1" t="s">
        <v>17</v>
      </c>
      <c r="O7" s="1" t="s">
        <v>18</v>
      </c>
      <c r="Q7" s="1" t="s">
        <v>19</v>
      </c>
      <c r="R7" s="1" t="s">
        <v>20</v>
      </c>
      <c r="S7" s="1" t="s">
        <v>21</v>
      </c>
    </row>
    <row r="8" spans="1:19">
      <c r="A8" s="1">
        <v>0</v>
      </c>
      <c r="B8" s="1" t="s">
        <v>22</v>
      </c>
      <c r="C8" s="1">
        <v>0.59509860000000003</v>
      </c>
      <c r="D8" s="1">
        <v>0.63452120000000001</v>
      </c>
      <c r="E8" s="1">
        <v>0.23557927000000001</v>
      </c>
      <c r="F8" s="1">
        <v>0.77432420000000002</v>
      </c>
      <c r="G8" s="1">
        <v>5.1326062999999998E-2</v>
      </c>
      <c r="H8" s="1">
        <v>0.94867396000000004</v>
      </c>
      <c r="I8" s="1">
        <v>0.31814366999999999</v>
      </c>
      <c r="J8" s="1">
        <v>0.68185633000000001</v>
      </c>
      <c r="K8" s="1">
        <v>0.28444162000000001</v>
      </c>
      <c r="L8" s="1">
        <v>0.36560425000000002</v>
      </c>
      <c r="M8" s="1">
        <v>0.37383675999999999</v>
      </c>
      <c r="N8" s="1">
        <v>0.62616324000000001</v>
      </c>
      <c r="O8" s="1">
        <v>0.63317290000000004</v>
      </c>
      <c r="P8" s="1">
        <v>0.36682703999999999</v>
      </c>
      <c r="Q8" s="4">
        <v>0</v>
      </c>
      <c r="R8" s="6">
        <v>0</v>
      </c>
      <c r="S8" s="6">
        <v>0</v>
      </c>
    </row>
    <row r="9" spans="1:19">
      <c r="A9" s="7">
        <v>0</v>
      </c>
      <c r="B9" s="7" t="s">
        <v>23</v>
      </c>
      <c r="C9" s="7">
        <v>0.78867719999999997</v>
      </c>
      <c r="D9" s="7">
        <v>0.11375894</v>
      </c>
      <c r="E9" s="7">
        <v>0.77126470000000003</v>
      </c>
      <c r="F9" s="7">
        <v>0.25091255000000001</v>
      </c>
      <c r="G9" s="7">
        <v>0.89928410000000003</v>
      </c>
      <c r="H9" s="7">
        <v>0.10071581</v>
      </c>
      <c r="I9" s="7">
        <v>0.98756929999999998</v>
      </c>
      <c r="J9" s="7">
        <v>1.2430750000000001E-2</v>
      </c>
      <c r="K9" s="7">
        <v>4.6493622999999998E-2</v>
      </c>
      <c r="L9" s="7">
        <v>0.45047772000000003</v>
      </c>
      <c r="M9" s="7">
        <v>0.13131778</v>
      </c>
      <c r="N9" s="7">
        <v>0.86868219999999996</v>
      </c>
      <c r="O9" s="7">
        <v>0.15787013999999999</v>
      </c>
      <c r="P9" s="7">
        <v>0.84212989999999999</v>
      </c>
      <c r="Q9" s="8">
        <v>0</v>
      </c>
      <c r="R9" s="9">
        <v>0</v>
      </c>
      <c r="S9" s="10">
        <v>0</v>
      </c>
    </row>
    <row r="10" spans="1:19">
      <c r="A10" s="1">
        <v>0</v>
      </c>
      <c r="B10" s="1" t="s">
        <v>24</v>
      </c>
      <c r="C10" s="1">
        <v>0.80502366999999997</v>
      </c>
      <c r="D10" s="1">
        <v>0.10061915</v>
      </c>
      <c r="E10" s="1">
        <v>0.77487689999999998</v>
      </c>
      <c r="F10" s="1">
        <v>0.33407360000000003</v>
      </c>
      <c r="G10" s="1">
        <v>0.86321175000000006</v>
      </c>
      <c r="H10" s="1">
        <v>0.13678825</v>
      </c>
      <c r="I10" s="1">
        <v>0.54027400000000003</v>
      </c>
      <c r="J10" s="1">
        <v>0.45972594999999999</v>
      </c>
      <c r="K10" s="1">
        <v>0.32538234999999999</v>
      </c>
      <c r="L10" s="1">
        <v>0.15590951</v>
      </c>
      <c r="M10" s="1">
        <v>0.57119379999999997</v>
      </c>
      <c r="N10" s="1">
        <v>0.42880620000000003</v>
      </c>
      <c r="O10" s="1">
        <v>0.82879174</v>
      </c>
      <c r="P10" s="1">
        <v>0.17120825000000001</v>
      </c>
      <c r="Q10" s="4">
        <v>0</v>
      </c>
      <c r="R10" s="11">
        <v>0</v>
      </c>
      <c r="S10" s="6">
        <v>0</v>
      </c>
    </row>
    <row r="11" spans="1:19">
      <c r="A11" s="1">
        <v>0</v>
      </c>
      <c r="B11" s="1" t="s">
        <v>25</v>
      </c>
      <c r="C11" s="1">
        <v>0.31316125</v>
      </c>
      <c r="D11" s="1">
        <v>0.72640459999999996</v>
      </c>
      <c r="E11" s="1">
        <v>0.62609130000000002</v>
      </c>
      <c r="F11" s="1">
        <v>0.62168840000000003</v>
      </c>
      <c r="G11" s="1">
        <v>0.63247220000000004</v>
      </c>
      <c r="H11" s="1">
        <v>0.36752774999999999</v>
      </c>
      <c r="I11" s="1">
        <v>0.10459913999999999</v>
      </c>
      <c r="J11" s="1">
        <v>0.89540090000000006</v>
      </c>
      <c r="K11" s="1">
        <v>4.4195600000000002E-2</v>
      </c>
      <c r="L11" s="1">
        <v>0.46990374000000001</v>
      </c>
      <c r="M11" s="1">
        <v>7.1045129999999998E-2</v>
      </c>
      <c r="N11" s="1">
        <v>0.92895483999999995</v>
      </c>
      <c r="O11" s="1">
        <v>0.24568129</v>
      </c>
      <c r="P11" s="1">
        <v>0.75431870000000001</v>
      </c>
      <c r="Q11" s="4">
        <v>0</v>
      </c>
      <c r="R11" s="11">
        <v>0</v>
      </c>
      <c r="S11" s="6">
        <v>0</v>
      </c>
    </row>
    <row r="12" spans="1:19">
      <c r="A12" s="1">
        <v>0</v>
      </c>
      <c r="B12" s="1" t="s">
        <v>26</v>
      </c>
      <c r="C12" s="1">
        <v>0.82279199999999997</v>
      </c>
      <c r="D12" s="1">
        <v>3.5618852999999999E-2</v>
      </c>
      <c r="E12" s="1">
        <v>0.78580030000000001</v>
      </c>
      <c r="F12" s="1">
        <v>6.3632750000000002E-2</v>
      </c>
      <c r="G12" s="1">
        <v>0.99308819999999998</v>
      </c>
      <c r="H12" s="1">
        <v>6.9117709999999997E-3</v>
      </c>
      <c r="I12" s="1">
        <v>0.99745779999999995</v>
      </c>
      <c r="J12" s="1">
        <v>2.5421965000000002E-3</v>
      </c>
      <c r="K12" s="1">
        <v>0.34291836999999997</v>
      </c>
      <c r="L12" s="1">
        <v>2.4503144000000001E-2</v>
      </c>
      <c r="M12" s="1">
        <v>0.70365040000000001</v>
      </c>
      <c r="N12" s="1">
        <v>0.29634956000000001</v>
      </c>
      <c r="O12" s="1">
        <v>0.36693779999999998</v>
      </c>
      <c r="P12" s="1">
        <v>0.63306220000000002</v>
      </c>
      <c r="Q12" s="4">
        <v>0</v>
      </c>
      <c r="R12" s="11">
        <v>0</v>
      </c>
      <c r="S12" s="6">
        <v>0</v>
      </c>
    </row>
    <row r="13" spans="1:19">
      <c r="A13" s="1">
        <v>0</v>
      </c>
      <c r="B13" s="1" t="s">
        <v>27</v>
      </c>
      <c r="C13" s="1">
        <v>0.78923600000000005</v>
      </c>
      <c r="D13" s="1">
        <v>0.14400217000000001</v>
      </c>
      <c r="E13" s="1">
        <v>0.69622653999999995</v>
      </c>
      <c r="F13" s="1">
        <v>0.52185570000000003</v>
      </c>
      <c r="G13" s="1">
        <v>0.72425320000000004</v>
      </c>
      <c r="H13" s="1">
        <v>0.27574682</v>
      </c>
      <c r="I13" s="1">
        <v>0.80842172999999995</v>
      </c>
      <c r="J13" s="1">
        <v>0.19157832999999999</v>
      </c>
      <c r="K13" s="1">
        <v>0.45806098000000001</v>
      </c>
      <c r="L13" s="1">
        <v>0.13654036999999999</v>
      </c>
      <c r="M13" s="1">
        <v>0.62224970000000002</v>
      </c>
      <c r="N13" s="1">
        <v>0.37775034000000002</v>
      </c>
      <c r="O13" s="1">
        <v>0.66066634999999996</v>
      </c>
      <c r="P13" s="1">
        <v>0.33933364999999999</v>
      </c>
      <c r="Q13" s="4">
        <v>0</v>
      </c>
      <c r="R13" s="11">
        <v>0</v>
      </c>
      <c r="S13" s="6">
        <v>0</v>
      </c>
    </row>
    <row r="14" spans="1:19">
      <c r="A14" s="1">
        <v>0</v>
      </c>
      <c r="B14" s="1" t="s">
        <v>28</v>
      </c>
      <c r="C14" s="1">
        <v>0.73830079999999998</v>
      </c>
      <c r="D14" s="1">
        <v>0.30703765</v>
      </c>
      <c r="E14" s="1">
        <v>0.71486799999999995</v>
      </c>
      <c r="F14" s="1">
        <v>0.41340598000000001</v>
      </c>
      <c r="G14" s="1">
        <v>0.73344109999999996</v>
      </c>
      <c r="H14" s="1">
        <v>0.26655889999999999</v>
      </c>
      <c r="I14" s="1">
        <v>0.44769387999999999</v>
      </c>
      <c r="J14" s="1">
        <v>0.55230606000000004</v>
      </c>
      <c r="K14" s="1">
        <v>0.38149690000000003</v>
      </c>
      <c r="L14" s="1">
        <v>0.13384032000000001</v>
      </c>
      <c r="M14" s="1">
        <v>0.62734849999999998</v>
      </c>
      <c r="N14" s="1">
        <v>0.37265152000000001</v>
      </c>
      <c r="O14" s="1">
        <v>0.71054702999999997</v>
      </c>
      <c r="P14" s="1">
        <v>0.28945296999999998</v>
      </c>
      <c r="Q14" s="4">
        <v>0</v>
      </c>
      <c r="R14" s="11">
        <v>0</v>
      </c>
      <c r="S14" s="6">
        <v>0</v>
      </c>
    </row>
    <row r="15" spans="1:19">
      <c r="A15" s="1">
        <v>0</v>
      </c>
      <c r="B15" s="1" t="s">
        <v>29</v>
      </c>
      <c r="C15" s="1">
        <v>0.8211041</v>
      </c>
      <c r="D15" s="1">
        <v>1.0415821E-2</v>
      </c>
      <c r="E15" s="1">
        <v>0.79436432999999995</v>
      </c>
      <c r="F15" s="1">
        <v>0.11710234</v>
      </c>
      <c r="G15" s="1">
        <v>0.9862687</v>
      </c>
      <c r="H15" s="1">
        <v>1.3731247E-2</v>
      </c>
      <c r="I15" s="1">
        <v>0.99446020000000002</v>
      </c>
      <c r="J15" s="1">
        <v>5.5397833E-3</v>
      </c>
      <c r="K15" s="1">
        <v>0.26148825999999997</v>
      </c>
      <c r="L15" s="1">
        <v>6.7099053000000001E-3</v>
      </c>
      <c r="M15" s="1">
        <v>0.81885505000000003</v>
      </c>
      <c r="N15" s="1">
        <v>0.18114494</v>
      </c>
      <c r="O15" s="1">
        <v>0.91537159999999995</v>
      </c>
      <c r="P15" s="1">
        <v>8.4628380000000003E-2</v>
      </c>
      <c r="Q15" s="4">
        <v>0</v>
      </c>
      <c r="R15" s="11">
        <v>0</v>
      </c>
      <c r="S15" s="6">
        <v>0</v>
      </c>
    </row>
    <row r="16" spans="1:19">
      <c r="A16" s="1">
        <v>0</v>
      </c>
      <c r="B16" s="1" t="s">
        <v>30</v>
      </c>
      <c r="C16" s="1">
        <v>0.69611113999999996</v>
      </c>
      <c r="D16" s="1">
        <v>0.39652680000000001</v>
      </c>
      <c r="E16" s="1">
        <v>0.69697659999999995</v>
      </c>
      <c r="F16" s="1">
        <v>0.46790549999999997</v>
      </c>
      <c r="G16" s="1">
        <v>0.75361140000000004</v>
      </c>
      <c r="H16" s="1">
        <v>0.24638860000000001</v>
      </c>
      <c r="I16" s="1">
        <v>0.65036090000000002</v>
      </c>
      <c r="J16" s="1">
        <v>0.34963909999999998</v>
      </c>
      <c r="K16" s="1">
        <v>0.28168579999999999</v>
      </c>
      <c r="L16" s="1">
        <v>0.20907756999999999</v>
      </c>
      <c r="M16" s="1">
        <v>0.57247329999999996</v>
      </c>
      <c r="N16" s="1">
        <v>0.42752667999999999</v>
      </c>
      <c r="O16" s="1">
        <v>0.47459837999999999</v>
      </c>
      <c r="P16" s="1">
        <v>0.52540160000000002</v>
      </c>
      <c r="Q16" s="4">
        <v>0</v>
      </c>
      <c r="R16" s="11">
        <v>0</v>
      </c>
      <c r="S16" s="6">
        <v>0</v>
      </c>
    </row>
    <row r="17" spans="1:19">
      <c r="A17" s="1">
        <v>0</v>
      </c>
      <c r="B17" s="1" t="s">
        <v>31</v>
      </c>
      <c r="C17" s="1">
        <v>0.41989650000000001</v>
      </c>
      <c r="D17" s="1">
        <v>0.67975395999999999</v>
      </c>
      <c r="E17" s="1">
        <v>0.39726588000000002</v>
      </c>
      <c r="F17" s="1">
        <v>0.73446584000000004</v>
      </c>
      <c r="G17" s="1">
        <v>9.7974000000000006E-2</v>
      </c>
      <c r="H17" s="1">
        <v>0.90202599999999999</v>
      </c>
      <c r="I17" s="1">
        <v>0.22168868999999999</v>
      </c>
      <c r="J17" s="1">
        <v>0.77831130000000004</v>
      </c>
      <c r="K17" s="1">
        <v>0.28111723</v>
      </c>
      <c r="L17" s="1">
        <v>0.28373431999999998</v>
      </c>
      <c r="M17" s="1">
        <v>0.35034460000000001</v>
      </c>
      <c r="N17" s="1">
        <v>0.64965539999999999</v>
      </c>
      <c r="O17" s="1">
        <v>0.53749924999999998</v>
      </c>
      <c r="P17" s="1">
        <v>0.46250075000000002</v>
      </c>
      <c r="Q17" s="4">
        <v>0</v>
      </c>
      <c r="R17" s="11">
        <v>0</v>
      </c>
      <c r="S17" s="6">
        <v>0</v>
      </c>
    </row>
    <row r="18" spans="1:19">
      <c r="A18" s="1">
        <v>0</v>
      </c>
      <c r="B18" s="1" t="s">
        <v>32</v>
      </c>
      <c r="C18" s="1">
        <v>0.53409046000000004</v>
      </c>
      <c r="D18" s="1">
        <v>0.67596080000000003</v>
      </c>
      <c r="E18" s="1">
        <v>0.62602376999999998</v>
      </c>
      <c r="F18" s="1">
        <v>0.60115397000000004</v>
      </c>
      <c r="G18" s="1">
        <v>0.23379388000000001</v>
      </c>
      <c r="H18" s="1">
        <v>0.7662061</v>
      </c>
      <c r="I18" s="1">
        <v>0.22109050999999999</v>
      </c>
      <c r="J18" s="1">
        <v>0.77890943999999995</v>
      </c>
      <c r="K18" s="1">
        <v>0.24607518</v>
      </c>
      <c r="L18" s="1">
        <v>0.20879401</v>
      </c>
      <c r="M18" s="1">
        <v>0.5291768</v>
      </c>
      <c r="N18" s="1">
        <v>0.4708232</v>
      </c>
      <c r="O18" s="1">
        <v>0.58213519999999996</v>
      </c>
      <c r="P18" s="1">
        <v>0.41786474000000001</v>
      </c>
      <c r="Q18" s="4">
        <v>0</v>
      </c>
      <c r="R18" s="11">
        <v>0</v>
      </c>
      <c r="S18" s="6">
        <v>0</v>
      </c>
    </row>
    <row r="19" spans="1:19">
      <c r="A19" s="1">
        <v>0</v>
      </c>
      <c r="B19" s="1" t="s">
        <v>33</v>
      </c>
      <c r="C19" s="1">
        <v>0.81870350000000003</v>
      </c>
      <c r="D19" s="1">
        <v>2.6247744E-2</v>
      </c>
      <c r="E19" s="1">
        <v>0.78953993</v>
      </c>
      <c r="F19" s="1">
        <v>5.9641949999999999E-2</v>
      </c>
      <c r="G19" s="1">
        <v>0.99506490000000003</v>
      </c>
      <c r="H19" s="1">
        <v>4.9351183999999998E-3</v>
      </c>
      <c r="I19" s="1">
        <v>0.99808059999999998</v>
      </c>
      <c r="J19" s="1">
        <v>1.9193635000000001E-3</v>
      </c>
      <c r="K19" s="1">
        <v>0.21075927999999999</v>
      </c>
      <c r="L19" s="1">
        <v>8.5733140000000003E-3</v>
      </c>
      <c r="M19" s="1">
        <v>0.75063270000000004</v>
      </c>
      <c r="N19" s="1">
        <v>0.24936727</v>
      </c>
      <c r="O19" s="1">
        <v>0.76408166</v>
      </c>
      <c r="P19" s="1">
        <v>0.23591836999999999</v>
      </c>
      <c r="Q19" s="4">
        <v>0</v>
      </c>
      <c r="R19" s="11">
        <v>0</v>
      </c>
      <c r="S19" s="6">
        <v>1</v>
      </c>
    </row>
    <row r="20" spans="1:19">
      <c r="A20" s="1">
        <v>0</v>
      </c>
      <c r="B20" s="1" t="s">
        <v>34</v>
      </c>
      <c r="C20" s="1">
        <v>0.75325319999999996</v>
      </c>
      <c r="D20" s="1">
        <v>0.23573261000000001</v>
      </c>
      <c r="E20" s="1">
        <v>0.72559154000000003</v>
      </c>
      <c r="F20" s="1">
        <v>0.27931866</v>
      </c>
      <c r="G20" s="1">
        <v>0.92727559999999998</v>
      </c>
      <c r="H20" s="1">
        <v>7.2724410000000003E-2</v>
      </c>
      <c r="I20" s="1">
        <v>0.88741404000000002</v>
      </c>
      <c r="J20" s="1">
        <v>0.11258589500000001</v>
      </c>
      <c r="K20" s="1">
        <v>0.21130699999999999</v>
      </c>
      <c r="L20" s="1">
        <v>0.32143675999999999</v>
      </c>
      <c r="M20" s="1">
        <v>0.59440565000000001</v>
      </c>
      <c r="N20" s="1">
        <v>0.40559432000000001</v>
      </c>
      <c r="O20" s="1">
        <v>0.89423560000000002</v>
      </c>
      <c r="P20" s="1">
        <v>0.10576441</v>
      </c>
      <c r="Q20" s="4">
        <v>0</v>
      </c>
      <c r="R20" s="11">
        <v>0</v>
      </c>
      <c r="S20" s="6">
        <v>0</v>
      </c>
    </row>
    <row r="21" spans="1:19">
      <c r="A21" s="1">
        <v>0</v>
      </c>
      <c r="B21" s="1" t="s">
        <v>35</v>
      </c>
      <c r="C21" s="1">
        <v>0.52157575</v>
      </c>
      <c r="D21" s="1">
        <v>0.6439918</v>
      </c>
      <c r="E21" s="1">
        <v>0.43002289999999999</v>
      </c>
      <c r="F21" s="1">
        <v>0.74473730000000005</v>
      </c>
      <c r="G21" s="1">
        <v>0.17673886</v>
      </c>
      <c r="H21" s="1">
        <v>0.82326113999999995</v>
      </c>
      <c r="I21" s="1">
        <v>0.14856802</v>
      </c>
      <c r="J21" s="1">
        <v>0.85143199999999997</v>
      </c>
      <c r="K21" s="1">
        <v>0.12909799999999999</v>
      </c>
      <c r="L21" s="1">
        <v>0.34496622999999998</v>
      </c>
      <c r="M21" s="1">
        <v>0.35937068</v>
      </c>
      <c r="N21" s="1">
        <v>0.64062934999999999</v>
      </c>
      <c r="O21" s="1">
        <v>0.64915276</v>
      </c>
      <c r="P21" s="1">
        <v>0.35084720000000003</v>
      </c>
      <c r="Q21" s="4">
        <v>0</v>
      </c>
      <c r="R21" s="11">
        <v>0</v>
      </c>
      <c r="S21" s="6">
        <v>0</v>
      </c>
    </row>
    <row r="22" spans="1:19">
      <c r="A22" s="1">
        <v>0</v>
      </c>
      <c r="B22" s="1" t="s">
        <v>36</v>
      </c>
      <c r="C22" s="1">
        <v>0.78987609999999997</v>
      </c>
      <c r="D22" s="1">
        <v>4.1224065999999997E-2</v>
      </c>
      <c r="E22" s="1">
        <v>0.79066409999999998</v>
      </c>
      <c r="F22" s="1">
        <v>0.13928309</v>
      </c>
      <c r="G22" s="1">
        <v>0.9638196</v>
      </c>
      <c r="H22" s="1">
        <v>3.6180414000000001E-2</v>
      </c>
      <c r="I22" s="1">
        <v>0.94104739999999998</v>
      </c>
      <c r="J22" s="1">
        <v>5.8952606999999997E-2</v>
      </c>
      <c r="K22" s="1">
        <v>0.19735642</v>
      </c>
      <c r="L22" s="1">
        <v>0.14454955999999999</v>
      </c>
      <c r="M22" s="1">
        <v>0.63197979999999998</v>
      </c>
      <c r="N22" s="1">
        <v>0.36802024</v>
      </c>
      <c r="O22" s="1">
        <v>0.66604509999999995</v>
      </c>
      <c r="P22" s="1">
        <v>0.33395483999999998</v>
      </c>
      <c r="Q22" s="4">
        <v>0</v>
      </c>
      <c r="R22" s="11">
        <v>0</v>
      </c>
      <c r="S22" s="6">
        <v>0</v>
      </c>
    </row>
    <row r="23" spans="1:19">
      <c r="A23" s="1">
        <v>0</v>
      </c>
      <c r="B23" s="1" t="s">
        <v>37</v>
      </c>
      <c r="C23" s="1">
        <v>0.69184330000000005</v>
      </c>
      <c r="D23" s="1">
        <v>0.46117174999999999</v>
      </c>
      <c r="E23" s="1">
        <v>0.75928010000000001</v>
      </c>
      <c r="F23" s="1">
        <v>0.37275887000000002</v>
      </c>
      <c r="G23" s="1">
        <v>0.76573869999999999</v>
      </c>
      <c r="H23" s="1">
        <v>0.23426122999999999</v>
      </c>
      <c r="I23" s="1">
        <v>0.54349309999999995</v>
      </c>
      <c r="J23" s="1">
        <v>0.45650697000000001</v>
      </c>
      <c r="K23" s="1">
        <v>0.19537243000000001</v>
      </c>
      <c r="L23" s="1">
        <v>0.19014275</v>
      </c>
      <c r="M23" s="1">
        <v>0.45460662000000002</v>
      </c>
      <c r="N23" s="1">
        <v>0.54539335</v>
      </c>
      <c r="O23" s="1">
        <v>0.32942979999999999</v>
      </c>
      <c r="P23" s="1">
        <v>0.67057020000000001</v>
      </c>
      <c r="Q23" s="4">
        <v>0</v>
      </c>
      <c r="R23" s="11">
        <v>0</v>
      </c>
      <c r="S23" s="6">
        <v>0</v>
      </c>
    </row>
    <row r="24" spans="1:19">
      <c r="A24" s="1">
        <v>0</v>
      </c>
      <c r="B24" s="1" t="s">
        <v>38</v>
      </c>
      <c r="C24" s="1">
        <v>0.46645838000000001</v>
      </c>
      <c r="D24" s="1">
        <v>0.70513840000000005</v>
      </c>
      <c r="E24" s="1">
        <v>0.693191</v>
      </c>
      <c r="F24" s="1">
        <v>0.60547499999999999</v>
      </c>
      <c r="G24" s="1">
        <v>0.61315620000000004</v>
      </c>
      <c r="H24" s="1">
        <v>0.38684385999999998</v>
      </c>
      <c r="I24" s="1">
        <v>0.36107869999999997</v>
      </c>
      <c r="J24" s="1">
        <v>0.63892130000000003</v>
      </c>
      <c r="K24" s="1">
        <v>0.32271230000000001</v>
      </c>
      <c r="L24" s="1">
        <v>0.26611210000000002</v>
      </c>
      <c r="M24" s="1">
        <v>0.31159483999999998</v>
      </c>
      <c r="N24" s="1">
        <v>0.68840515999999996</v>
      </c>
      <c r="O24" s="1">
        <v>0.63202840000000005</v>
      </c>
      <c r="P24" s="1">
        <v>0.36797165999999998</v>
      </c>
      <c r="Q24" s="4">
        <v>0</v>
      </c>
      <c r="R24" s="11">
        <v>0</v>
      </c>
      <c r="S24" s="6">
        <v>0</v>
      </c>
    </row>
    <row r="25" spans="1:19">
      <c r="A25" s="1">
        <v>0</v>
      </c>
      <c r="B25" s="1" t="s">
        <v>39</v>
      </c>
      <c r="C25" s="1">
        <v>0.70000739999999995</v>
      </c>
      <c r="D25" s="1">
        <v>0.4439611</v>
      </c>
      <c r="E25" s="1">
        <v>0.78183020000000003</v>
      </c>
      <c r="F25" s="1">
        <v>0.12225402</v>
      </c>
      <c r="G25" s="1">
        <v>0.8648228</v>
      </c>
      <c r="H25" s="1">
        <v>0.13517718000000001</v>
      </c>
      <c r="I25" s="1">
        <v>0.67964089999999999</v>
      </c>
      <c r="J25" s="1">
        <v>0.32035913999999999</v>
      </c>
      <c r="K25" s="1">
        <v>0.264046</v>
      </c>
      <c r="L25" s="1">
        <v>4.2483409999999999E-2</v>
      </c>
      <c r="M25" s="1">
        <v>0.57431215000000002</v>
      </c>
      <c r="N25" s="1">
        <v>0.42568781999999999</v>
      </c>
      <c r="O25" s="1">
        <v>0.60590429999999995</v>
      </c>
      <c r="P25" s="1">
        <v>0.39409575000000002</v>
      </c>
      <c r="Q25" s="4">
        <v>0</v>
      </c>
      <c r="R25" s="11">
        <v>0</v>
      </c>
      <c r="S25" s="6">
        <v>0</v>
      </c>
    </row>
    <row r="26" spans="1:19">
      <c r="A26" s="7">
        <v>0</v>
      </c>
      <c r="B26" s="7" t="s">
        <v>40</v>
      </c>
      <c r="C26" s="7">
        <v>0.76738220000000001</v>
      </c>
      <c r="D26" s="7">
        <v>0.23086089000000001</v>
      </c>
      <c r="E26" s="7">
        <v>0.77780729999999998</v>
      </c>
      <c r="F26" s="7">
        <v>0.18406954</v>
      </c>
      <c r="G26" s="7">
        <v>0.97236763999999998</v>
      </c>
      <c r="H26" s="7">
        <v>2.7632380000000002E-2</v>
      </c>
      <c r="I26" s="7">
        <v>0.95907335999999999</v>
      </c>
      <c r="J26" s="7">
        <v>4.0926654E-2</v>
      </c>
      <c r="K26" s="7">
        <v>0.16777278000000001</v>
      </c>
      <c r="L26" s="7">
        <v>0.33952253999999998</v>
      </c>
      <c r="M26" s="7">
        <v>0.54319790000000001</v>
      </c>
      <c r="N26" s="7">
        <v>0.45680212999999997</v>
      </c>
      <c r="O26" s="7">
        <v>0.31779416999999999</v>
      </c>
      <c r="P26" s="7">
        <v>0.68220579999999997</v>
      </c>
      <c r="Q26" s="8">
        <v>1</v>
      </c>
      <c r="R26" s="9">
        <v>0</v>
      </c>
      <c r="S26" s="10">
        <v>0</v>
      </c>
    </row>
    <row r="27" spans="1:19">
      <c r="A27" s="1">
        <v>0</v>
      </c>
      <c r="B27" s="1" t="s">
        <v>41</v>
      </c>
      <c r="C27" s="1">
        <v>0.70444167000000002</v>
      </c>
      <c r="D27" s="1">
        <v>0.27472612000000002</v>
      </c>
      <c r="E27" s="1">
        <v>0.73624146000000001</v>
      </c>
      <c r="F27" s="1">
        <v>0.39967686000000002</v>
      </c>
      <c r="G27" s="1">
        <v>0.89612985000000001</v>
      </c>
      <c r="H27" s="1">
        <v>0.10387017599999999</v>
      </c>
      <c r="I27" s="1">
        <v>0.60413413999999999</v>
      </c>
      <c r="J27" s="1">
        <v>0.39586582999999997</v>
      </c>
      <c r="K27" s="1">
        <v>0.11920518400000001</v>
      </c>
      <c r="L27" s="1">
        <v>0.37604423999999997</v>
      </c>
      <c r="M27" s="1">
        <v>0.22308840999999999</v>
      </c>
      <c r="N27" s="1">
        <v>0.77691155999999995</v>
      </c>
      <c r="O27" s="1">
        <v>0.1146692</v>
      </c>
      <c r="P27" s="1">
        <v>0.88533074</v>
      </c>
      <c r="Q27" s="4">
        <v>0</v>
      </c>
      <c r="R27" s="6">
        <v>1</v>
      </c>
      <c r="S27" s="6">
        <v>1</v>
      </c>
    </row>
    <row r="28" spans="1:19">
      <c r="A28" s="1">
        <v>0</v>
      </c>
      <c r="B28" s="1" t="s">
        <v>42</v>
      </c>
      <c r="C28" s="1">
        <v>0.69670679999999996</v>
      </c>
      <c r="D28" s="1">
        <v>0.44106334000000003</v>
      </c>
      <c r="E28" s="1">
        <v>0.62867445</v>
      </c>
      <c r="F28" s="1">
        <v>0.66077684999999997</v>
      </c>
      <c r="G28" s="1">
        <v>0.58470940000000005</v>
      </c>
      <c r="H28" s="1">
        <v>0.41529055999999998</v>
      </c>
      <c r="I28" s="1">
        <v>0.73449326000000004</v>
      </c>
      <c r="J28" s="1">
        <v>0.26550667999999999</v>
      </c>
      <c r="K28" s="1">
        <v>0.10148284</v>
      </c>
      <c r="L28" s="1">
        <v>0.34644738000000003</v>
      </c>
      <c r="M28" s="1">
        <v>0.28959026999999998</v>
      </c>
      <c r="N28" s="1">
        <v>0.71040976</v>
      </c>
      <c r="O28" s="1">
        <v>0.56372359999999999</v>
      </c>
      <c r="P28" s="1">
        <v>0.43627640000000001</v>
      </c>
      <c r="Q28" s="4">
        <v>1</v>
      </c>
      <c r="R28" s="6">
        <v>1</v>
      </c>
      <c r="S28" s="6">
        <v>0</v>
      </c>
    </row>
    <row r="29" spans="1:19">
      <c r="A29" s="1">
        <v>0</v>
      </c>
      <c r="B29" s="1" t="s">
        <v>43</v>
      </c>
      <c r="C29" s="1">
        <v>0.72616667000000001</v>
      </c>
      <c r="D29" s="1">
        <v>0.27436769999999999</v>
      </c>
      <c r="E29" s="1">
        <v>0.67148699999999995</v>
      </c>
      <c r="F29" s="1">
        <v>0.45171951999999999</v>
      </c>
      <c r="G29" s="1">
        <v>0.80274075</v>
      </c>
      <c r="H29" s="1">
        <v>0.19725925999999999</v>
      </c>
      <c r="I29" s="1">
        <v>0.73062115999999999</v>
      </c>
      <c r="J29" s="1">
        <v>0.26937886999999999</v>
      </c>
      <c r="K29" s="1">
        <v>0.29535860000000003</v>
      </c>
      <c r="L29" s="1">
        <v>5.7651437999999999E-2</v>
      </c>
      <c r="M29" s="1">
        <v>0.68949760000000004</v>
      </c>
      <c r="N29" s="1">
        <v>0.31050246999999997</v>
      </c>
      <c r="O29" s="1">
        <v>0.77593140000000005</v>
      </c>
      <c r="P29" s="1">
        <v>0.22406855000000001</v>
      </c>
      <c r="Q29" s="4">
        <v>0</v>
      </c>
      <c r="R29" s="11">
        <v>0</v>
      </c>
      <c r="S29" s="6">
        <v>0</v>
      </c>
    </row>
    <row r="30" spans="1:19">
      <c r="A30" s="1">
        <v>0</v>
      </c>
      <c r="B30" s="1" t="s">
        <v>44</v>
      </c>
      <c r="C30" s="1">
        <v>0.67974679999999998</v>
      </c>
      <c r="D30" s="1">
        <v>0.48632962000000002</v>
      </c>
      <c r="E30" s="1">
        <v>0.63879450000000004</v>
      </c>
      <c r="F30" s="1">
        <v>0.59779789999999999</v>
      </c>
      <c r="G30" s="1">
        <v>0.40293705000000002</v>
      </c>
      <c r="H30" s="1">
        <v>0.59706294999999998</v>
      </c>
      <c r="I30" s="1">
        <v>0.41643061999999997</v>
      </c>
      <c r="J30" s="1">
        <v>0.58356940000000002</v>
      </c>
      <c r="K30" s="1">
        <v>0.49762343999999997</v>
      </c>
      <c r="L30" s="1">
        <v>2.4996849000000002E-2</v>
      </c>
      <c r="M30" s="1">
        <v>0.79188499999999995</v>
      </c>
      <c r="N30" s="1">
        <v>0.20811500999999999</v>
      </c>
      <c r="O30" s="1">
        <v>0.78632020000000002</v>
      </c>
      <c r="P30" s="1">
        <v>0.21367978000000001</v>
      </c>
      <c r="Q30" s="4">
        <v>0</v>
      </c>
      <c r="R30" s="11">
        <v>0</v>
      </c>
      <c r="S30" s="6">
        <v>0</v>
      </c>
    </row>
    <row r="31" spans="1:19">
      <c r="A31" s="1">
        <v>0</v>
      </c>
      <c r="B31" s="1" t="s">
        <v>45</v>
      </c>
      <c r="C31" s="1">
        <v>0.69448430000000005</v>
      </c>
      <c r="D31" s="1">
        <v>0.33445217999999999</v>
      </c>
      <c r="E31" s="1">
        <v>0.69621014999999997</v>
      </c>
      <c r="F31" s="1">
        <v>0.32843446999999998</v>
      </c>
      <c r="G31" s="1">
        <v>0.85841730000000005</v>
      </c>
      <c r="H31" s="1">
        <v>0.14158274000000001</v>
      </c>
      <c r="I31" s="1">
        <v>0.8109499</v>
      </c>
      <c r="J31" s="1">
        <v>0.18905005999999999</v>
      </c>
      <c r="K31" s="1">
        <v>0.18443403</v>
      </c>
      <c r="L31" s="1">
        <v>0.2378596</v>
      </c>
      <c r="M31" s="1">
        <v>0.60869896000000001</v>
      </c>
      <c r="N31" s="1">
        <v>0.39130110000000001</v>
      </c>
      <c r="O31" s="1">
        <v>0.57676965000000002</v>
      </c>
      <c r="P31" s="1">
        <v>0.42323034999999998</v>
      </c>
      <c r="Q31" s="4">
        <v>1</v>
      </c>
      <c r="R31" s="11">
        <v>0</v>
      </c>
      <c r="S31" s="6">
        <v>0</v>
      </c>
    </row>
    <row r="32" spans="1:19">
      <c r="A32" s="1">
        <v>0</v>
      </c>
      <c r="B32" s="1" t="s">
        <v>46</v>
      </c>
      <c r="C32" s="1">
        <v>0.81515384000000002</v>
      </c>
      <c r="D32" s="1">
        <v>2.1627527000000001E-2</v>
      </c>
      <c r="E32" s="1">
        <v>0.78371363999999999</v>
      </c>
      <c r="F32" s="1">
        <v>7.9175830000000003E-2</v>
      </c>
      <c r="G32" s="1">
        <v>0.98194870000000001</v>
      </c>
      <c r="H32" s="1">
        <v>1.8051269000000002E-2</v>
      </c>
      <c r="I32" s="1">
        <v>0.93635665999999995</v>
      </c>
      <c r="J32" s="1">
        <v>6.3643320000000003E-2</v>
      </c>
      <c r="K32" s="1">
        <v>0.11563412000000001</v>
      </c>
      <c r="L32" s="1">
        <v>9.6082255000000005E-2</v>
      </c>
      <c r="M32" s="1">
        <v>0.76239449999999997</v>
      </c>
      <c r="N32" s="1">
        <v>0.23760555999999999</v>
      </c>
      <c r="O32" s="1">
        <v>0.96013510000000002</v>
      </c>
      <c r="P32" s="1">
        <v>3.9864924000000003E-2</v>
      </c>
      <c r="Q32" s="4">
        <v>0</v>
      </c>
      <c r="R32" s="11">
        <v>0</v>
      </c>
      <c r="S32" s="6">
        <v>0</v>
      </c>
    </row>
    <row r="33" spans="1:19">
      <c r="A33" s="1">
        <v>0</v>
      </c>
      <c r="B33" s="1" t="s">
        <v>47</v>
      </c>
      <c r="C33" s="1">
        <v>0.77296869999999995</v>
      </c>
      <c r="D33" s="1">
        <v>5.4592660000000001E-2</v>
      </c>
      <c r="E33" s="1">
        <v>0.71914089999999997</v>
      </c>
      <c r="F33" s="1">
        <v>0.20033719</v>
      </c>
      <c r="G33" s="1">
        <v>0.91243154000000004</v>
      </c>
      <c r="H33" s="1">
        <v>8.7568469999999995E-2</v>
      </c>
      <c r="I33" s="1">
        <v>0.95338429999999996</v>
      </c>
      <c r="J33" s="1">
        <v>4.6615669999999998E-2</v>
      </c>
      <c r="K33" s="1">
        <v>0.31921396000000002</v>
      </c>
      <c r="L33" s="1">
        <v>0.12314474</v>
      </c>
      <c r="M33" s="1">
        <v>0.69153019999999998</v>
      </c>
      <c r="N33" s="1">
        <v>0.30846976999999998</v>
      </c>
      <c r="O33" s="1">
        <v>0.87667799999999996</v>
      </c>
      <c r="P33" s="1">
        <v>0.12332199000000001</v>
      </c>
      <c r="Q33" s="4">
        <v>0</v>
      </c>
      <c r="R33" s="11">
        <v>0</v>
      </c>
      <c r="S33" s="6">
        <v>0</v>
      </c>
    </row>
    <row r="34" spans="1:19">
      <c r="A34" s="1">
        <v>0</v>
      </c>
      <c r="B34" s="1" t="s">
        <v>48</v>
      </c>
      <c r="C34" s="1">
        <v>0.77718633000000004</v>
      </c>
      <c r="D34" s="1">
        <v>0.22280607999999999</v>
      </c>
      <c r="E34" s="1">
        <v>0.73206329999999997</v>
      </c>
      <c r="F34" s="1">
        <v>0.48589164000000001</v>
      </c>
      <c r="G34" s="1">
        <v>0.93408769999999997</v>
      </c>
      <c r="H34" s="1">
        <v>6.5912336000000002E-2</v>
      </c>
      <c r="I34" s="1">
        <v>0.79829070000000002</v>
      </c>
      <c r="J34" s="1">
        <v>0.20170927</v>
      </c>
      <c r="K34" s="1">
        <v>0.34091169999999998</v>
      </c>
      <c r="L34" s="1">
        <v>0.14183472</v>
      </c>
      <c r="M34" s="1">
        <v>0.61751884000000001</v>
      </c>
      <c r="N34" s="1">
        <v>0.38248113</v>
      </c>
      <c r="O34" s="1">
        <v>0.4129873</v>
      </c>
      <c r="P34" s="1">
        <v>0.58701270000000005</v>
      </c>
      <c r="Q34" s="4">
        <v>1</v>
      </c>
      <c r="R34" s="11">
        <v>0</v>
      </c>
      <c r="S34" s="6">
        <v>0</v>
      </c>
    </row>
    <row r="35" spans="1:19">
      <c r="A35" s="1">
        <v>0</v>
      </c>
      <c r="B35" s="1" t="s">
        <v>49</v>
      </c>
      <c r="C35" s="1">
        <v>0.25825485999999997</v>
      </c>
      <c r="D35" s="1">
        <v>0.73650389999999999</v>
      </c>
      <c r="E35" s="1">
        <v>0.58087844</v>
      </c>
      <c r="F35" s="1">
        <v>0.64132385999999997</v>
      </c>
      <c r="G35" s="1">
        <v>0.12888694000000001</v>
      </c>
      <c r="H35" s="1">
        <v>0.87111305999999999</v>
      </c>
      <c r="I35" s="1">
        <v>4.7345478000000003E-2</v>
      </c>
      <c r="J35" s="1">
        <v>0.95265454000000005</v>
      </c>
      <c r="K35" s="1">
        <v>5.7627957E-2</v>
      </c>
      <c r="L35" s="1">
        <v>0.48218460000000002</v>
      </c>
      <c r="M35" s="1">
        <v>4.9691423999999998E-2</v>
      </c>
      <c r="N35" s="1">
        <v>0.95030859999999995</v>
      </c>
      <c r="O35" s="1">
        <v>6.8159410000000004E-2</v>
      </c>
      <c r="P35" s="1">
        <v>0.93184060000000002</v>
      </c>
      <c r="Q35" s="4">
        <v>0</v>
      </c>
      <c r="R35" s="11">
        <v>0</v>
      </c>
      <c r="S35" s="6">
        <v>0</v>
      </c>
    </row>
    <row r="36" spans="1:19">
      <c r="A36" s="1">
        <v>0</v>
      </c>
      <c r="B36" s="1" t="s">
        <v>50</v>
      </c>
      <c r="C36" s="1">
        <v>0.80234910000000004</v>
      </c>
      <c r="D36" s="1">
        <v>6.4659060000000004E-2</v>
      </c>
      <c r="E36" s="1">
        <v>0.65533273999999997</v>
      </c>
      <c r="F36" s="1">
        <v>0.5887983</v>
      </c>
      <c r="G36" s="1">
        <v>0.68330013999999994</v>
      </c>
      <c r="H36" s="1">
        <v>0.31669983000000002</v>
      </c>
      <c r="I36" s="1">
        <v>0.79650019999999999</v>
      </c>
      <c r="J36" s="1">
        <v>0.20349980000000001</v>
      </c>
      <c r="K36" s="1">
        <v>0.28890490000000002</v>
      </c>
      <c r="L36" s="1">
        <v>5.2995044999999998E-2</v>
      </c>
      <c r="M36" s="1">
        <v>0.77868753999999996</v>
      </c>
      <c r="N36" s="1">
        <v>0.22131239</v>
      </c>
      <c r="O36" s="1">
        <v>0.95793130000000004</v>
      </c>
      <c r="P36" s="1">
        <v>4.2068756999999998E-2</v>
      </c>
      <c r="Q36" s="4">
        <v>0</v>
      </c>
      <c r="R36" s="11">
        <v>0</v>
      </c>
      <c r="S36" s="6">
        <v>0</v>
      </c>
    </row>
    <row r="37" spans="1:19">
      <c r="A37" s="1">
        <v>0</v>
      </c>
      <c r="B37" s="1" t="s">
        <v>51</v>
      </c>
      <c r="C37" s="1">
        <v>0.78646859999999996</v>
      </c>
      <c r="D37" s="1">
        <v>0.12992181999999999</v>
      </c>
      <c r="E37" s="1">
        <v>0.73310339999999996</v>
      </c>
      <c r="F37" s="1">
        <v>0.33284363</v>
      </c>
      <c r="G37" s="1">
        <v>0.86142373000000005</v>
      </c>
      <c r="H37" s="1">
        <v>0.13857633</v>
      </c>
      <c r="I37" s="1">
        <v>0.41402450000000002</v>
      </c>
      <c r="J37" s="1">
        <v>0.58597549999999998</v>
      </c>
      <c r="K37" s="1">
        <v>0.29819574999999998</v>
      </c>
      <c r="L37" s="1">
        <v>0.17004693000000001</v>
      </c>
      <c r="M37" s="1">
        <v>0.35182479999999999</v>
      </c>
      <c r="N37" s="1">
        <v>0.64817519999999995</v>
      </c>
      <c r="O37" s="1">
        <v>0.46333953999999999</v>
      </c>
      <c r="P37" s="1">
        <v>0.53666042999999997</v>
      </c>
      <c r="Q37" s="4">
        <v>0</v>
      </c>
      <c r="R37" s="11">
        <v>0</v>
      </c>
      <c r="S37" s="6">
        <v>0</v>
      </c>
    </row>
    <row r="38" spans="1:19">
      <c r="A38" s="1">
        <v>0</v>
      </c>
      <c r="B38" s="1" t="s">
        <v>52</v>
      </c>
      <c r="C38" s="1">
        <v>0.8186177</v>
      </c>
      <c r="D38" s="1">
        <v>1.9178707E-2</v>
      </c>
      <c r="E38" s="1">
        <v>0.79401250000000001</v>
      </c>
      <c r="F38" s="1">
        <v>8.9354320000000001E-2</v>
      </c>
      <c r="G38" s="1">
        <v>0.98093680000000005</v>
      </c>
      <c r="H38" s="1">
        <v>1.9063205999999999E-2</v>
      </c>
      <c r="I38" s="1">
        <v>0.94196519999999995</v>
      </c>
      <c r="J38" s="1">
        <v>5.8034766000000002E-2</v>
      </c>
      <c r="K38" s="1">
        <v>0.37754747</v>
      </c>
      <c r="L38" s="1">
        <v>0.10603612</v>
      </c>
      <c r="M38" s="1">
        <v>0.74593399999999999</v>
      </c>
      <c r="N38" s="1">
        <v>0.25406595999999998</v>
      </c>
      <c r="O38" s="1">
        <v>0.80716650000000001</v>
      </c>
      <c r="P38" s="1">
        <v>0.19283344999999999</v>
      </c>
      <c r="Q38" s="4">
        <v>0</v>
      </c>
      <c r="R38" s="11">
        <v>0</v>
      </c>
      <c r="S38" s="6">
        <v>0</v>
      </c>
    </row>
    <row r="39" spans="1:19">
      <c r="A39" s="1">
        <v>0</v>
      </c>
      <c r="B39" s="1" t="s">
        <v>53</v>
      </c>
      <c r="C39" s="1">
        <v>0.78660649999999999</v>
      </c>
      <c r="D39" s="1">
        <v>0.12256103</v>
      </c>
      <c r="E39" s="1">
        <v>0.78801209999999999</v>
      </c>
      <c r="F39" s="1">
        <v>7.8021989999999999E-2</v>
      </c>
      <c r="G39" s="1">
        <v>0.97531800000000002</v>
      </c>
      <c r="H39" s="1">
        <v>2.4682017000000001E-2</v>
      </c>
      <c r="I39" s="1">
        <v>0.89931035000000004</v>
      </c>
      <c r="J39" s="1">
        <v>0.10068964</v>
      </c>
      <c r="K39" s="1">
        <v>0.15857940000000001</v>
      </c>
      <c r="L39" s="1">
        <v>0.17919948999999999</v>
      </c>
      <c r="M39" s="1">
        <v>0.62665340000000003</v>
      </c>
      <c r="N39" s="1">
        <v>0.37334663000000001</v>
      </c>
      <c r="O39" s="1">
        <v>0.67815449999999999</v>
      </c>
      <c r="P39" s="1">
        <v>0.32184547000000002</v>
      </c>
      <c r="Q39" s="4">
        <v>0</v>
      </c>
      <c r="R39" s="11">
        <v>0</v>
      </c>
      <c r="S39" s="6">
        <v>0</v>
      </c>
    </row>
    <row r="40" spans="1:19">
      <c r="A40" s="1">
        <v>0</v>
      </c>
      <c r="B40" s="1" t="s">
        <v>54</v>
      </c>
      <c r="C40" s="1">
        <v>0.76465815000000004</v>
      </c>
      <c r="D40" s="1">
        <v>0.26188982</v>
      </c>
      <c r="E40" s="1">
        <v>0.76413476000000002</v>
      </c>
      <c r="F40" s="1">
        <v>0.36291233000000001</v>
      </c>
      <c r="G40" s="1">
        <v>0.87775546000000004</v>
      </c>
      <c r="H40" s="1">
        <v>0.12224458000000001</v>
      </c>
      <c r="I40" s="1">
        <v>0.72829509999999997</v>
      </c>
      <c r="J40" s="1">
        <v>0.27170485</v>
      </c>
      <c r="K40" s="1">
        <v>0.24265322</v>
      </c>
      <c r="L40" s="1">
        <v>3.2668132E-3</v>
      </c>
      <c r="M40" s="1">
        <v>0.84216199999999997</v>
      </c>
      <c r="N40" s="1">
        <v>0.15783800000000001</v>
      </c>
      <c r="O40" s="1">
        <v>0.83081870000000002</v>
      </c>
      <c r="P40" s="1">
        <v>0.16918130000000001</v>
      </c>
      <c r="Q40" s="4">
        <v>0</v>
      </c>
      <c r="R40" s="11">
        <v>0</v>
      </c>
      <c r="S40" s="6">
        <v>0</v>
      </c>
    </row>
    <row r="41" spans="1:19">
      <c r="A41" s="1">
        <v>0</v>
      </c>
      <c r="B41" s="1" t="s">
        <v>55</v>
      </c>
      <c r="C41" s="1">
        <v>0.63826232999999999</v>
      </c>
      <c r="D41" s="1">
        <v>0.59897727000000001</v>
      </c>
      <c r="E41" s="1">
        <v>0.74939876999999999</v>
      </c>
      <c r="F41" s="1">
        <v>0.43669614000000001</v>
      </c>
      <c r="G41" s="1">
        <v>0.68764389999999997</v>
      </c>
      <c r="H41" s="1">
        <v>0.31235614</v>
      </c>
      <c r="I41" s="1">
        <v>0.121374674</v>
      </c>
      <c r="J41" s="1">
        <v>0.87862530000000005</v>
      </c>
      <c r="K41" s="1">
        <v>0.16900288999999999</v>
      </c>
      <c r="L41" s="1">
        <v>0.32860847999999998</v>
      </c>
      <c r="M41" s="1">
        <v>0.23222733000000001</v>
      </c>
      <c r="N41" s="1">
        <v>0.76777269999999997</v>
      </c>
      <c r="O41" s="1">
        <v>0.57032466000000004</v>
      </c>
      <c r="P41" s="1">
        <v>0.42967529999999998</v>
      </c>
      <c r="Q41" s="4">
        <v>0</v>
      </c>
      <c r="R41" s="11">
        <v>0</v>
      </c>
      <c r="S41" s="6">
        <v>1</v>
      </c>
    </row>
    <row r="42" spans="1:19">
      <c r="A42" s="1">
        <v>0</v>
      </c>
      <c r="B42" s="1" t="s">
        <v>56</v>
      </c>
      <c r="C42" s="1">
        <v>0.70402450000000005</v>
      </c>
      <c r="D42" s="1">
        <v>0.42578515</v>
      </c>
      <c r="E42" s="1">
        <v>0.72259669999999998</v>
      </c>
      <c r="F42" s="1">
        <v>0.44561457999999998</v>
      </c>
      <c r="G42" s="1">
        <v>0.75762384999999999</v>
      </c>
      <c r="H42" s="1">
        <v>0.24237613</v>
      </c>
      <c r="I42" s="1">
        <v>0.81119969999999997</v>
      </c>
      <c r="J42" s="1">
        <v>0.18880031999999999</v>
      </c>
      <c r="K42" s="1">
        <v>0.24392553</v>
      </c>
      <c r="L42" s="1">
        <v>0.13206283999999999</v>
      </c>
      <c r="M42" s="1">
        <v>0.74432737000000004</v>
      </c>
      <c r="N42" s="1">
        <v>0.25567266</v>
      </c>
      <c r="O42" s="1">
        <v>0.89729804000000002</v>
      </c>
      <c r="P42" s="1">
        <v>0.10270197</v>
      </c>
      <c r="Q42" s="4">
        <v>0</v>
      </c>
      <c r="R42" s="11">
        <v>0</v>
      </c>
      <c r="S42" s="6">
        <v>0</v>
      </c>
    </row>
    <row r="43" spans="1:19">
      <c r="A43" s="1">
        <v>0</v>
      </c>
      <c r="B43" s="1" t="s">
        <v>57</v>
      </c>
      <c r="C43" s="1">
        <v>0.43430832000000003</v>
      </c>
      <c r="D43" s="1">
        <v>0.68863149999999995</v>
      </c>
      <c r="E43" s="1">
        <v>0.47954799999999997</v>
      </c>
      <c r="F43" s="1">
        <v>0.67305910000000002</v>
      </c>
      <c r="G43" s="1">
        <v>9.9624500000000005E-2</v>
      </c>
      <c r="H43" s="1">
        <v>0.90037555000000002</v>
      </c>
      <c r="I43" s="1">
        <v>3.2763686E-2</v>
      </c>
      <c r="J43" s="1">
        <v>0.96723630000000005</v>
      </c>
      <c r="K43" s="1">
        <v>0.11853494000000001</v>
      </c>
      <c r="L43" s="1">
        <v>0.26616087999999999</v>
      </c>
      <c r="M43" s="1">
        <v>0.27960204999999999</v>
      </c>
      <c r="N43" s="1">
        <v>0.72039790000000004</v>
      </c>
      <c r="O43" s="1">
        <v>0.25567742999999998</v>
      </c>
      <c r="P43" s="1">
        <v>0.74432259999999995</v>
      </c>
      <c r="Q43" s="4">
        <v>0</v>
      </c>
      <c r="R43" s="11">
        <v>0</v>
      </c>
      <c r="S43" s="6">
        <v>0</v>
      </c>
    </row>
    <row r="44" spans="1:19">
      <c r="A44" s="1">
        <v>0</v>
      </c>
      <c r="B44" s="1" t="s">
        <v>58</v>
      </c>
      <c r="C44" s="1">
        <v>0.8096527</v>
      </c>
      <c r="D44" s="1">
        <v>1.8734831E-2</v>
      </c>
      <c r="E44" s="1">
        <v>0.80174769999999995</v>
      </c>
      <c r="F44" s="1">
        <v>4.4690977999999999E-2</v>
      </c>
      <c r="G44" s="1">
        <v>0.97840923000000002</v>
      </c>
      <c r="H44" s="1">
        <v>2.1590740000000001E-2</v>
      </c>
      <c r="I44" s="1">
        <v>0.9866066</v>
      </c>
      <c r="J44" s="1">
        <v>1.3393403E-2</v>
      </c>
      <c r="K44" s="1">
        <v>0.41866088000000001</v>
      </c>
      <c r="L44" s="1">
        <v>1.7914189000000001E-2</v>
      </c>
      <c r="M44" s="1">
        <v>0.87209190000000003</v>
      </c>
      <c r="N44" s="1">
        <v>0.12790815999999999</v>
      </c>
      <c r="O44" s="1">
        <v>0.80588263000000004</v>
      </c>
      <c r="P44" s="1">
        <v>0.19411737000000001</v>
      </c>
      <c r="Q44" s="4">
        <v>0</v>
      </c>
      <c r="R44" s="11">
        <v>0</v>
      </c>
      <c r="S44" s="6">
        <v>0</v>
      </c>
    </row>
    <row r="45" spans="1:19">
      <c r="A45" s="1">
        <v>0</v>
      </c>
      <c r="B45" s="1" t="s">
        <v>59</v>
      </c>
      <c r="C45" s="1">
        <v>0.76031820000000006</v>
      </c>
      <c r="D45" s="1">
        <v>0.29831043000000002</v>
      </c>
      <c r="E45" s="1">
        <v>0.76921919999999999</v>
      </c>
      <c r="F45" s="1">
        <v>0.31510472</v>
      </c>
      <c r="G45" s="1">
        <v>0.76134449999999998</v>
      </c>
      <c r="H45" s="1">
        <v>0.23865550999999999</v>
      </c>
      <c r="I45" s="1">
        <v>0.54851985000000003</v>
      </c>
      <c r="J45" s="1">
        <v>0.45148015000000002</v>
      </c>
      <c r="K45" s="1">
        <v>0.26751173</v>
      </c>
      <c r="L45" s="1">
        <v>7.9346680000000003E-2</v>
      </c>
      <c r="M45" s="1">
        <v>0.36734285999999999</v>
      </c>
      <c r="N45" s="1">
        <v>0.63265709999999997</v>
      </c>
      <c r="O45" s="1">
        <v>0.5877694</v>
      </c>
      <c r="P45" s="1">
        <v>0.41223063999999998</v>
      </c>
      <c r="Q45" s="4">
        <v>0</v>
      </c>
      <c r="R45" s="11">
        <v>0</v>
      </c>
      <c r="S45" s="6">
        <v>0</v>
      </c>
    </row>
    <row r="46" spans="1:19">
      <c r="A46" s="1">
        <v>0</v>
      </c>
      <c r="B46" s="1" t="s">
        <v>60</v>
      </c>
      <c r="C46" s="1">
        <v>0.80786360000000002</v>
      </c>
      <c r="D46" s="1">
        <v>8.0240320000000004E-3</v>
      </c>
      <c r="E46" s="1">
        <v>0.72395354999999995</v>
      </c>
      <c r="F46" s="1">
        <v>0.31218364999999998</v>
      </c>
      <c r="G46" s="1">
        <v>0.89547860000000001</v>
      </c>
      <c r="H46" s="1">
        <v>0.10452135999999999</v>
      </c>
      <c r="I46" s="1">
        <v>0.92539614000000003</v>
      </c>
      <c r="J46" s="1">
        <v>7.4603825999999998E-2</v>
      </c>
      <c r="K46" s="1">
        <v>0.27487335000000002</v>
      </c>
      <c r="L46" s="1">
        <v>0.25593589999999999</v>
      </c>
      <c r="M46" s="1">
        <v>0.72364439999999997</v>
      </c>
      <c r="N46" s="1">
        <v>0.27635562000000002</v>
      </c>
      <c r="O46" s="1">
        <v>0.81805510000000004</v>
      </c>
      <c r="P46" s="1">
        <v>0.18194489999999999</v>
      </c>
      <c r="Q46" s="4">
        <v>0</v>
      </c>
      <c r="R46" s="11">
        <v>0</v>
      </c>
      <c r="S46" s="6">
        <v>0</v>
      </c>
    </row>
    <row r="47" spans="1:19">
      <c r="A47" s="1">
        <v>0</v>
      </c>
      <c r="B47" s="1" t="s">
        <v>61</v>
      </c>
      <c r="C47" s="1">
        <v>0.75204289999999996</v>
      </c>
      <c r="D47" s="1">
        <v>0.30849406000000001</v>
      </c>
      <c r="E47" s="1">
        <v>0.75781929999999997</v>
      </c>
      <c r="F47" s="1">
        <v>0.31245645999999999</v>
      </c>
      <c r="G47" s="1">
        <v>0.92381084000000002</v>
      </c>
      <c r="H47" s="1">
        <v>7.6189145E-2</v>
      </c>
      <c r="I47" s="1">
        <v>0.3188935</v>
      </c>
      <c r="J47" s="1">
        <v>0.68110649999999995</v>
      </c>
      <c r="K47" s="1">
        <v>0.18396804</v>
      </c>
      <c r="L47" s="1">
        <v>0.14723233999999999</v>
      </c>
      <c r="M47" s="1">
        <v>0.31370039999999999</v>
      </c>
      <c r="N47" s="1">
        <v>0.68629960000000001</v>
      </c>
      <c r="O47" s="1">
        <v>0.70786559999999998</v>
      </c>
      <c r="P47" s="1">
        <v>0.29213433999999999</v>
      </c>
      <c r="Q47" s="4">
        <v>0</v>
      </c>
      <c r="R47" s="11">
        <v>0</v>
      </c>
      <c r="S47" s="6">
        <v>0</v>
      </c>
    </row>
    <row r="48" spans="1:19">
      <c r="A48" s="1">
        <v>0</v>
      </c>
      <c r="B48" s="1" t="s">
        <v>62</v>
      </c>
      <c r="C48" s="1">
        <v>0.78118829999999995</v>
      </c>
      <c r="D48" s="1">
        <v>0.1108666</v>
      </c>
      <c r="E48" s="1">
        <v>0.79150940000000003</v>
      </c>
      <c r="F48" s="1">
        <v>0.22056907000000001</v>
      </c>
      <c r="G48" s="1">
        <v>0.96691126000000005</v>
      </c>
      <c r="H48" s="1">
        <v>3.3088699999999999E-2</v>
      </c>
      <c r="I48" s="1">
        <v>0.78378736999999998</v>
      </c>
      <c r="J48" s="1">
        <v>0.21621261999999999</v>
      </c>
      <c r="K48" s="1">
        <v>0.32625957999999999</v>
      </c>
      <c r="L48" s="1">
        <v>0.23747494999999999</v>
      </c>
      <c r="M48" s="1">
        <v>0.47676550000000001</v>
      </c>
      <c r="N48" s="1">
        <v>0.52323450000000005</v>
      </c>
      <c r="O48" s="1">
        <v>0.63584280000000004</v>
      </c>
      <c r="P48" s="1">
        <v>0.36415716999999997</v>
      </c>
      <c r="Q48" s="4">
        <v>0</v>
      </c>
      <c r="R48" s="11">
        <v>0</v>
      </c>
      <c r="S48" s="6">
        <v>0</v>
      </c>
    </row>
    <row r="49" spans="1:19">
      <c r="A49" s="1">
        <v>0</v>
      </c>
      <c r="B49" s="1" t="s">
        <v>63</v>
      </c>
      <c r="C49" s="1">
        <v>0.8109362</v>
      </c>
      <c r="D49" s="1">
        <v>1.1014405E-2</v>
      </c>
      <c r="E49" s="1">
        <v>0.791875</v>
      </c>
      <c r="F49" s="1">
        <v>0.16358069</v>
      </c>
      <c r="G49" s="1">
        <v>0.97198019999999996</v>
      </c>
      <c r="H49" s="1">
        <v>2.8019763999999999E-2</v>
      </c>
      <c r="I49" s="1">
        <v>0.96946149999999998</v>
      </c>
      <c r="J49" s="1">
        <v>3.0538497000000001E-2</v>
      </c>
      <c r="K49" s="1">
        <v>0.41871417</v>
      </c>
      <c r="L49" s="1">
        <v>6.1972085000000003E-2</v>
      </c>
      <c r="M49" s="1">
        <v>0.68623610000000002</v>
      </c>
      <c r="N49" s="1">
        <v>0.31376395000000001</v>
      </c>
      <c r="O49" s="1">
        <v>0.87419194</v>
      </c>
      <c r="P49" s="1">
        <v>0.12580802999999999</v>
      </c>
      <c r="Q49" s="4">
        <v>0</v>
      </c>
      <c r="R49" s="11">
        <v>0</v>
      </c>
      <c r="S49" s="6">
        <v>0</v>
      </c>
    </row>
    <row r="50" spans="1:19">
      <c r="A50" s="1">
        <v>0</v>
      </c>
      <c r="B50" s="1" t="s">
        <v>64</v>
      </c>
      <c r="C50" s="1">
        <v>0.74666624999999998</v>
      </c>
      <c r="D50" s="1">
        <v>0.21649756000000001</v>
      </c>
      <c r="E50" s="1">
        <v>0.74754845999999997</v>
      </c>
      <c r="F50" s="1">
        <v>0.36983660000000002</v>
      </c>
      <c r="G50" s="1">
        <v>0.89572436</v>
      </c>
      <c r="H50" s="1">
        <v>0.10427566000000001</v>
      </c>
      <c r="I50" s="1">
        <v>0.57055239999999996</v>
      </c>
      <c r="J50" s="1">
        <v>0.42944765000000001</v>
      </c>
      <c r="K50" s="1">
        <v>9.9131994000000001E-2</v>
      </c>
      <c r="L50" s="1">
        <v>0.19522576</v>
      </c>
      <c r="M50" s="1">
        <v>0.58708139999999998</v>
      </c>
      <c r="N50" s="1">
        <v>0.41291863000000001</v>
      </c>
      <c r="O50" s="1">
        <v>0.57601009999999997</v>
      </c>
      <c r="P50" s="1">
        <v>0.42398986</v>
      </c>
      <c r="Q50" s="4">
        <v>0</v>
      </c>
      <c r="R50" s="11">
        <v>0</v>
      </c>
      <c r="S50" s="6">
        <v>0</v>
      </c>
    </row>
    <row r="51" spans="1:19">
      <c r="A51" s="1">
        <v>0</v>
      </c>
      <c r="B51" s="1" t="s">
        <v>65</v>
      </c>
      <c r="C51" s="1">
        <v>0.82461479999999998</v>
      </c>
      <c r="D51" s="1">
        <v>6.3468550000000002E-3</v>
      </c>
      <c r="E51" s="1">
        <v>0.79907289999999997</v>
      </c>
      <c r="F51" s="1">
        <v>0.10240871</v>
      </c>
      <c r="G51" s="1">
        <v>0.98586905000000002</v>
      </c>
      <c r="H51" s="1">
        <v>1.4130927E-2</v>
      </c>
      <c r="I51" s="1">
        <v>0.96150069999999999</v>
      </c>
      <c r="J51" s="1">
        <v>3.8499343999999998E-2</v>
      </c>
      <c r="K51" s="1">
        <v>0.30803216</v>
      </c>
      <c r="L51" s="1">
        <v>0.23136470000000001</v>
      </c>
      <c r="M51" s="1">
        <v>0.54240710000000003</v>
      </c>
      <c r="N51" s="1">
        <v>0.45759293000000001</v>
      </c>
      <c r="O51" s="1">
        <v>0.68099034000000003</v>
      </c>
      <c r="P51" s="1">
        <v>0.31900965999999997</v>
      </c>
      <c r="Q51" s="4">
        <v>0</v>
      </c>
      <c r="R51" s="11">
        <v>0</v>
      </c>
      <c r="S51" s="6">
        <v>0</v>
      </c>
    </row>
    <row r="52" spans="1:19">
      <c r="A52" s="7">
        <v>1</v>
      </c>
      <c r="B52" s="7" t="s">
        <v>66</v>
      </c>
      <c r="C52" s="7">
        <v>0.18897083000000001</v>
      </c>
      <c r="D52" s="7">
        <v>0.82090735000000004</v>
      </c>
      <c r="E52" s="7">
        <v>7.8382649999999998E-2</v>
      </c>
      <c r="F52" s="7">
        <v>0.78033799999999998</v>
      </c>
      <c r="G52" s="7">
        <v>1.0104919E-2</v>
      </c>
      <c r="H52" s="7">
        <v>0.98989505</v>
      </c>
      <c r="I52" s="12">
        <v>9.5326424000000002E-5</v>
      </c>
      <c r="J52" s="7">
        <v>0.99990462999999996</v>
      </c>
      <c r="K52" s="7">
        <v>0.13336666999999999</v>
      </c>
      <c r="L52" s="7">
        <v>0.15163428000000001</v>
      </c>
      <c r="M52" s="7">
        <v>4.7593478000000002E-2</v>
      </c>
      <c r="N52" s="7">
        <v>0.95240650000000004</v>
      </c>
      <c r="O52" s="7">
        <v>0.10235039</v>
      </c>
      <c r="P52" s="7">
        <v>0.89764960000000005</v>
      </c>
      <c r="Q52" s="8">
        <v>1</v>
      </c>
      <c r="R52" s="10">
        <v>1</v>
      </c>
      <c r="S52" s="10">
        <v>1</v>
      </c>
    </row>
    <row r="53" spans="1:19">
      <c r="A53" s="1">
        <v>1</v>
      </c>
      <c r="B53" s="1" t="s">
        <v>67</v>
      </c>
      <c r="C53" s="1">
        <v>0.36842063000000003</v>
      </c>
      <c r="D53" s="1">
        <v>0.66697483999999996</v>
      </c>
      <c r="E53" s="1">
        <v>0.67098164999999999</v>
      </c>
      <c r="F53" s="1">
        <v>0.47930790000000001</v>
      </c>
      <c r="G53" s="1">
        <v>0.74930059999999998</v>
      </c>
      <c r="H53" s="1">
        <v>0.25069945999999999</v>
      </c>
      <c r="I53" s="1">
        <v>0.19295118999999999</v>
      </c>
      <c r="J53" s="1">
        <v>0.80704880000000001</v>
      </c>
      <c r="K53" s="1">
        <v>5.3948179999999998E-2</v>
      </c>
      <c r="L53" s="1">
        <v>0.39391088000000002</v>
      </c>
      <c r="M53" s="1">
        <v>6.8801570000000006E-2</v>
      </c>
      <c r="N53" s="1">
        <v>0.93119839999999998</v>
      </c>
      <c r="O53" s="1">
        <v>4.4958475999999997E-2</v>
      </c>
      <c r="P53" s="1">
        <v>0.95504149999999999</v>
      </c>
      <c r="Q53" s="4">
        <v>1</v>
      </c>
      <c r="R53" s="6">
        <v>1</v>
      </c>
      <c r="S53" s="6">
        <v>1</v>
      </c>
    </row>
    <row r="54" spans="1:19">
      <c r="A54" s="7">
        <v>1</v>
      </c>
      <c r="B54" s="7" t="s">
        <v>68</v>
      </c>
      <c r="C54" s="7">
        <v>0.67458147000000002</v>
      </c>
      <c r="D54" s="7">
        <v>0.51876849999999997</v>
      </c>
      <c r="E54" s="7">
        <v>0.47852837999999998</v>
      </c>
      <c r="F54" s="7">
        <v>0.73060840000000005</v>
      </c>
      <c r="G54" s="7">
        <v>0.81574106000000002</v>
      </c>
      <c r="H54" s="7">
        <v>0.18425897999999999</v>
      </c>
      <c r="I54" s="7">
        <v>0.35635351999999998</v>
      </c>
      <c r="J54" s="7">
        <v>0.64364639999999995</v>
      </c>
      <c r="K54" s="7">
        <v>0.19971428999999999</v>
      </c>
      <c r="L54" s="7">
        <v>0.37859147999999998</v>
      </c>
      <c r="M54" s="7">
        <v>0.34735992999999998</v>
      </c>
      <c r="N54" s="7">
        <v>0.65264003999999998</v>
      </c>
      <c r="O54" s="7">
        <v>0.15350907999999999</v>
      </c>
      <c r="P54" s="7">
        <v>0.84649090000000005</v>
      </c>
      <c r="Q54" s="8">
        <v>1</v>
      </c>
      <c r="R54" s="10">
        <v>1</v>
      </c>
      <c r="S54" s="10">
        <v>1</v>
      </c>
    </row>
    <row r="55" spans="1:19">
      <c r="A55" s="1">
        <v>1</v>
      </c>
      <c r="B55" s="1" t="s">
        <v>69</v>
      </c>
      <c r="C55" s="1">
        <v>0.65234479999999995</v>
      </c>
      <c r="D55" s="1">
        <v>0.60694559999999997</v>
      </c>
      <c r="E55" s="1">
        <v>0.63265424999999997</v>
      </c>
      <c r="F55" s="1">
        <v>0.63275015000000001</v>
      </c>
      <c r="G55" s="1">
        <v>0.60658884000000002</v>
      </c>
      <c r="H55" s="1">
        <v>0.39341120000000002</v>
      </c>
      <c r="I55" s="1">
        <v>0.1745554</v>
      </c>
      <c r="J55" s="1">
        <v>0.82544459999999997</v>
      </c>
      <c r="K55" s="1">
        <v>0.25310644999999998</v>
      </c>
      <c r="L55" s="1">
        <v>0.28949624000000002</v>
      </c>
      <c r="M55" s="1">
        <v>0.45481575000000002</v>
      </c>
      <c r="N55" s="1">
        <v>0.54518425000000004</v>
      </c>
      <c r="O55" s="1">
        <v>0.83687012999999999</v>
      </c>
      <c r="P55" s="1">
        <v>0.16312984999999999</v>
      </c>
      <c r="Q55" s="4">
        <v>0</v>
      </c>
      <c r="R55" s="11">
        <v>1</v>
      </c>
      <c r="S55" s="6">
        <v>1</v>
      </c>
    </row>
    <row r="56" spans="1:19">
      <c r="A56" s="1">
        <v>1</v>
      </c>
      <c r="B56" s="1" t="s">
        <v>70</v>
      </c>
      <c r="C56" s="1">
        <v>0.52953260000000002</v>
      </c>
      <c r="D56" s="1">
        <v>0.59682230000000003</v>
      </c>
      <c r="E56" s="1">
        <v>0.68343394999999996</v>
      </c>
      <c r="F56" s="1">
        <v>0.49982437000000002</v>
      </c>
      <c r="G56" s="1">
        <v>0.66443600000000003</v>
      </c>
      <c r="H56" s="1">
        <v>0.33556405</v>
      </c>
      <c r="I56" s="1">
        <v>0.114763305</v>
      </c>
      <c r="J56" s="1">
        <v>0.88523669999999999</v>
      </c>
      <c r="K56" s="1">
        <v>0.25683945000000002</v>
      </c>
      <c r="L56" s="1">
        <v>0.26524225000000001</v>
      </c>
      <c r="M56" s="1">
        <v>0.16838771</v>
      </c>
      <c r="N56" s="1">
        <v>0.83161229999999997</v>
      </c>
      <c r="O56" s="1">
        <v>0.20549777</v>
      </c>
      <c r="P56" s="1">
        <v>0.79450226000000002</v>
      </c>
      <c r="Q56" s="4">
        <v>1</v>
      </c>
      <c r="R56" s="6">
        <v>1</v>
      </c>
      <c r="S56" s="6">
        <v>1</v>
      </c>
    </row>
    <row r="57" spans="1:19">
      <c r="A57" s="1">
        <v>1</v>
      </c>
      <c r="B57" s="1" t="s">
        <v>71</v>
      </c>
      <c r="C57" s="1">
        <v>0.34804269999999998</v>
      </c>
      <c r="D57" s="1">
        <v>0.63400595999999998</v>
      </c>
      <c r="E57" s="1">
        <v>0.49639654</v>
      </c>
      <c r="F57" s="1">
        <v>0.60617829999999995</v>
      </c>
      <c r="G57" s="1">
        <v>0.19260740000000001</v>
      </c>
      <c r="H57" s="1">
        <v>0.80739260000000002</v>
      </c>
      <c r="I57" s="1">
        <v>9.0000970000000003E-3</v>
      </c>
      <c r="J57" s="1">
        <v>0.99099990000000004</v>
      </c>
      <c r="K57" s="1">
        <v>5.7398073000000001E-2</v>
      </c>
      <c r="L57" s="1">
        <v>0.34700942000000001</v>
      </c>
      <c r="M57" s="1">
        <v>6.0191492999999999E-2</v>
      </c>
      <c r="N57" s="1">
        <v>0.93980854999999996</v>
      </c>
      <c r="O57" s="1">
        <v>7.2413989999999998E-2</v>
      </c>
      <c r="P57" s="1">
        <v>0.92758596000000004</v>
      </c>
      <c r="Q57" s="4">
        <v>1</v>
      </c>
      <c r="R57" s="6">
        <v>1</v>
      </c>
      <c r="S57" s="6">
        <v>1</v>
      </c>
    </row>
    <row r="58" spans="1:19">
      <c r="A58" s="1">
        <v>1</v>
      </c>
      <c r="B58" s="1" t="s">
        <v>72</v>
      </c>
      <c r="C58" s="1">
        <v>1.8249938E-2</v>
      </c>
      <c r="D58" s="1">
        <v>0.80326120000000001</v>
      </c>
      <c r="E58" s="1">
        <v>0.29253509999999999</v>
      </c>
      <c r="F58" s="1">
        <v>0.75590544999999998</v>
      </c>
      <c r="G58" s="1">
        <v>0.21187260999999999</v>
      </c>
      <c r="H58" s="1">
        <v>0.78812736000000005</v>
      </c>
      <c r="I58" s="1">
        <v>1.5642421E-3</v>
      </c>
      <c r="J58" s="1">
        <v>0.99843579999999998</v>
      </c>
      <c r="K58" s="1">
        <v>1.0833208E-2</v>
      </c>
      <c r="L58" s="1">
        <v>0.42062836999999997</v>
      </c>
      <c r="M58" s="1">
        <v>2.0878233E-2</v>
      </c>
      <c r="N58" s="1">
        <v>0.97912173999999996</v>
      </c>
      <c r="O58" s="1">
        <v>2.7817806E-2</v>
      </c>
      <c r="P58" s="1">
        <v>0.97218214999999997</v>
      </c>
      <c r="Q58" s="4">
        <v>1</v>
      </c>
      <c r="R58" s="6">
        <v>1</v>
      </c>
      <c r="S58" s="6">
        <v>1</v>
      </c>
    </row>
    <row r="59" spans="1:19">
      <c r="A59" s="1">
        <v>1</v>
      </c>
      <c r="B59" s="1" t="s">
        <v>73</v>
      </c>
      <c r="C59" s="1">
        <v>1.8471708999999999E-2</v>
      </c>
      <c r="D59" s="1">
        <v>0.78745480000000001</v>
      </c>
      <c r="E59" s="1">
        <v>0.24591125999999999</v>
      </c>
      <c r="F59" s="1">
        <v>0.74641716000000002</v>
      </c>
      <c r="G59" s="1">
        <v>1.3212454E-2</v>
      </c>
      <c r="H59" s="1">
        <v>0.98678756000000001</v>
      </c>
      <c r="I59" s="1">
        <v>2.6690870000000001E-3</v>
      </c>
      <c r="J59" s="1">
        <v>0.99733090000000002</v>
      </c>
      <c r="K59" s="1">
        <v>0.17126176000000001</v>
      </c>
      <c r="L59" s="1">
        <v>0.36113469999999998</v>
      </c>
      <c r="M59" s="1">
        <v>3.9233148000000002E-2</v>
      </c>
      <c r="N59" s="1">
        <v>0.96076684999999995</v>
      </c>
      <c r="O59" s="1">
        <v>2.1001484000000001E-2</v>
      </c>
      <c r="P59" s="1">
        <v>0.97899853999999997</v>
      </c>
      <c r="Q59" s="4">
        <v>1</v>
      </c>
      <c r="R59" s="6">
        <v>1</v>
      </c>
      <c r="S59" s="6">
        <v>1</v>
      </c>
    </row>
    <row r="60" spans="1:19">
      <c r="A60" s="7">
        <v>1</v>
      </c>
      <c r="B60" s="7" t="s">
        <v>74</v>
      </c>
      <c r="C60" s="7">
        <v>0.3277292</v>
      </c>
      <c r="D60" s="7">
        <v>0.70663980000000004</v>
      </c>
      <c r="E60" s="7">
        <v>0.67266475999999997</v>
      </c>
      <c r="F60" s="7">
        <v>0.51418370000000002</v>
      </c>
      <c r="G60" s="7">
        <v>0.8364009</v>
      </c>
      <c r="H60" s="7">
        <v>0.1635991</v>
      </c>
      <c r="I60" s="7">
        <v>8.7724170000000004E-2</v>
      </c>
      <c r="J60" s="7">
        <v>0.91227585</v>
      </c>
      <c r="K60" s="7">
        <v>8.0142140000000004E-3</v>
      </c>
      <c r="L60" s="7">
        <v>0.41078869000000001</v>
      </c>
      <c r="M60" s="7">
        <v>6.5350329999999998E-2</v>
      </c>
      <c r="N60" s="7">
        <v>0.93464970000000003</v>
      </c>
      <c r="O60" s="7">
        <v>0.1036233</v>
      </c>
      <c r="P60" s="7">
        <v>0.89637670000000003</v>
      </c>
      <c r="Q60" s="8">
        <v>1</v>
      </c>
      <c r="R60" s="10">
        <v>1</v>
      </c>
      <c r="S60" s="10">
        <v>1</v>
      </c>
    </row>
    <row r="61" spans="1:19">
      <c r="A61" s="1">
        <v>1</v>
      </c>
      <c r="B61" s="1" t="s">
        <v>75</v>
      </c>
      <c r="C61" s="1">
        <v>7.3385954000000003E-2</v>
      </c>
      <c r="D61" s="1">
        <v>0.77597329999999998</v>
      </c>
      <c r="E61" s="1">
        <v>0.10463740000000001</v>
      </c>
      <c r="F61" s="1">
        <v>0.77418529999999997</v>
      </c>
      <c r="G61" s="1">
        <v>2.3788428E-2</v>
      </c>
      <c r="H61" s="1">
        <v>0.97621159999999996</v>
      </c>
      <c r="I61" s="1">
        <v>2.064537E-2</v>
      </c>
      <c r="J61" s="1">
        <v>0.97935459999999996</v>
      </c>
      <c r="K61" s="1">
        <v>0.25953971999999997</v>
      </c>
      <c r="L61" s="1">
        <v>0.22198000000000001</v>
      </c>
      <c r="M61" s="1">
        <v>0.24536686999999999</v>
      </c>
      <c r="N61" s="1">
        <v>0.7546332</v>
      </c>
      <c r="O61" s="1">
        <v>0.47352919999999998</v>
      </c>
      <c r="P61" s="1">
        <v>0.52647084</v>
      </c>
      <c r="Q61" s="4">
        <v>1</v>
      </c>
      <c r="R61" s="11">
        <v>1</v>
      </c>
      <c r="S61" s="6">
        <v>1</v>
      </c>
    </row>
    <row r="62" spans="1:19">
      <c r="A62" s="1">
        <v>1</v>
      </c>
      <c r="B62" s="1" t="s">
        <v>76</v>
      </c>
      <c r="C62" s="1">
        <v>0.54913115999999995</v>
      </c>
      <c r="D62" s="1">
        <v>0.58276340000000004</v>
      </c>
      <c r="E62" s="1">
        <v>0.64840883000000005</v>
      </c>
      <c r="F62" s="1">
        <v>0.58033299999999999</v>
      </c>
      <c r="G62" s="1">
        <v>0.56369345999999998</v>
      </c>
      <c r="H62" s="1">
        <v>0.43630654000000002</v>
      </c>
      <c r="I62" s="1">
        <v>0.18689421000000001</v>
      </c>
      <c r="J62" s="1">
        <v>0.81310579999999999</v>
      </c>
      <c r="K62" s="1">
        <v>9.4488785000000006E-2</v>
      </c>
      <c r="L62" s="1">
        <v>0.27211636</v>
      </c>
      <c r="M62" s="1">
        <v>0.18405655000000001</v>
      </c>
      <c r="N62" s="1">
        <v>0.81594350000000004</v>
      </c>
      <c r="O62" s="1">
        <v>9.5583680000000004E-2</v>
      </c>
      <c r="P62" s="1">
        <v>0.90441629999999995</v>
      </c>
      <c r="Q62" s="4">
        <v>1</v>
      </c>
      <c r="R62" s="6">
        <v>1</v>
      </c>
      <c r="S62" s="6">
        <v>1</v>
      </c>
    </row>
    <row r="63" spans="1:19">
      <c r="A63" s="1">
        <v>1</v>
      </c>
      <c r="B63" s="1" t="s">
        <v>77</v>
      </c>
      <c r="C63" s="1">
        <v>0.20236796000000001</v>
      </c>
      <c r="D63" s="1">
        <v>0.8188976</v>
      </c>
      <c r="E63" s="1">
        <v>2.6296594E-3</v>
      </c>
      <c r="F63" s="1">
        <v>0.78842734999999997</v>
      </c>
      <c r="G63" s="1">
        <v>5.5792264000000002E-4</v>
      </c>
      <c r="H63" s="1">
        <v>0.99944204000000003</v>
      </c>
      <c r="I63" s="1">
        <v>9.6609134999999999E-4</v>
      </c>
      <c r="J63" s="1">
        <v>0.99903390000000003</v>
      </c>
      <c r="K63" s="1">
        <v>2.7971167000000002E-2</v>
      </c>
      <c r="L63" s="1">
        <v>0.32230734999999999</v>
      </c>
      <c r="M63" s="1">
        <v>0.28421286000000001</v>
      </c>
      <c r="N63" s="1">
        <v>0.71578710000000001</v>
      </c>
      <c r="O63" s="1">
        <v>0.13006470000000001</v>
      </c>
      <c r="P63" s="1">
        <v>0.86993533000000001</v>
      </c>
      <c r="Q63" s="4">
        <v>1</v>
      </c>
      <c r="R63" s="6">
        <v>1</v>
      </c>
      <c r="S63" s="6">
        <v>1</v>
      </c>
    </row>
    <row r="64" spans="1:19">
      <c r="A64" s="1">
        <v>1</v>
      </c>
      <c r="B64" s="1" t="s">
        <v>78</v>
      </c>
      <c r="C64" s="1">
        <v>0.33544826999999999</v>
      </c>
      <c r="D64" s="1">
        <v>0.72576684000000002</v>
      </c>
      <c r="E64" s="1">
        <v>0.32126322000000002</v>
      </c>
      <c r="F64" s="1">
        <v>0.73138320000000001</v>
      </c>
      <c r="G64" s="1">
        <v>0.21452758</v>
      </c>
      <c r="H64" s="1">
        <v>0.78547239999999996</v>
      </c>
      <c r="I64" s="1">
        <v>4.0734769999999997E-2</v>
      </c>
      <c r="J64" s="1">
        <v>0.95926520000000004</v>
      </c>
      <c r="K64" s="1">
        <v>0.18982842999999999</v>
      </c>
      <c r="L64" s="1">
        <v>0.30044042999999998</v>
      </c>
      <c r="M64" s="1">
        <v>0.4938476</v>
      </c>
      <c r="N64" s="1">
        <v>0.50615239999999995</v>
      </c>
      <c r="O64" s="1">
        <v>0.42583032999999998</v>
      </c>
      <c r="P64" s="1">
        <v>0.57416964000000004</v>
      </c>
      <c r="Q64" s="4">
        <v>1</v>
      </c>
      <c r="R64" s="11">
        <v>0</v>
      </c>
      <c r="S64" s="6">
        <v>1</v>
      </c>
    </row>
    <row r="65" spans="1:19">
      <c r="A65" s="1">
        <v>1</v>
      </c>
      <c r="B65" s="1" t="s">
        <v>79</v>
      </c>
      <c r="C65" s="1">
        <v>0.21430420999999999</v>
      </c>
      <c r="D65" s="1">
        <v>0.76441740000000002</v>
      </c>
      <c r="E65" s="1">
        <v>0.61455475999999998</v>
      </c>
      <c r="F65" s="1">
        <v>0.6445246</v>
      </c>
      <c r="G65" s="1">
        <v>0.6575415</v>
      </c>
      <c r="H65" s="1">
        <v>0.34245854999999997</v>
      </c>
      <c r="I65" s="1">
        <v>6.7728200000000002E-2</v>
      </c>
      <c r="J65" s="1">
        <v>0.93227183999999996</v>
      </c>
      <c r="K65" s="1">
        <v>0.11692332</v>
      </c>
      <c r="L65" s="1">
        <v>0.16569034999999999</v>
      </c>
      <c r="M65" s="1">
        <v>0.35207430000000001</v>
      </c>
      <c r="N65" s="1">
        <v>0.64792572999999998</v>
      </c>
      <c r="O65" s="1">
        <v>0.49472916</v>
      </c>
      <c r="P65" s="1">
        <v>0.50527080000000002</v>
      </c>
      <c r="Q65" s="4">
        <v>0</v>
      </c>
      <c r="R65" s="11">
        <v>1</v>
      </c>
      <c r="S65" s="6">
        <v>1</v>
      </c>
    </row>
    <row r="66" spans="1:19">
      <c r="A66" s="1">
        <v>1</v>
      </c>
      <c r="B66" s="1" t="s">
        <v>80</v>
      </c>
      <c r="C66" s="1">
        <v>0.57306623000000001</v>
      </c>
      <c r="D66" s="1">
        <v>0.56842649999999995</v>
      </c>
      <c r="E66" s="1">
        <v>0.47908519999999999</v>
      </c>
      <c r="F66" s="1">
        <v>0.65565709999999999</v>
      </c>
      <c r="G66" s="1">
        <v>0.57116659999999997</v>
      </c>
      <c r="H66" s="1">
        <v>0.42883343000000002</v>
      </c>
      <c r="I66" s="1">
        <v>0.43262145000000002</v>
      </c>
      <c r="J66" s="1">
        <v>0.56737859999999996</v>
      </c>
      <c r="K66" s="1">
        <v>0.26657847000000001</v>
      </c>
      <c r="L66" s="1">
        <v>0.13349214000000001</v>
      </c>
      <c r="M66" s="1">
        <v>0.71139070000000004</v>
      </c>
      <c r="N66" s="1">
        <v>0.28860933</v>
      </c>
      <c r="O66" s="1">
        <v>0.75665384999999996</v>
      </c>
      <c r="P66" s="1">
        <v>0.24334620000000001</v>
      </c>
      <c r="Q66" s="4">
        <v>1</v>
      </c>
      <c r="R66" s="6">
        <v>1</v>
      </c>
      <c r="S66" s="6">
        <v>1</v>
      </c>
    </row>
    <row r="67" spans="1:19">
      <c r="A67" s="7">
        <v>1</v>
      </c>
      <c r="B67" s="7" t="s">
        <v>81</v>
      </c>
      <c r="C67" s="7">
        <v>0.54952659999999998</v>
      </c>
      <c r="D67" s="7">
        <v>0.60939679999999996</v>
      </c>
      <c r="E67" s="7">
        <v>0.46596014000000002</v>
      </c>
      <c r="F67" s="7">
        <v>0.69393530000000003</v>
      </c>
      <c r="G67" s="7">
        <v>0.21421127000000001</v>
      </c>
      <c r="H67" s="7">
        <v>0.78578879999999995</v>
      </c>
      <c r="I67" s="7">
        <v>0.21234098000000001</v>
      </c>
      <c r="J67" s="7">
        <v>0.78765905000000003</v>
      </c>
      <c r="K67" s="7">
        <v>0.31475407</v>
      </c>
      <c r="L67" s="7">
        <v>0.25373119999999999</v>
      </c>
      <c r="M67" s="7">
        <v>0.62062013000000005</v>
      </c>
      <c r="N67" s="7">
        <v>0.37937984000000002</v>
      </c>
      <c r="O67" s="7">
        <v>0.81018763999999999</v>
      </c>
      <c r="P67" s="7">
        <v>0.18981239999999999</v>
      </c>
      <c r="Q67" s="8">
        <v>1</v>
      </c>
      <c r="R67" s="10">
        <v>1</v>
      </c>
      <c r="S67" s="10">
        <v>1</v>
      </c>
    </row>
    <row r="68" spans="1:19">
      <c r="A68" s="1">
        <v>1</v>
      </c>
      <c r="B68" s="1" t="s">
        <v>82</v>
      </c>
      <c r="C68" s="1">
        <v>1.2605180000000001E-2</v>
      </c>
      <c r="D68" s="1">
        <v>0.81505989999999995</v>
      </c>
      <c r="E68" s="1">
        <v>0.22112303999999999</v>
      </c>
      <c r="F68" s="1">
        <v>0.76701874000000003</v>
      </c>
      <c r="G68" s="1">
        <v>5.5336595000000002E-2</v>
      </c>
      <c r="H68" s="1">
        <v>0.94466340000000004</v>
      </c>
      <c r="I68" s="1">
        <v>1.5370290999999999E-2</v>
      </c>
      <c r="J68" s="1">
        <v>0.98462970000000005</v>
      </c>
      <c r="K68" s="1">
        <v>0.103365056</v>
      </c>
      <c r="L68" s="1">
        <v>0.30743809999999999</v>
      </c>
      <c r="M68" s="1">
        <v>0.26336812999999998</v>
      </c>
      <c r="N68" s="1">
        <v>0.73663190000000001</v>
      </c>
      <c r="O68" s="1">
        <v>6.1404889999999997E-2</v>
      </c>
      <c r="P68" s="1">
        <v>0.93859506000000004</v>
      </c>
      <c r="Q68" s="4">
        <v>1</v>
      </c>
      <c r="R68" s="6">
        <v>1</v>
      </c>
      <c r="S68" s="6">
        <v>1</v>
      </c>
    </row>
    <row r="69" spans="1:19">
      <c r="A69" s="1">
        <v>1</v>
      </c>
      <c r="B69" s="1" t="s">
        <v>83</v>
      </c>
      <c r="C69" s="1">
        <v>1.4779148000000001E-2</v>
      </c>
      <c r="D69" s="1">
        <v>0.81857570000000002</v>
      </c>
      <c r="E69" s="1">
        <v>0.16041145000000001</v>
      </c>
      <c r="F69" s="1">
        <v>0.7693411</v>
      </c>
      <c r="G69" s="1">
        <v>3.2602924999999998E-2</v>
      </c>
      <c r="H69" s="1">
        <v>0.96739710000000001</v>
      </c>
      <c r="I69" s="1">
        <v>5.0611915000000002E-3</v>
      </c>
      <c r="J69" s="1">
        <v>0.99493885000000004</v>
      </c>
      <c r="K69" s="1">
        <v>3.2527722000000002E-2</v>
      </c>
      <c r="L69" s="1">
        <v>0.44765677999999998</v>
      </c>
      <c r="M69" s="1">
        <v>5.1340397000000003E-2</v>
      </c>
      <c r="N69" s="1">
        <v>0.94865960000000005</v>
      </c>
      <c r="O69" s="1">
        <v>4.3269385E-2</v>
      </c>
      <c r="P69" s="1">
        <v>0.95673059999999999</v>
      </c>
      <c r="Q69" s="4">
        <v>1</v>
      </c>
      <c r="R69" s="6">
        <v>1</v>
      </c>
      <c r="S69" s="6">
        <v>1</v>
      </c>
    </row>
    <row r="70" spans="1:19">
      <c r="A70" s="1">
        <v>1</v>
      </c>
      <c r="B70" s="1" t="s">
        <v>84</v>
      </c>
      <c r="C70" s="1">
        <v>0.28607853999999999</v>
      </c>
      <c r="D70" s="1">
        <v>0.76304349999999999</v>
      </c>
      <c r="E70" s="1">
        <v>0.54964285999999996</v>
      </c>
      <c r="F70" s="1">
        <v>0.67439039999999995</v>
      </c>
      <c r="G70" s="1">
        <v>0.40692547000000001</v>
      </c>
      <c r="H70" s="1">
        <v>0.59307449999999995</v>
      </c>
      <c r="I70" s="1">
        <v>0.14825039000000001</v>
      </c>
      <c r="J70" s="1">
        <v>0.85174965999999996</v>
      </c>
      <c r="K70" s="1">
        <v>0.18076696</v>
      </c>
      <c r="L70" s="1">
        <v>0.29012847000000003</v>
      </c>
      <c r="M70" s="1">
        <v>0.18988226</v>
      </c>
      <c r="N70" s="1">
        <v>0.81011770000000005</v>
      </c>
      <c r="O70" s="1">
        <v>0.47466750000000002</v>
      </c>
      <c r="P70" s="1">
        <v>0.52533249999999998</v>
      </c>
      <c r="Q70" s="4">
        <v>1</v>
      </c>
      <c r="R70" s="6">
        <v>1</v>
      </c>
      <c r="S70" s="6">
        <v>1</v>
      </c>
    </row>
    <row r="71" spans="1:19">
      <c r="A71" s="1">
        <v>1</v>
      </c>
      <c r="B71" s="1" t="s">
        <v>85</v>
      </c>
      <c r="C71" s="1">
        <v>1.4288405000000001E-2</v>
      </c>
      <c r="D71" s="1">
        <v>0.80583214999999997</v>
      </c>
      <c r="E71" s="1">
        <v>0.35181790000000002</v>
      </c>
      <c r="F71" s="1">
        <v>0.73549454999999997</v>
      </c>
      <c r="G71" s="1">
        <v>3.3842104999999997E-2</v>
      </c>
      <c r="H71" s="1">
        <v>0.96615790000000001</v>
      </c>
      <c r="I71" s="1">
        <v>3.9366649999999998E-3</v>
      </c>
      <c r="J71" s="1">
        <v>0.99606329999999998</v>
      </c>
      <c r="K71" s="1">
        <v>8.8101684999999999E-2</v>
      </c>
      <c r="L71" s="1">
        <v>0.21133146</v>
      </c>
      <c r="M71" s="1">
        <v>9.4448134000000003E-2</v>
      </c>
      <c r="N71" s="1">
        <v>0.90555189999999997</v>
      </c>
      <c r="O71" s="1">
        <v>7.6921459999999997E-2</v>
      </c>
      <c r="P71" s="1">
        <v>0.92307854</v>
      </c>
      <c r="Q71" s="4">
        <v>1</v>
      </c>
      <c r="R71" s="6">
        <v>1</v>
      </c>
      <c r="S71" s="6">
        <v>1</v>
      </c>
    </row>
    <row r="72" spans="1:19">
      <c r="A72" s="1">
        <v>1</v>
      </c>
      <c r="B72" s="1" t="s">
        <v>86</v>
      </c>
      <c r="C72" s="1">
        <v>0.72975060000000003</v>
      </c>
      <c r="D72" s="1">
        <v>0.27942672000000002</v>
      </c>
      <c r="E72" s="1">
        <v>0.72292376000000003</v>
      </c>
      <c r="F72" s="1">
        <v>0.45666760000000001</v>
      </c>
      <c r="G72" s="1">
        <v>0.79431719999999995</v>
      </c>
      <c r="H72" s="1">
        <v>0.20568284000000001</v>
      </c>
      <c r="I72" s="1">
        <v>0.49978346000000001</v>
      </c>
      <c r="J72" s="1">
        <v>0.50021654000000004</v>
      </c>
      <c r="K72" s="1">
        <v>0.19831192</v>
      </c>
      <c r="L72" s="1">
        <v>0.28402323000000002</v>
      </c>
      <c r="M72" s="1">
        <v>0.37955832</v>
      </c>
      <c r="N72" s="1">
        <v>0.62044169999999998</v>
      </c>
      <c r="O72" s="1">
        <v>0.4358918</v>
      </c>
      <c r="P72" s="1">
        <v>0.56410819999999995</v>
      </c>
      <c r="Q72" s="4">
        <v>1</v>
      </c>
      <c r="R72" s="6">
        <v>1</v>
      </c>
      <c r="S72" s="6">
        <v>1</v>
      </c>
    </row>
    <row r="73" spans="1:19">
      <c r="A73" s="1">
        <v>1</v>
      </c>
      <c r="B73" s="1" t="s">
        <v>87</v>
      </c>
      <c r="C73" s="1">
        <v>0.63863146000000004</v>
      </c>
      <c r="D73" s="1">
        <v>0.48341823</v>
      </c>
      <c r="E73" s="1">
        <v>0.71418979999999999</v>
      </c>
      <c r="F73" s="1">
        <v>0.51542399999999999</v>
      </c>
      <c r="G73" s="1">
        <v>0.86625759999999996</v>
      </c>
      <c r="H73" s="1">
        <v>0.13374245000000001</v>
      </c>
      <c r="I73" s="1">
        <v>0.42247256999999999</v>
      </c>
      <c r="J73" s="1">
        <v>0.57752745999999999</v>
      </c>
      <c r="K73" s="1">
        <v>0.21129424999999999</v>
      </c>
      <c r="L73" s="1">
        <v>0.39890320000000001</v>
      </c>
      <c r="M73" s="1">
        <v>0.2666386</v>
      </c>
      <c r="N73" s="1">
        <v>0.73336140000000005</v>
      </c>
      <c r="O73" s="1">
        <v>0.28789567999999999</v>
      </c>
      <c r="P73" s="1">
        <v>0.71210439999999997</v>
      </c>
      <c r="Q73" s="4">
        <v>1</v>
      </c>
      <c r="R73" s="6">
        <v>1</v>
      </c>
      <c r="S73" s="6">
        <v>1</v>
      </c>
    </row>
    <row r="74" spans="1:19">
      <c r="A74" s="1">
        <v>1</v>
      </c>
      <c r="B74" s="5" t="s">
        <v>88</v>
      </c>
      <c r="C74" s="5">
        <v>0.48150779999999999</v>
      </c>
      <c r="D74" s="5">
        <v>0.67324083999999995</v>
      </c>
      <c r="E74" s="5">
        <v>0.23174506</v>
      </c>
      <c r="F74" s="5">
        <v>0.77506584000000001</v>
      </c>
      <c r="G74" s="5">
        <v>2.7615724000000001E-2</v>
      </c>
      <c r="H74" s="5">
        <v>0.97238420000000003</v>
      </c>
      <c r="I74" s="5">
        <v>0.51897769999999999</v>
      </c>
      <c r="J74" s="5">
        <v>0.48102226999999997</v>
      </c>
      <c r="K74" s="5">
        <v>4.4974800000000002E-2</v>
      </c>
      <c r="L74" s="5">
        <v>0.29788910000000002</v>
      </c>
      <c r="M74" s="5">
        <v>0.37411090000000002</v>
      </c>
      <c r="N74" s="5">
        <v>0.62588909999999998</v>
      </c>
      <c r="O74" s="5">
        <v>0.21330908000000001</v>
      </c>
      <c r="P74" s="5">
        <v>0.78669089999999997</v>
      </c>
      <c r="Q74" s="4">
        <v>1</v>
      </c>
      <c r="R74" s="11">
        <v>0</v>
      </c>
      <c r="S74" s="6">
        <v>1</v>
      </c>
    </row>
    <row r="75" spans="1:19">
      <c r="A75" s="1">
        <v>1</v>
      </c>
      <c r="B75" s="1" t="s">
        <v>89</v>
      </c>
      <c r="C75" s="1">
        <v>0.69954879999999997</v>
      </c>
      <c r="D75" s="1">
        <v>0.45558294999999999</v>
      </c>
      <c r="E75" s="1">
        <v>0.40763642999999999</v>
      </c>
      <c r="F75" s="1">
        <v>0.73872477000000003</v>
      </c>
      <c r="G75" s="1">
        <v>0.32974811999999998</v>
      </c>
      <c r="H75" s="1">
        <v>0.67025184999999998</v>
      </c>
      <c r="I75" s="1">
        <v>0.40916123999999998</v>
      </c>
      <c r="J75" s="1">
        <v>0.59083872999999998</v>
      </c>
      <c r="K75" s="1">
        <v>9.8201529999999995E-2</v>
      </c>
      <c r="L75" s="1">
        <v>0.23252039999999999</v>
      </c>
      <c r="M75" s="1">
        <v>0.62809139999999997</v>
      </c>
      <c r="N75" s="1">
        <v>0.37190863000000002</v>
      </c>
      <c r="O75" s="1">
        <v>0.68586259999999999</v>
      </c>
      <c r="P75" s="1">
        <v>0.31413737000000003</v>
      </c>
      <c r="Q75" s="4">
        <v>1</v>
      </c>
      <c r="R75" s="6">
        <v>1</v>
      </c>
      <c r="S75" s="6">
        <v>1</v>
      </c>
    </row>
    <row r="76" spans="1:19">
      <c r="A76" s="1">
        <v>1</v>
      </c>
      <c r="B76" s="1" t="s">
        <v>90</v>
      </c>
      <c r="C76" s="1">
        <v>2.9867599000000002E-2</v>
      </c>
      <c r="D76" s="1">
        <v>0.82250500000000004</v>
      </c>
      <c r="E76" s="1">
        <v>0.17476347</v>
      </c>
      <c r="F76" s="1">
        <v>0.77574659999999995</v>
      </c>
      <c r="G76" s="1">
        <v>3.6728456999999999E-2</v>
      </c>
      <c r="H76" s="1">
        <v>0.96327156000000003</v>
      </c>
      <c r="I76" s="1">
        <v>8.4921019999999996E-3</v>
      </c>
      <c r="J76" s="1">
        <v>0.9915079</v>
      </c>
      <c r="K76" s="1">
        <v>4.1762437999999999E-2</v>
      </c>
      <c r="L76" s="1">
        <v>0.46186660000000002</v>
      </c>
      <c r="M76" s="1">
        <v>8.5975979999999994E-2</v>
      </c>
      <c r="N76" s="1">
        <v>0.91402399999999995</v>
      </c>
      <c r="O76" s="1">
        <v>9.9980120000000006E-2</v>
      </c>
      <c r="P76" s="1">
        <v>0.90001980000000004</v>
      </c>
      <c r="Q76" s="4">
        <v>1</v>
      </c>
      <c r="R76" s="6">
        <v>1</v>
      </c>
      <c r="S76" s="6">
        <v>1</v>
      </c>
    </row>
    <row r="77" spans="1:19">
      <c r="A77" s="1">
        <v>1</v>
      </c>
      <c r="B77" s="1" t="s">
        <v>91</v>
      </c>
      <c r="C77" s="1">
        <v>5.6362490000000001E-2</v>
      </c>
      <c r="D77" s="1">
        <v>0.82390540000000001</v>
      </c>
      <c r="E77" s="1">
        <v>7.52834E-2</v>
      </c>
      <c r="F77" s="1">
        <v>0.77767085999999996</v>
      </c>
      <c r="G77" s="1">
        <v>1.9118777E-2</v>
      </c>
      <c r="H77" s="1">
        <v>0.98088120000000001</v>
      </c>
      <c r="I77" s="1">
        <v>1.5210832000000001E-2</v>
      </c>
      <c r="J77" s="1">
        <v>0.98478913000000001</v>
      </c>
      <c r="K77" s="1">
        <v>4.2078869999999997E-2</v>
      </c>
      <c r="L77" s="1">
        <v>0.35735482000000002</v>
      </c>
      <c r="M77" s="1">
        <v>5.2016657000000001E-2</v>
      </c>
      <c r="N77" s="1">
        <v>0.94798329999999997</v>
      </c>
      <c r="O77" s="1">
        <v>1.2708646000000001E-2</v>
      </c>
      <c r="P77" s="1">
        <v>0.98729140000000004</v>
      </c>
      <c r="Q77" s="4">
        <v>1</v>
      </c>
      <c r="R77" s="6">
        <v>1</v>
      </c>
      <c r="S77" s="6">
        <v>1</v>
      </c>
    </row>
    <row r="78" spans="1:19">
      <c r="A78" s="1">
        <v>1</v>
      </c>
      <c r="B78" s="1" t="s">
        <v>92</v>
      </c>
      <c r="C78" s="1">
        <v>5.2681385999999997E-2</v>
      </c>
      <c r="D78" s="1">
        <v>0.82556510000000005</v>
      </c>
      <c r="E78" s="1">
        <v>0.29259629999999998</v>
      </c>
      <c r="F78" s="1">
        <v>0.72981775000000004</v>
      </c>
      <c r="G78" s="1">
        <v>0.10287021</v>
      </c>
      <c r="H78" s="1">
        <v>0.89712970000000003</v>
      </c>
      <c r="I78" s="1">
        <v>1.2082915E-2</v>
      </c>
      <c r="J78" s="1">
        <v>0.98791700000000005</v>
      </c>
      <c r="K78" s="1">
        <v>0.10806801000000001</v>
      </c>
      <c r="L78" s="1">
        <v>0.2458746</v>
      </c>
      <c r="M78" s="1">
        <v>0.13249725000000001</v>
      </c>
      <c r="N78" s="1">
        <v>0.86750269999999996</v>
      </c>
      <c r="O78" s="1">
        <v>0.16758787999999999</v>
      </c>
      <c r="P78" s="1">
        <v>0.83241209999999999</v>
      </c>
      <c r="Q78" s="4">
        <v>1</v>
      </c>
      <c r="R78" s="6">
        <v>1</v>
      </c>
      <c r="S78" s="6">
        <v>1</v>
      </c>
    </row>
    <row r="79" spans="1:19">
      <c r="A79" s="1">
        <v>1</v>
      </c>
      <c r="B79" s="1" t="s">
        <v>93</v>
      </c>
      <c r="C79" s="1">
        <v>3.9922524000000001E-2</v>
      </c>
      <c r="D79" s="1">
        <v>0.80693482999999999</v>
      </c>
      <c r="E79" s="1">
        <v>0.20770173</v>
      </c>
      <c r="F79" s="1">
        <v>0.76708929999999997</v>
      </c>
      <c r="G79" s="1">
        <v>1.5382470000000001E-2</v>
      </c>
      <c r="H79" s="1">
        <v>0.98461759999999998</v>
      </c>
      <c r="I79" s="1">
        <v>1.9884859E-4</v>
      </c>
      <c r="J79" s="1">
        <v>0.99980119999999995</v>
      </c>
      <c r="K79" s="1">
        <v>0.17180654000000001</v>
      </c>
      <c r="L79" s="1">
        <v>0.33326172999999998</v>
      </c>
      <c r="M79" s="1">
        <v>4.1285686000000002E-2</v>
      </c>
      <c r="N79" s="1">
        <v>0.95871424999999999</v>
      </c>
      <c r="O79" s="1">
        <v>5.4483520000000001E-2</v>
      </c>
      <c r="P79" s="1">
        <v>0.94551647000000005</v>
      </c>
      <c r="Q79" s="4">
        <v>1</v>
      </c>
      <c r="R79" s="6">
        <v>1</v>
      </c>
      <c r="S79" s="6">
        <v>1</v>
      </c>
    </row>
    <row r="80" spans="1:19">
      <c r="A80" s="1">
        <v>1</v>
      </c>
      <c r="B80" s="1" t="s">
        <v>94</v>
      </c>
      <c r="C80" s="1">
        <v>2.7817129999999999E-2</v>
      </c>
      <c r="D80" s="1">
        <v>0.81651410000000002</v>
      </c>
      <c r="E80" s="1">
        <v>6.0321283000000003E-2</v>
      </c>
      <c r="F80" s="1">
        <v>0.79336876000000001</v>
      </c>
      <c r="G80" s="1">
        <v>1.2490309999999999E-2</v>
      </c>
      <c r="H80" s="1">
        <v>0.98750967000000001</v>
      </c>
      <c r="I80" s="1">
        <v>4.2630636000000002E-4</v>
      </c>
      <c r="J80" s="1">
        <v>0.99957364999999998</v>
      </c>
      <c r="K80" s="1">
        <v>0.21916863</v>
      </c>
      <c r="L80" s="1">
        <v>0.38068142999999999</v>
      </c>
      <c r="M80" s="1">
        <v>6.4727209999999993E-2</v>
      </c>
      <c r="N80" s="1">
        <v>0.93527280000000002</v>
      </c>
      <c r="O80" s="1">
        <v>0.36089315999999999</v>
      </c>
      <c r="P80" s="1">
        <v>0.63910679999999997</v>
      </c>
      <c r="Q80" s="4">
        <v>1</v>
      </c>
      <c r="R80" s="6">
        <v>1</v>
      </c>
      <c r="S80" s="6">
        <v>1</v>
      </c>
    </row>
    <row r="81" spans="1:19">
      <c r="A81" s="1">
        <v>1</v>
      </c>
      <c r="B81" s="1" t="s">
        <v>95</v>
      </c>
      <c r="C81" s="1">
        <v>2.2759778000000001E-2</v>
      </c>
      <c r="D81" s="1">
        <v>0.80406390000000005</v>
      </c>
      <c r="E81" s="1">
        <v>0.18802023000000001</v>
      </c>
      <c r="F81" s="1">
        <v>0.76771425999999998</v>
      </c>
      <c r="G81" s="1">
        <v>3.0745722E-2</v>
      </c>
      <c r="H81" s="1">
        <v>0.96925430000000001</v>
      </c>
      <c r="I81" s="1">
        <v>2.9303266000000001E-2</v>
      </c>
      <c r="J81" s="1">
        <v>0.97069675</v>
      </c>
      <c r="K81" s="1">
        <v>0.22907636000000001</v>
      </c>
      <c r="L81" s="1">
        <v>0.25762963</v>
      </c>
      <c r="M81" s="1">
        <v>0.26242684999999999</v>
      </c>
      <c r="N81" s="1">
        <v>0.73757315000000001</v>
      </c>
      <c r="O81" s="1">
        <v>0.23275256</v>
      </c>
      <c r="P81" s="1">
        <v>0.76724744</v>
      </c>
      <c r="Q81" s="4">
        <v>1</v>
      </c>
      <c r="R81" s="6">
        <v>1</v>
      </c>
      <c r="S81" s="6">
        <v>1</v>
      </c>
    </row>
    <row r="82" spans="1:19">
      <c r="A82" s="1">
        <v>1</v>
      </c>
      <c r="B82" s="1" t="s">
        <v>96</v>
      </c>
      <c r="C82" s="1">
        <v>0.11485430000000001</v>
      </c>
      <c r="D82" s="1">
        <v>0.78842263999999995</v>
      </c>
      <c r="E82" s="1">
        <v>0.35161448000000001</v>
      </c>
      <c r="F82" s="1">
        <v>0.73318136</v>
      </c>
      <c r="G82" s="1">
        <v>5.7088617000000001E-2</v>
      </c>
      <c r="H82" s="1">
        <v>0.94291130000000001</v>
      </c>
      <c r="I82" s="1">
        <v>2.3977965E-2</v>
      </c>
      <c r="J82" s="1">
        <v>0.97602206000000002</v>
      </c>
      <c r="K82" s="1">
        <v>0.13358449999999999</v>
      </c>
      <c r="L82" s="1">
        <v>0.40472445000000001</v>
      </c>
      <c r="M82" s="1">
        <v>5.9307289999999999E-2</v>
      </c>
      <c r="N82" s="1">
        <v>0.94069265999999996</v>
      </c>
      <c r="O82" s="1">
        <v>4.6574513999999997E-2</v>
      </c>
      <c r="P82" s="1">
        <v>0.95342547</v>
      </c>
      <c r="Q82" s="4">
        <v>1</v>
      </c>
      <c r="R82" s="6">
        <v>1</v>
      </c>
      <c r="S82" s="6">
        <v>1</v>
      </c>
    </row>
    <row r="83" spans="1:19">
      <c r="A83" s="1">
        <v>1</v>
      </c>
      <c r="B83" s="1" t="s">
        <v>97</v>
      </c>
      <c r="C83" s="1">
        <v>2.1060832000000002E-2</v>
      </c>
      <c r="D83" s="1">
        <v>0.82014450000000005</v>
      </c>
      <c r="E83" s="1">
        <v>0.17519294999999999</v>
      </c>
      <c r="F83" s="1">
        <v>0.77221439999999997</v>
      </c>
      <c r="G83" s="1">
        <v>0.25293112000000001</v>
      </c>
      <c r="H83" s="1">
        <v>0.74706890000000004</v>
      </c>
      <c r="I83" s="1">
        <v>4.84696E-3</v>
      </c>
      <c r="J83" s="1">
        <v>0.99515306999999997</v>
      </c>
      <c r="K83" s="1">
        <v>1.7402838999999999E-3</v>
      </c>
      <c r="L83" s="1">
        <v>0.47136255999999999</v>
      </c>
      <c r="M83" s="1">
        <v>5.4072604000000003E-2</v>
      </c>
      <c r="N83" s="1">
        <v>0.94592739999999997</v>
      </c>
      <c r="O83" s="1">
        <v>2.3732506E-2</v>
      </c>
      <c r="P83" s="1">
        <v>0.97626749999999995</v>
      </c>
      <c r="Q83" s="4">
        <v>1</v>
      </c>
      <c r="R83" s="6">
        <v>1</v>
      </c>
      <c r="S83" s="6">
        <v>1</v>
      </c>
    </row>
    <row r="84" spans="1:19">
      <c r="A84" s="1">
        <v>1</v>
      </c>
      <c r="B84" s="1" t="s">
        <v>98</v>
      </c>
      <c r="C84" s="1">
        <v>1.5104908E-2</v>
      </c>
      <c r="D84" s="1">
        <v>0.80070704000000004</v>
      </c>
      <c r="E84" s="1">
        <v>3.0631551999999999E-2</v>
      </c>
      <c r="F84" s="1">
        <v>0.77528850000000005</v>
      </c>
      <c r="G84" s="1">
        <v>1.5779682E-3</v>
      </c>
      <c r="H84" s="1">
        <v>0.99842200000000003</v>
      </c>
      <c r="I84" s="1">
        <v>8.8661499999999997E-3</v>
      </c>
      <c r="J84" s="1">
        <v>0.99113386999999997</v>
      </c>
      <c r="K84" s="1">
        <v>3.9241545000000003E-2</v>
      </c>
      <c r="L84" s="1">
        <v>0.4384807</v>
      </c>
      <c r="M84" s="1">
        <v>0.14524429</v>
      </c>
      <c r="N84" s="1">
        <v>0.85475564000000004</v>
      </c>
      <c r="O84" s="1">
        <v>3.5521629999999998E-2</v>
      </c>
      <c r="P84" s="1">
        <v>0.96447843</v>
      </c>
      <c r="Q84" s="4">
        <v>1</v>
      </c>
      <c r="R84" s="6">
        <v>1</v>
      </c>
      <c r="S84" s="6">
        <v>1</v>
      </c>
    </row>
    <row r="85" spans="1:19">
      <c r="A85" s="1">
        <v>1</v>
      </c>
      <c r="B85" s="1" t="s">
        <v>99</v>
      </c>
      <c r="C85" s="1">
        <v>5.8549635000000003E-2</v>
      </c>
      <c r="D85" s="1">
        <v>0.78657889999999997</v>
      </c>
      <c r="E85" s="1">
        <v>0.18606411</v>
      </c>
      <c r="F85" s="1">
        <v>0.76498884</v>
      </c>
      <c r="G85" s="1">
        <v>1.7538577E-2</v>
      </c>
      <c r="H85" s="1">
        <v>0.98246140000000004</v>
      </c>
      <c r="I85" s="1">
        <v>8.1597049999999997E-3</v>
      </c>
      <c r="J85" s="1">
        <v>0.99184024000000004</v>
      </c>
      <c r="K85" s="1">
        <v>0.11285599</v>
      </c>
      <c r="L85" s="1">
        <v>0.39848864000000001</v>
      </c>
      <c r="M85" s="1">
        <v>0.12655437</v>
      </c>
      <c r="N85" s="1">
        <v>0.87344560000000004</v>
      </c>
      <c r="O85" s="1">
        <v>0.11313927</v>
      </c>
      <c r="P85" s="1">
        <v>0.88686069999999995</v>
      </c>
      <c r="Q85" s="4">
        <v>1</v>
      </c>
      <c r="R85" s="6">
        <v>1</v>
      </c>
      <c r="S85" s="6">
        <v>1</v>
      </c>
    </row>
    <row r="86" spans="1:19">
      <c r="A86" s="1">
        <v>1</v>
      </c>
      <c r="B86" s="1" t="s">
        <v>100</v>
      </c>
      <c r="C86" s="1">
        <v>4.7455188000000002E-2</v>
      </c>
      <c r="D86" s="1">
        <v>0.80930670000000005</v>
      </c>
      <c r="E86" s="1">
        <v>0.28820118</v>
      </c>
      <c r="F86" s="1">
        <v>0.75175404999999995</v>
      </c>
      <c r="G86" s="1">
        <v>7.0794109999999993E-2</v>
      </c>
      <c r="H86" s="1">
        <v>0.92920590000000003</v>
      </c>
      <c r="I86" s="1">
        <v>1.4392106E-2</v>
      </c>
      <c r="J86" s="1">
        <v>0.98560786</v>
      </c>
      <c r="K86" s="1">
        <v>0.16764155</v>
      </c>
      <c r="L86" s="1">
        <v>0.22822586</v>
      </c>
      <c r="M86" s="1">
        <v>9.3373336000000001E-2</v>
      </c>
      <c r="N86" s="1">
        <v>0.90662670000000001</v>
      </c>
      <c r="O86" s="1">
        <v>8.6433280000000001E-2</v>
      </c>
      <c r="P86" s="1">
        <v>0.91356669999999995</v>
      </c>
      <c r="Q86" s="4">
        <v>1</v>
      </c>
      <c r="R86" s="6">
        <v>1</v>
      </c>
      <c r="S86" s="6">
        <v>1</v>
      </c>
    </row>
    <row r="87" spans="1:19">
      <c r="A87" s="1">
        <v>1</v>
      </c>
      <c r="B87" s="1" t="s">
        <v>101</v>
      </c>
      <c r="C87" s="1">
        <v>2.8737502000000002E-2</v>
      </c>
      <c r="D87" s="1">
        <v>0.82313800000000004</v>
      </c>
      <c r="E87" s="1">
        <v>7.6490210000000003E-2</v>
      </c>
      <c r="F87" s="1">
        <v>0.78506047000000001</v>
      </c>
      <c r="G87" s="1">
        <v>3.3205396000000002E-3</v>
      </c>
      <c r="H87" s="1">
        <v>0.99667939999999999</v>
      </c>
      <c r="I87" s="1">
        <v>1.9784678E-2</v>
      </c>
      <c r="J87" s="1">
        <v>0.98021530000000001</v>
      </c>
      <c r="K87" s="1">
        <v>0.119127646</v>
      </c>
      <c r="L87" s="1">
        <v>0.37094840000000001</v>
      </c>
      <c r="M87" s="1">
        <v>0.45828511999999999</v>
      </c>
      <c r="N87" s="1">
        <v>0.54171484999999997</v>
      </c>
      <c r="O87" s="1">
        <v>0.44907835000000002</v>
      </c>
      <c r="P87" s="1">
        <v>0.55092169999999996</v>
      </c>
      <c r="Q87" s="4">
        <v>0</v>
      </c>
      <c r="R87" s="6">
        <v>1</v>
      </c>
      <c r="S87" s="6">
        <v>1</v>
      </c>
    </row>
    <row r="88" spans="1:19">
      <c r="A88" s="1">
        <v>1</v>
      </c>
      <c r="B88" s="1" t="s">
        <v>102</v>
      </c>
      <c r="C88" s="1">
        <v>0.10454091</v>
      </c>
      <c r="D88" s="1">
        <v>0.74561535999999995</v>
      </c>
      <c r="E88" s="1">
        <v>0.14534860999999999</v>
      </c>
      <c r="F88" s="1">
        <v>0.76260287000000004</v>
      </c>
      <c r="G88" s="1">
        <v>1.2100339999999999E-2</v>
      </c>
      <c r="H88" s="1">
        <v>0.98789970000000005</v>
      </c>
      <c r="I88" s="1">
        <v>1.5190606E-3</v>
      </c>
      <c r="J88" s="1">
        <v>0.99848099999999995</v>
      </c>
      <c r="K88" s="1">
        <v>2.0218397999999999E-2</v>
      </c>
      <c r="L88" s="1">
        <v>0.44632840000000001</v>
      </c>
      <c r="M88" s="1">
        <v>7.7903464000000006E-2</v>
      </c>
      <c r="N88" s="1">
        <v>0.92209649999999999</v>
      </c>
      <c r="O88" s="1">
        <v>7.5629840000000004E-2</v>
      </c>
      <c r="P88" s="1">
        <v>0.92437009999999997</v>
      </c>
      <c r="Q88" s="4">
        <v>1</v>
      </c>
      <c r="R88" s="6">
        <v>1</v>
      </c>
      <c r="S88" s="6">
        <v>1</v>
      </c>
    </row>
    <row r="89" spans="1:19">
      <c r="A89" s="1">
        <v>1</v>
      </c>
      <c r="B89" s="1" t="s">
        <v>103</v>
      </c>
      <c r="C89" s="1">
        <v>1.8125674000000001E-2</v>
      </c>
      <c r="D89" s="1">
        <v>0.81691800000000003</v>
      </c>
      <c r="E89" s="1">
        <v>9.0903974999999998E-2</v>
      </c>
      <c r="F89" s="1">
        <v>0.77508867000000004</v>
      </c>
      <c r="G89" s="1">
        <v>8.9468294999999996E-3</v>
      </c>
      <c r="H89" s="1">
        <v>0.99105315999999999</v>
      </c>
      <c r="I89" s="1">
        <v>1.2873502999999999E-3</v>
      </c>
      <c r="J89" s="1">
        <v>0.99871266000000003</v>
      </c>
      <c r="K89" s="1">
        <v>7.1796879999999993E-2</v>
      </c>
      <c r="L89" s="1">
        <v>0.33012688000000001</v>
      </c>
      <c r="M89" s="1">
        <v>0.21894938999999999</v>
      </c>
      <c r="N89" s="1">
        <v>0.78105055999999995</v>
      </c>
      <c r="O89" s="1">
        <v>0.30619317000000001</v>
      </c>
      <c r="P89" s="1">
        <v>0.6938069</v>
      </c>
      <c r="Q89" s="4">
        <v>1</v>
      </c>
      <c r="R89" s="11">
        <v>1</v>
      </c>
      <c r="S89" s="6">
        <v>1</v>
      </c>
    </row>
    <row r="90" spans="1:19">
      <c r="A90" s="1">
        <v>1</v>
      </c>
      <c r="B90" s="1" t="s">
        <v>104</v>
      </c>
      <c r="C90" s="1">
        <v>8.9238400000000006E-3</v>
      </c>
      <c r="D90" s="1">
        <v>0.80140513000000002</v>
      </c>
      <c r="E90" s="1">
        <v>0.47437600000000002</v>
      </c>
      <c r="F90" s="1">
        <v>0.70931416999999997</v>
      </c>
      <c r="G90" s="1">
        <v>0.28406664999999998</v>
      </c>
      <c r="H90" s="1">
        <v>0.71593329999999999</v>
      </c>
      <c r="I90" s="1">
        <v>2.9931774000000002E-3</v>
      </c>
      <c r="J90" s="1">
        <v>0.99700683000000001</v>
      </c>
      <c r="K90" s="1">
        <v>7.4347209999999997E-2</v>
      </c>
      <c r="L90" s="1">
        <v>0.23464758999999999</v>
      </c>
      <c r="M90" s="1">
        <v>6.1175354000000001E-2</v>
      </c>
      <c r="N90" s="1">
        <v>0.93882460000000001</v>
      </c>
      <c r="O90" s="1">
        <v>0.10407024600000001</v>
      </c>
      <c r="P90" s="1">
        <v>0.89592974999999997</v>
      </c>
      <c r="Q90" s="4">
        <v>1</v>
      </c>
      <c r="R90" s="6">
        <v>1</v>
      </c>
      <c r="S90" s="6">
        <v>1</v>
      </c>
    </row>
    <row r="91" spans="1:19">
      <c r="A91" s="1">
        <v>1</v>
      </c>
      <c r="B91" s="1" t="s">
        <v>105</v>
      </c>
      <c r="C91" s="1">
        <v>0.51220010000000005</v>
      </c>
      <c r="D91" s="1">
        <v>0.63904070000000002</v>
      </c>
      <c r="E91" s="1">
        <v>0.41267263999999998</v>
      </c>
      <c r="F91" s="1">
        <v>0.70984139999999996</v>
      </c>
      <c r="G91" s="1">
        <v>0.26349070000000002</v>
      </c>
      <c r="H91" s="1">
        <v>0.73650926000000005</v>
      </c>
      <c r="I91" s="1">
        <v>0.2032225</v>
      </c>
      <c r="J91" s="1">
        <v>0.79677750000000003</v>
      </c>
      <c r="K91" s="1">
        <v>0.30192432000000002</v>
      </c>
      <c r="L91" s="1">
        <v>0.26240629999999998</v>
      </c>
      <c r="M91" s="1">
        <v>0.46441513000000001</v>
      </c>
      <c r="N91" s="1">
        <v>0.53558486999999999</v>
      </c>
      <c r="O91" s="1">
        <v>0.36594808000000001</v>
      </c>
      <c r="P91" s="1">
        <v>0.6340519</v>
      </c>
      <c r="Q91" s="4">
        <v>1</v>
      </c>
      <c r="R91" s="6">
        <v>1</v>
      </c>
      <c r="S91" s="6">
        <v>1</v>
      </c>
    </row>
    <row r="92" spans="1:19">
      <c r="A92" s="1">
        <v>1</v>
      </c>
      <c r="B92" s="1" t="s">
        <v>106</v>
      </c>
      <c r="C92" s="1">
        <v>0.80475099999999999</v>
      </c>
      <c r="D92" s="1">
        <v>6.1847630000000001E-2</v>
      </c>
      <c r="E92" s="1">
        <v>0.79201823000000005</v>
      </c>
      <c r="F92" s="1">
        <v>0.15198210000000001</v>
      </c>
      <c r="G92" s="1">
        <v>0.91355883999999998</v>
      </c>
      <c r="H92" s="1">
        <v>8.6441199999999996E-2</v>
      </c>
      <c r="I92" s="1">
        <v>0.93033120000000002</v>
      </c>
      <c r="J92" s="1">
        <v>6.9668910000000001E-2</v>
      </c>
      <c r="K92" s="1">
        <v>5.4796945E-2</v>
      </c>
      <c r="L92" s="1">
        <v>0.27056520000000001</v>
      </c>
      <c r="M92" s="1">
        <v>0.70045690000000005</v>
      </c>
      <c r="N92" s="1">
        <v>0.29954308000000002</v>
      </c>
      <c r="O92" s="1">
        <v>0.88888025000000004</v>
      </c>
      <c r="P92" s="1">
        <v>0.11111983</v>
      </c>
      <c r="Q92" s="4">
        <v>0</v>
      </c>
      <c r="R92" s="6">
        <v>1</v>
      </c>
      <c r="S92" s="6">
        <v>1</v>
      </c>
    </row>
    <row r="93" spans="1:19">
      <c r="A93" s="1">
        <v>1</v>
      </c>
      <c r="B93" s="1" t="s">
        <v>107</v>
      </c>
      <c r="C93" s="1">
        <v>1.5442569E-2</v>
      </c>
      <c r="D93" s="1">
        <v>0.81115632999999998</v>
      </c>
      <c r="E93" s="1">
        <v>0.10172592</v>
      </c>
      <c r="F93" s="1">
        <v>0.78131764999999997</v>
      </c>
      <c r="G93" s="1">
        <v>5.3382604000000002E-3</v>
      </c>
      <c r="H93" s="1">
        <v>0.99466175000000001</v>
      </c>
      <c r="I93" s="1">
        <v>1.6509205999999999E-3</v>
      </c>
      <c r="J93" s="1">
        <v>0.99834909999999999</v>
      </c>
      <c r="K93" s="1">
        <v>0.10278608</v>
      </c>
      <c r="L93" s="1">
        <v>0.37418547000000002</v>
      </c>
      <c r="M93" s="1">
        <v>0.14276159999999999</v>
      </c>
      <c r="N93" s="1">
        <v>0.85723835000000004</v>
      </c>
      <c r="O93" s="1">
        <v>0.10174008499999999</v>
      </c>
      <c r="P93" s="1">
        <v>0.89825993999999998</v>
      </c>
      <c r="Q93" s="4">
        <v>1</v>
      </c>
      <c r="R93" s="6">
        <v>1</v>
      </c>
      <c r="S93" s="6">
        <v>1</v>
      </c>
    </row>
    <row r="94" spans="1:19">
      <c r="A94" s="1">
        <v>1</v>
      </c>
      <c r="B94" s="1" t="s">
        <v>108</v>
      </c>
      <c r="C94" s="1">
        <v>1.0320931E-2</v>
      </c>
      <c r="D94" s="1">
        <v>0.79798760000000002</v>
      </c>
      <c r="E94" s="1">
        <v>0.19076272999999999</v>
      </c>
      <c r="F94" s="1">
        <v>0.75609289999999996</v>
      </c>
      <c r="G94" s="1">
        <v>2.2274922999999999E-2</v>
      </c>
      <c r="H94" s="1">
        <v>0.97772499999999996</v>
      </c>
      <c r="I94" s="1">
        <v>2.2149612999999999E-2</v>
      </c>
      <c r="J94" s="1">
        <v>0.97785040000000001</v>
      </c>
      <c r="K94" s="1">
        <v>0.17297870000000001</v>
      </c>
      <c r="L94" s="1">
        <v>0.40527489999999999</v>
      </c>
      <c r="M94" s="1">
        <v>0.22270748000000001</v>
      </c>
      <c r="N94" s="1">
        <v>0.77729254999999997</v>
      </c>
      <c r="O94" s="1">
        <v>0.41339648000000001</v>
      </c>
      <c r="P94" s="1">
        <v>0.5866036</v>
      </c>
      <c r="Q94" s="4">
        <v>0</v>
      </c>
      <c r="R94" s="6">
        <v>1</v>
      </c>
      <c r="S94" s="6">
        <v>1</v>
      </c>
    </row>
    <row r="95" spans="1:19">
      <c r="A95" s="1">
        <v>1</v>
      </c>
      <c r="B95" s="1" t="s">
        <v>109</v>
      </c>
      <c r="C95" s="1">
        <v>0.78248189999999995</v>
      </c>
      <c r="D95" s="1">
        <v>4.0407155E-2</v>
      </c>
      <c r="E95" s="1">
        <v>0.76426274000000005</v>
      </c>
      <c r="F95" s="1">
        <v>0.20514497000000001</v>
      </c>
      <c r="G95" s="1">
        <v>0.99375570000000002</v>
      </c>
      <c r="H95" s="1">
        <v>6.2442469999999996E-3</v>
      </c>
      <c r="I95" s="1">
        <v>0.98639005000000002</v>
      </c>
      <c r="J95" s="1">
        <v>1.36099225E-2</v>
      </c>
      <c r="K95" s="1">
        <v>0.26294901999999998</v>
      </c>
      <c r="L95" s="1">
        <v>0.23164114</v>
      </c>
      <c r="M95" s="1">
        <v>0.36149287000000002</v>
      </c>
      <c r="N95" s="1">
        <v>0.63850709999999999</v>
      </c>
      <c r="O95" s="1">
        <v>0.81496199999999996</v>
      </c>
      <c r="P95" s="1">
        <v>0.18503794000000001</v>
      </c>
      <c r="Q95" s="4">
        <v>1</v>
      </c>
      <c r="R95" s="6">
        <v>1</v>
      </c>
      <c r="S95" s="6">
        <v>1</v>
      </c>
    </row>
    <row r="96" spans="1:19">
      <c r="A96" s="7">
        <v>1</v>
      </c>
      <c r="B96" s="7" t="s">
        <v>110</v>
      </c>
      <c r="C96" s="7">
        <v>0.72177100000000005</v>
      </c>
      <c r="D96" s="7">
        <v>0.34206665000000003</v>
      </c>
      <c r="E96" s="7">
        <v>0.54415714999999998</v>
      </c>
      <c r="F96" s="7">
        <v>0.69417834</v>
      </c>
      <c r="G96" s="7">
        <v>0.32350563999999998</v>
      </c>
      <c r="H96" s="7">
        <v>0.67649435999999996</v>
      </c>
      <c r="I96" s="7">
        <v>0.51619649999999995</v>
      </c>
      <c r="J96" s="7">
        <v>0.4838035</v>
      </c>
      <c r="K96" s="7">
        <v>0.26712449999999999</v>
      </c>
      <c r="L96" s="7">
        <v>7.0365349999999993E-2</v>
      </c>
      <c r="M96" s="7">
        <v>0.64751130000000001</v>
      </c>
      <c r="N96" s="7">
        <v>0.35248869999999999</v>
      </c>
      <c r="O96" s="7">
        <v>0.57498890000000002</v>
      </c>
      <c r="P96" s="7">
        <v>0.42501109999999998</v>
      </c>
      <c r="Q96" s="8">
        <v>1</v>
      </c>
      <c r="R96" s="9">
        <v>0</v>
      </c>
      <c r="S96" s="10">
        <v>1</v>
      </c>
    </row>
    <row r="97" spans="1:19">
      <c r="A97" s="1">
        <v>1</v>
      </c>
      <c r="B97" s="1" t="s">
        <v>111</v>
      </c>
      <c r="C97" s="1">
        <v>0.14346500000000001</v>
      </c>
      <c r="D97" s="1">
        <v>0.78305334000000004</v>
      </c>
      <c r="E97" s="1">
        <v>0.37112825999999999</v>
      </c>
      <c r="F97" s="1">
        <v>0.72638385999999999</v>
      </c>
      <c r="G97" s="1">
        <v>7.7877626000000005E-2</v>
      </c>
      <c r="H97" s="1">
        <v>0.92212236000000003</v>
      </c>
      <c r="I97" s="1">
        <v>4.5983817000000003E-2</v>
      </c>
      <c r="J97" s="1">
        <v>0.95401619999999998</v>
      </c>
      <c r="K97" s="1">
        <v>6.3589809999999997E-2</v>
      </c>
      <c r="L97" s="1">
        <v>0.30478364000000002</v>
      </c>
      <c r="M97" s="1">
        <v>0.20187679</v>
      </c>
      <c r="N97" s="1">
        <v>0.79812324000000001</v>
      </c>
      <c r="O97" s="1">
        <v>0.15898393</v>
      </c>
      <c r="P97" s="1">
        <v>0.84101605000000001</v>
      </c>
      <c r="Q97" s="4">
        <v>1</v>
      </c>
      <c r="R97" s="6">
        <v>1</v>
      </c>
      <c r="S97" s="6">
        <v>1</v>
      </c>
    </row>
    <row r="99" spans="1:19">
      <c r="A99" s="1" t="s">
        <v>112</v>
      </c>
    </row>
    <row r="100" spans="1:19">
      <c r="A100" s="1">
        <v>0</v>
      </c>
      <c r="B100" s="1" t="s">
        <v>113</v>
      </c>
      <c r="C100" s="1">
        <v>0.69477635999999998</v>
      </c>
      <c r="D100" s="1">
        <v>0.50141349999999996</v>
      </c>
      <c r="E100" s="1">
        <v>0.70577420000000002</v>
      </c>
      <c r="F100" s="1">
        <v>0.37800889999999998</v>
      </c>
      <c r="G100" s="1">
        <v>0.77562850000000005</v>
      </c>
      <c r="H100" s="1">
        <v>0.22437145999999999</v>
      </c>
      <c r="I100" s="1">
        <v>0.72089040000000004</v>
      </c>
      <c r="J100" s="1">
        <v>0.27910963</v>
      </c>
      <c r="K100" s="1">
        <v>0.17860052000000001</v>
      </c>
      <c r="L100" s="1">
        <v>0.24872810000000001</v>
      </c>
      <c r="M100" s="1">
        <v>0.67272555999999994</v>
      </c>
      <c r="N100" s="1">
        <v>0.32727437999999998</v>
      </c>
      <c r="O100" s="1">
        <v>0.74882479999999996</v>
      </c>
      <c r="P100" s="1">
        <v>0.25117521999999998</v>
      </c>
      <c r="Q100" s="4">
        <v>1</v>
      </c>
      <c r="R100" s="13">
        <v>0</v>
      </c>
      <c r="S100" s="14">
        <v>0</v>
      </c>
    </row>
    <row r="101" spans="1:19">
      <c r="A101" s="1">
        <v>0</v>
      </c>
      <c r="B101" s="1" t="s">
        <v>114</v>
      </c>
      <c r="C101" s="1">
        <v>0.800118</v>
      </c>
      <c r="D101" s="1">
        <v>6.7209599999999994E-2</v>
      </c>
      <c r="E101" s="1">
        <v>0.75107955999999998</v>
      </c>
      <c r="F101" s="1">
        <v>0.2050043</v>
      </c>
      <c r="G101" s="1">
        <v>0.95287230000000001</v>
      </c>
      <c r="H101" s="1">
        <v>4.7127698000000003E-2</v>
      </c>
      <c r="I101" s="1">
        <v>0.87147459999999999</v>
      </c>
      <c r="J101" s="1">
        <v>0.12852540000000001</v>
      </c>
      <c r="K101" s="1">
        <v>0.30462032999999999</v>
      </c>
      <c r="L101" s="1">
        <v>0.13793301999999999</v>
      </c>
      <c r="M101" s="1">
        <v>0.50069620000000004</v>
      </c>
      <c r="N101" s="1">
        <v>0.49930384999999999</v>
      </c>
      <c r="O101" s="1">
        <v>0.50359184000000001</v>
      </c>
      <c r="P101" s="1">
        <v>0.49640815999999999</v>
      </c>
      <c r="Q101" s="4">
        <v>1</v>
      </c>
      <c r="R101" s="14">
        <v>1</v>
      </c>
      <c r="S101" s="14">
        <v>0</v>
      </c>
    </row>
    <row r="102" spans="1:19">
      <c r="A102" s="1">
        <v>0</v>
      </c>
      <c r="B102" s="1" t="s">
        <v>115</v>
      </c>
      <c r="C102" s="1">
        <v>0.41107363000000002</v>
      </c>
      <c r="D102" s="1">
        <v>0.74536455000000001</v>
      </c>
      <c r="E102" s="1">
        <v>0.58597779999999999</v>
      </c>
      <c r="F102" s="1">
        <v>0.69869334000000005</v>
      </c>
      <c r="G102" s="1">
        <v>0.37317984999999998</v>
      </c>
      <c r="H102" s="1">
        <v>0.62682020000000005</v>
      </c>
      <c r="I102" s="1">
        <v>0.17452287999999999</v>
      </c>
      <c r="J102" s="1">
        <v>0.82547705999999998</v>
      </c>
      <c r="K102" s="1">
        <v>8.7737105999999995E-2</v>
      </c>
      <c r="L102" s="1">
        <v>0.39887968000000001</v>
      </c>
      <c r="M102" s="1">
        <v>0.11123363999999999</v>
      </c>
      <c r="N102" s="1">
        <v>0.88876635000000004</v>
      </c>
      <c r="O102" s="1">
        <v>0.50067119999999998</v>
      </c>
      <c r="P102" s="1">
        <v>0.49932880000000002</v>
      </c>
      <c r="Q102" s="4">
        <v>1</v>
      </c>
      <c r="R102" s="14">
        <v>1</v>
      </c>
      <c r="S102" s="14">
        <v>1</v>
      </c>
    </row>
    <row r="103" spans="1:19">
      <c r="A103" s="1">
        <v>0</v>
      </c>
      <c r="B103" s="1" t="s">
        <v>116</v>
      </c>
      <c r="C103" s="1">
        <v>0.79725312999999998</v>
      </c>
      <c r="D103" s="1">
        <v>0.11151026999999999</v>
      </c>
      <c r="E103" s="1">
        <v>0.74338709999999997</v>
      </c>
      <c r="F103" s="1">
        <v>0.35493330000000001</v>
      </c>
      <c r="G103" s="1">
        <v>0.88578825999999999</v>
      </c>
      <c r="H103" s="1">
        <v>0.11421169</v>
      </c>
      <c r="I103" s="1">
        <v>0.92561360000000004</v>
      </c>
      <c r="J103" s="1">
        <v>7.4386450000000007E-2</v>
      </c>
      <c r="K103" s="1">
        <v>0.26733755999999997</v>
      </c>
      <c r="L103" s="1">
        <v>0.12839133</v>
      </c>
      <c r="M103" s="1">
        <v>0.57995622999999996</v>
      </c>
      <c r="N103" s="1">
        <v>0.42004376999999998</v>
      </c>
      <c r="O103" s="1">
        <v>0.83180624000000003</v>
      </c>
      <c r="P103" s="1">
        <v>0.16819373000000001</v>
      </c>
      <c r="Q103" s="4">
        <v>1</v>
      </c>
      <c r="R103" s="14">
        <v>1</v>
      </c>
      <c r="S103" s="14">
        <v>1</v>
      </c>
    </row>
    <row r="104" spans="1:19">
      <c r="A104" s="1">
        <v>0</v>
      </c>
      <c r="B104" s="1" t="s">
        <v>117</v>
      </c>
      <c r="C104" s="1">
        <v>0.53734523000000001</v>
      </c>
      <c r="D104" s="1">
        <v>0.65086679999999997</v>
      </c>
      <c r="E104" s="1">
        <v>0.39255213999999999</v>
      </c>
      <c r="F104" s="1">
        <v>0.67495939999999999</v>
      </c>
      <c r="G104" s="1">
        <v>0.30978566000000002</v>
      </c>
      <c r="H104" s="1">
        <v>0.69021434000000004</v>
      </c>
      <c r="I104" s="1">
        <v>0.28712332000000002</v>
      </c>
      <c r="J104" s="1">
        <v>0.71287670000000003</v>
      </c>
      <c r="K104" s="1">
        <v>4.8267495000000001E-2</v>
      </c>
      <c r="L104" s="1">
        <v>0.42695865</v>
      </c>
      <c r="M104" s="1">
        <v>0.12594250000000001</v>
      </c>
      <c r="N104" s="1">
        <v>0.87405752999999997</v>
      </c>
      <c r="O104" s="1">
        <v>0.22265439000000001</v>
      </c>
      <c r="P104" s="1">
        <v>0.77734554</v>
      </c>
      <c r="Q104" s="4">
        <v>0</v>
      </c>
      <c r="R104" s="14">
        <v>0</v>
      </c>
      <c r="S104" s="14">
        <v>0</v>
      </c>
    </row>
    <row r="105" spans="1:19">
      <c r="A105" s="1">
        <v>0</v>
      </c>
      <c r="B105" s="1" t="s">
        <v>118</v>
      </c>
      <c r="C105" s="1">
        <v>0.68660650000000001</v>
      </c>
      <c r="D105" s="1">
        <v>0.30102002999999999</v>
      </c>
      <c r="E105" s="1">
        <v>0.59713930000000004</v>
      </c>
      <c r="F105" s="1">
        <v>0.58164749999999998</v>
      </c>
      <c r="G105" s="1">
        <v>0.74413996999999998</v>
      </c>
      <c r="H105" s="1">
        <v>0.25585999999999998</v>
      </c>
      <c r="I105" s="1">
        <v>0.76160399999999995</v>
      </c>
      <c r="J105" s="1">
        <v>0.23839605</v>
      </c>
      <c r="K105" s="1">
        <v>0.31921640000000001</v>
      </c>
      <c r="L105" s="1">
        <v>3.1248232000000001E-2</v>
      </c>
      <c r="M105" s="1">
        <v>0.86002849999999997</v>
      </c>
      <c r="N105" s="1">
        <v>0.13997151999999999</v>
      </c>
      <c r="O105" s="1">
        <v>0.98950994000000003</v>
      </c>
      <c r="P105" s="1">
        <v>1.0490071E-2</v>
      </c>
      <c r="Q105" s="4">
        <v>0</v>
      </c>
      <c r="R105" s="13">
        <v>0</v>
      </c>
      <c r="S105" s="14">
        <v>0</v>
      </c>
    </row>
    <row r="106" spans="1:19">
      <c r="A106" s="1">
        <v>0</v>
      </c>
      <c r="B106" s="1" t="s">
        <v>119</v>
      </c>
      <c r="C106" s="1">
        <v>0.78048413999999999</v>
      </c>
      <c r="D106" s="1">
        <v>0.17124717</v>
      </c>
      <c r="E106" s="1">
        <v>0.78092740000000005</v>
      </c>
      <c r="F106" s="1">
        <v>0.14389900999999999</v>
      </c>
      <c r="G106" s="1">
        <v>0.96926670000000004</v>
      </c>
      <c r="H106" s="1">
        <v>3.0733305999999998E-2</v>
      </c>
      <c r="I106" s="1">
        <v>0.96216440000000003</v>
      </c>
      <c r="J106" s="1">
        <v>3.7835639999999997E-2</v>
      </c>
      <c r="K106" s="1">
        <v>0.34617589999999998</v>
      </c>
      <c r="L106" s="1">
        <v>4.2395863999999998E-2</v>
      </c>
      <c r="M106" s="1">
        <v>0.67317503999999995</v>
      </c>
      <c r="N106" s="1">
        <v>0.32682489999999997</v>
      </c>
      <c r="O106" s="1">
        <v>0.90279657000000002</v>
      </c>
      <c r="P106" s="1">
        <v>9.7203440000000002E-2</v>
      </c>
      <c r="Q106" s="4">
        <v>0</v>
      </c>
      <c r="R106" s="13">
        <v>0</v>
      </c>
      <c r="S106" s="14">
        <v>0</v>
      </c>
    </row>
    <row r="107" spans="1:19">
      <c r="A107" s="1">
        <v>0</v>
      </c>
      <c r="B107" s="1" t="s">
        <v>120</v>
      </c>
      <c r="C107" s="1">
        <v>0.80941909999999995</v>
      </c>
      <c r="D107" s="1">
        <v>7.4254130000000002E-2</v>
      </c>
      <c r="E107" s="1">
        <v>0.74452110000000005</v>
      </c>
      <c r="F107" s="1">
        <v>0.37270078000000001</v>
      </c>
      <c r="G107" s="1">
        <v>0.77970919999999999</v>
      </c>
      <c r="H107" s="1">
        <v>0.22029080000000001</v>
      </c>
      <c r="I107" s="1">
        <v>0.87284773999999998</v>
      </c>
      <c r="J107" s="1">
        <v>0.12715222000000001</v>
      </c>
      <c r="K107" s="1">
        <v>0.39608189999999999</v>
      </c>
      <c r="L107" s="1">
        <v>1.9430457000000002E-2</v>
      </c>
      <c r="M107" s="1">
        <v>0.61306786999999996</v>
      </c>
      <c r="N107" s="1">
        <v>0.38693212999999999</v>
      </c>
      <c r="O107" s="1">
        <v>0.90592269999999997</v>
      </c>
      <c r="P107" s="1">
        <v>9.4077229999999998E-2</v>
      </c>
      <c r="Q107" s="4">
        <v>0</v>
      </c>
      <c r="R107" s="13">
        <v>0</v>
      </c>
      <c r="S107" s="14">
        <v>0</v>
      </c>
    </row>
    <row r="108" spans="1:19">
      <c r="A108" s="1">
        <v>0</v>
      </c>
      <c r="B108" s="1" t="s">
        <v>121</v>
      </c>
      <c r="C108" s="1">
        <v>0.72850360000000003</v>
      </c>
      <c r="D108" s="1">
        <v>0.41973107999999998</v>
      </c>
      <c r="E108" s="1">
        <v>0.7627022</v>
      </c>
      <c r="F108" s="1">
        <v>0.30231592000000002</v>
      </c>
      <c r="G108" s="1">
        <v>0.83925735999999995</v>
      </c>
      <c r="H108" s="1">
        <v>0.16074268999999999</v>
      </c>
      <c r="I108" s="1">
        <v>0.81918263000000002</v>
      </c>
      <c r="J108" s="1">
        <v>0.18081737000000001</v>
      </c>
      <c r="K108" s="1">
        <v>0.15348134999999999</v>
      </c>
      <c r="L108" s="1">
        <v>0.29935479999999998</v>
      </c>
      <c r="M108" s="1">
        <v>0.52599470000000004</v>
      </c>
      <c r="N108" s="1">
        <v>0.47400530000000002</v>
      </c>
      <c r="O108" s="1">
        <v>0.71761569999999997</v>
      </c>
      <c r="P108" s="1">
        <v>0.28238427999999999</v>
      </c>
      <c r="Q108" s="4">
        <v>0</v>
      </c>
      <c r="R108" s="13">
        <v>0</v>
      </c>
      <c r="S108" s="14">
        <v>0</v>
      </c>
    </row>
    <row r="109" spans="1:19">
      <c r="A109" s="1">
        <v>0</v>
      </c>
      <c r="B109" s="1" t="s">
        <v>122</v>
      </c>
      <c r="C109" s="1">
        <v>0.75588239999999995</v>
      </c>
      <c r="D109" s="1">
        <v>0.19907995000000001</v>
      </c>
      <c r="E109" s="1">
        <v>0.76696277000000002</v>
      </c>
      <c r="F109" s="1">
        <v>0.32096429999999998</v>
      </c>
      <c r="G109" s="1">
        <v>0.83347740000000003</v>
      </c>
      <c r="H109" s="1">
        <v>0.16652259</v>
      </c>
      <c r="I109" s="1">
        <v>0.94278830000000002</v>
      </c>
      <c r="J109" s="1">
        <v>5.7211633999999997E-2</v>
      </c>
      <c r="K109" s="1">
        <v>0.27816004</v>
      </c>
      <c r="L109" s="1">
        <v>0.14908173999999999</v>
      </c>
      <c r="M109" s="1">
        <v>0.57827320000000004</v>
      </c>
      <c r="N109" s="1">
        <v>0.42172675999999998</v>
      </c>
      <c r="O109" s="1">
        <v>0.87047695999999997</v>
      </c>
      <c r="P109" s="1">
        <v>0.12952300999999999</v>
      </c>
      <c r="Q109" s="4">
        <v>0</v>
      </c>
      <c r="R109" s="13">
        <v>0</v>
      </c>
      <c r="S109" s="14">
        <v>0</v>
      </c>
    </row>
    <row r="110" spans="1:19">
      <c r="A110" s="1">
        <v>0</v>
      </c>
      <c r="B110" s="1" t="s">
        <v>123</v>
      </c>
      <c r="C110" s="1">
        <v>0.62868804</v>
      </c>
      <c r="D110" s="1">
        <v>0.58157619999999999</v>
      </c>
      <c r="E110" s="1">
        <v>0.76216430000000002</v>
      </c>
      <c r="F110" s="1">
        <v>0.35371363</v>
      </c>
      <c r="G110" s="1">
        <v>0.79625933999999998</v>
      </c>
      <c r="H110" s="1">
        <v>0.20374064</v>
      </c>
      <c r="I110" s="1">
        <v>0.38593404999999997</v>
      </c>
      <c r="J110" s="1">
        <v>0.614066</v>
      </c>
      <c r="K110" s="1">
        <v>0.10050085</v>
      </c>
      <c r="L110" s="1">
        <v>8.1026100000000004E-2</v>
      </c>
      <c r="M110" s="1">
        <v>0.27028802000000002</v>
      </c>
      <c r="N110" s="1">
        <v>0.72971195</v>
      </c>
      <c r="O110" s="1">
        <v>0.64289134999999997</v>
      </c>
      <c r="P110" s="1">
        <v>0.3571087</v>
      </c>
      <c r="Q110" s="4">
        <v>1</v>
      </c>
      <c r="R110" s="14">
        <v>1</v>
      </c>
      <c r="S110" s="14">
        <v>0</v>
      </c>
    </row>
    <row r="111" spans="1:19">
      <c r="A111" s="1">
        <v>0</v>
      </c>
      <c r="B111" s="1" t="s">
        <v>124</v>
      </c>
      <c r="C111" s="1">
        <v>0.78485870000000002</v>
      </c>
      <c r="D111" s="1">
        <v>0.12788573</v>
      </c>
      <c r="E111" s="1">
        <v>0.76624787000000005</v>
      </c>
      <c r="F111" s="1">
        <v>0.25613051999999997</v>
      </c>
      <c r="G111" s="1">
        <v>0.90771710000000005</v>
      </c>
      <c r="H111" s="1">
        <v>9.2282900000000001E-2</v>
      </c>
      <c r="I111" s="1">
        <v>0.94370969999999998</v>
      </c>
      <c r="J111" s="1">
        <v>5.6290270000000003E-2</v>
      </c>
      <c r="K111" s="1">
        <v>0.27014387000000001</v>
      </c>
      <c r="L111" s="1">
        <v>0.12316436</v>
      </c>
      <c r="M111" s="1">
        <v>0.81149523999999995</v>
      </c>
      <c r="N111" s="1">
        <v>0.18850473000000001</v>
      </c>
      <c r="O111" s="1">
        <v>0.79093619999999998</v>
      </c>
      <c r="P111" s="1">
        <v>0.20906384</v>
      </c>
      <c r="Q111" s="4">
        <v>0</v>
      </c>
      <c r="R111" s="13">
        <v>0</v>
      </c>
      <c r="S111" s="14">
        <v>0</v>
      </c>
    </row>
    <row r="112" spans="1:19">
      <c r="A112" s="1">
        <v>0</v>
      </c>
      <c r="B112" s="1" t="s">
        <v>125</v>
      </c>
      <c r="C112" s="1">
        <v>0.78462019999999999</v>
      </c>
      <c r="D112" s="1">
        <v>0.1759772</v>
      </c>
      <c r="E112" s="1">
        <v>0.78013045000000003</v>
      </c>
      <c r="F112" s="1">
        <v>0.24536253999999999</v>
      </c>
      <c r="G112" s="1">
        <v>0.91774730000000004</v>
      </c>
      <c r="H112" s="1">
        <v>8.2252690000000003E-2</v>
      </c>
      <c r="I112" s="1">
        <v>0.88638216000000003</v>
      </c>
      <c r="J112" s="1">
        <v>0.11361789</v>
      </c>
      <c r="K112" s="1">
        <v>0.22706296000000001</v>
      </c>
      <c r="L112" s="1">
        <v>0.31452691999999999</v>
      </c>
      <c r="M112" s="1">
        <v>0.23161635</v>
      </c>
      <c r="N112" s="1">
        <v>0.7683837</v>
      </c>
      <c r="O112" s="1">
        <v>0.79625990000000002</v>
      </c>
      <c r="P112" s="1">
        <v>0.20374012999999999</v>
      </c>
      <c r="Q112" s="4">
        <v>1</v>
      </c>
      <c r="R112" s="14">
        <v>0</v>
      </c>
      <c r="S112" s="14">
        <v>0</v>
      </c>
    </row>
    <row r="113" spans="1:19">
      <c r="A113" s="1">
        <v>0</v>
      </c>
      <c r="B113" s="1" t="s">
        <v>126</v>
      </c>
      <c r="C113" s="1">
        <v>0.8023323</v>
      </c>
      <c r="D113" s="1">
        <v>9.6056489999999994E-2</v>
      </c>
      <c r="E113" s="1">
        <v>0.78009799999999996</v>
      </c>
      <c r="F113" s="1">
        <v>0.23126996999999999</v>
      </c>
      <c r="G113" s="1">
        <v>0.93631845999999996</v>
      </c>
      <c r="H113" s="1">
        <v>6.3681594999999994E-2</v>
      </c>
      <c r="I113" s="1">
        <v>0.96669620000000001</v>
      </c>
      <c r="J113" s="1">
        <v>3.3303755999999997E-2</v>
      </c>
      <c r="K113" s="1">
        <v>0.30398554</v>
      </c>
      <c r="L113" s="1">
        <v>0.20256509</v>
      </c>
      <c r="M113" s="1">
        <v>0.63529659999999999</v>
      </c>
      <c r="N113" s="1">
        <v>0.36470342</v>
      </c>
      <c r="O113" s="1">
        <v>0.93947530000000001</v>
      </c>
      <c r="P113" s="1">
        <v>6.0524702E-2</v>
      </c>
      <c r="Q113" s="4">
        <v>0</v>
      </c>
      <c r="R113" s="13">
        <v>0</v>
      </c>
      <c r="S113" s="14">
        <v>0</v>
      </c>
    </row>
    <row r="114" spans="1:19">
      <c r="A114" s="1">
        <v>0</v>
      </c>
      <c r="B114" s="1" t="s">
        <v>127</v>
      </c>
      <c r="C114" s="1">
        <v>0.45472976999999998</v>
      </c>
      <c r="D114" s="1">
        <v>0.68826319999999996</v>
      </c>
      <c r="E114" s="1">
        <v>0.54257977000000002</v>
      </c>
      <c r="F114" s="1">
        <v>0.64565234999999999</v>
      </c>
      <c r="G114" s="1">
        <v>0.43882989999999999</v>
      </c>
      <c r="H114" s="1">
        <v>0.56117015999999997</v>
      </c>
      <c r="I114" s="1">
        <v>0.40379208</v>
      </c>
      <c r="J114" s="1">
        <v>0.59620786000000003</v>
      </c>
      <c r="K114" s="1">
        <v>0.15680910000000001</v>
      </c>
      <c r="L114" s="1">
        <v>0.35981864000000002</v>
      </c>
      <c r="M114" s="1">
        <v>0.3026105</v>
      </c>
      <c r="N114" s="1">
        <v>0.6973895</v>
      </c>
      <c r="O114" s="1">
        <v>0.71552914000000001</v>
      </c>
      <c r="P114" s="1">
        <v>0.28447085999999999</v>
      </c>
      <c r="Q114" s="4">
        <v>1</v>
      </c>
      <c r="R114" s="14">
        <v>1</v>
      </c>
      <c r="S114" s="14">
        <v>1</v>
      </c>
    </row>
    <row r="115" spans="1:19">
      <c r="A115" s="1">
        <v>0</v>
      </c>
      <c r="B115" s="1" t="s">
        <v>128</v>
      </c>
      <c r="C115" s="1">
        <v>0.69474596</v>
      </c>
      <c r="D115" s="1">
        <v>0.42694642999999999</v>
      </c>
      <c r="E115" s="1">
        <v>0.73440945000000002</v>
      </c>
      <c r="F115" s="1">
        <v>0.38384578000000003</v>
      </c>
      <c r="G115" s="1">
        <v>0.65482240000000003</v>
      </c>
      <c r="H115" s="1">
        <v>0.34517755999999999</v>
      </c>
      <c r="I115" s="1">
        <v>0.84411764</v>
      </c>
      <c r="J115" s="1">
        <v>0.15588236999999999</v>
      </c>
      <c r="K115" s="1">
        <v>0.11980995999999999</v>
      </c>
      <c r="L115" s="1">
        <v>6.9127229999999998E-2</v>
      </c>
      <c r="M115" s="1">
        <v>0.38280570000000003</v>
      </c>
      <c r="N115" s="1">
        <v>0.61719429999999997</v>
      </c>
      <c r="O115" s="1">
        <v>0.73792504999999997</v>
      </c>
      <c r="P115" s="1">
        <v>0.26207491999999999</v>
      </c>
      <c r="Q115" s="4">
        <v>0</v>
      </c>
      <c r="R115" s="13">
        <v>0</v>
      </c>
      <c r="S115" s="14">
        <v>0</v>
      </c>
    </row>
    <row r="116" spans="1:19">
      <c r="A116" s="1">
        <v>0</v>
      </c>
      <c r="B116" s="1" t="s">
        <v>129</v>
      </c>
      <c r="C116" s="1">
        <v>0.60176647000000005</v>
      </c>
      <c r="D116" s="1">
        <v>0.56168085000000001</v>
      </c>
      <c r="E116" s="1">
        <v>0.72445570000000004</v>
      </c>
      <c r="F116" s="1">
        <v>0.42990499999999998</v>
      </c>
      <c r="G116" s="1">
        <v>0.73551699999999998</v>
      </c>
      <c r="H116" s="1">
        <v>0.26448297999999998</v>
      </c>
      <c r="I116" s="1">
        <v>0.55854344</v>
      </c>
      <c r="J116" s="1">
        <v>0.44145656</v>
      </c>
      <c r="K116" s="1">
        <v>0.15678713</v>
      </c>
      <c r="L116" s="1">
        <v>0.26186981999999998</v>
      </c>
      <c r="M116" s="1">
        <v>0.17773022999999999</v>
      </c>
      <c r="N116" s="1">
        <v>0.82226980000000005</v>
      </c>
      <c r="O116" s="1">
        <v>0.1814847</v>
      </c>
      <c r="P116" s="1">
        <v>0.81851529999999995</v>
      </c>
      <c r="Q116" s="4">
        <v>0</v>
      </c>
      <c r="R116" s="13">
        <v>0</v>
      </c>
      <c r="S116" s="14">
        <v>0</v>
      </c>
    </row>
    <row r="117" spans="1:19">
      <c r="A117" s="1">
        <v>0</v>
      </c>
      <c r="B117" s="1" t="s">
        <v>130</v>
      </c>
      <c r="C117" s="1">
        <v>0.79889399999999999</v>
      </c>
      <c r="D117" s="1">
        <v>4.6942227000000003E-2</v>
      </c>
      <c r="E117" s="1">
        <v>0.75082314000000006</v>
      </c>
      <c r="F117" s="1">
        <v>0.30322044999999997</v>
      </c>
      <c r="G117" s="1">
        <v>0.71425974000000003</v>
      </c>
      <c r="H117" s="1">
        <v>0.2857403</v>
      </c>
      <c r="I117" s="1">
        <v>0.94881742999999996</v>
      </c>
      <c r="J117" s="1">
        <v>5.1182576E-2</v>
      </c>
      <c r="K117" s="1">
        <v>0.39368366999999999</v>
      </c>
      <c r="L117" s="1">
        <v>2.8040447999999999E-2</v>
      </c>
      <c r="M117" s="1">
        <v>0.74476355000000005</v>
      </c>
      <c r="N117" s="1">
        <v>0.25523645</v>
      </c>
      <c r="O117" s="1">
        <v>0.88825697000000003</v>
      </c>
      <c r="P117" s="1">
        <v>0.11174307</v>
      </c>
      <c r="Q117" s="4">
        <v>0</v>
      </c>
      <c r="R117" s="13">
        <v>0</v>
      </c>
      <c r="S117" s="14">
        <v>0</v>
      </c>
    </row>
    <row r="118" spans="1:19">
      <c r="A118" s="1">
        <v>0</v>
      </c>
      <c r="B118" s="1" t="s">
        <v>131</v>
      </c>
      <c r="C118" s="1">
        <v>0.73698439999999998</v>
      </c>
      <c r="D118" s="1">
        <v>0.25355833999999999</v>
      </c>
      <c r="E118" s="1">
        <v>0.76357830000000004</v>
      </c>
      <c r="F118" s="1">
        <v>0.29469165000000003</v>
      </c>
      <c r="G118" s="1">
        <v>0.72654759999999996</v>
      </c>
      <c r="H118" s="1">
        <v>0.27345246000000001</v>
      </c>
      <c r="I118" s="1">
        <v>0.61347204</v>
      </c>
      <c r="J118" s="1">
        <v>0.38652802000000003</v>
      </c>
      <c r="K118" s="1">
        <v>0.21659084000000001</v>
      </c>
      <c r="L118" s="1">
        <v>4.9585341999999998E-2</v>
      </c>
      <c r="M118" s="1">
        <v>0.52930509999999997</v>
      </c>
      <c r="N118" s="1">
        <v>0.47069493000000001</v>
      </c>
      <c r="O118" s="1">
        <v>0.69311929999999999</v>
      </c>
      <c r="P118" s="1">
        <v>0.30688070000000001</v>
      </c>
      <c r="Q118" s="4">
        <v>1</v>
      </c>
      <c r="R118" s="13">
        <v>0</v>
      </c>
      <c r="S118" s="14">
        <v>0</v>
      </c>
    </row>
    <row r="119" spans="1:19">
      <c r="A119" s="1">
        <v>0</v>
      </c>
      <c r="B119" s="1" t="s">
        <v>132</v>
      </c>
      <c r="C119" s="1">
        <v>0.79565269999999999</v>
      </c>
      <c r="D119" s="1">
        <v>5.8321584000000003E-2</v>
      </c>
      <c r="E119" s="1">
        <v>0.77625763000000003</v>
      </c>
      <c r="F119" s="1">
        <v>0.22697595000000001</v>
      </c>
      <c r="G119" s="1">
        <v>0.95636920000000003</v>
      </c>
      <c r="H119" s="1">
        <v>4.3630750000000003E-2</v>
      </c>
      <c r="I119" s="1">
        <v>0.99417924999999996</v>
      </c>
      <c r="J119" s="1">
        <v>5.8207236999999997E-3</v>
      </c>
      <c r="K119" s="1">
        <v>0.28112503999999999</v>
      </c>
      <c r="L119" s="1">
        <v>1.8897687999999999E-2</v>
      </c>
      <c r="M119" s="1">
        <v>0.88133424999999999</v>
      </c>
      <c r="N119" s="1">
        <v>0.11866570999999999</v>
      </c>
      <c r="O119" s="1">
        <v>0.99299603999999997</v>
      </c>
      <c r="P119" s="1">
        <v>7.0039773999999999E-3</v>
      </c>
      <c r="Q119" s="4">
        <v>0</v>
      </c>
      <c r="R119" s="13">
        <v>0</v>
      </c>
      <c r="S119" s="14">
        <v>0</v>
      </c>
    </row>
    <row r="120" spans="1:19">
      <c r="A120" s="1">
        <v>0</v>
      </c>
      <c r="B120" s="1" t="s">
        <v>133</v>
      </c>
      <c r="C120" s="1">
        <v>0.53630860000000002</v>
      </c>
      <c r="D120" s="1">
        <v>0.61265979999999998</v>
      </c>
      <c r="E120" s="1">
        <v>0.43651855000000001</v>
      </c>
      <c r="F120" s="1">
        <v>0.71400580000000002</v>
      </c>
      <c r="G120" s="1">
        <v>0.15623503999999999</v>
      </c>
      <c r="H120" s="1">
        <v>0.84376490000000004</v>
      </c>
      <c r="I120" s="1">
        <v>0.45129064000000002</v>
      </c>
      <c r="J120" s="1">
        <v>0.54870940000000001</v>
      </c>
      <c r="K120" s="1">
        <v>0.10902342</v>
      </c>
      <c r="L120" s="1">
        <v>0.32116603999999999</v>
      </c>
      <c r="M120" s="1">
        <v>7.6491030000000002E-2</v>
      </c>
      <c r="N120" s="1">
        <v>0.92350900000000002</v>
      </c>
      <c r="O120" s="1">
        <v>0.26891965000000001</v>
      </c>
      <c r="P120" s="1">
        <v>0.73108035000000005</v>
      </c>
      <c r="Q120" s="4">
        <v>0</v>
      </c>
      <c r="R120" s="14">
        <v>0</v>
      </c>
      <c r="S120" s="14">
        <v>0</v>
      </c>
    </row>
    <row r="121" spans="1:19">
      <c r="A121" s="1">
        <v>0</v>
      </c>
      <c r="B121" s="1" t="s">
        <v>134</v>
      </c>
      <c r="C121" s="1">
        <v>0.50729864999999996</v>
      </c>
      <c r="D121" s="1">
        <v>0.66008884000000001</v>
      </c>
      <c r="E121" s="1">
        <v>0.54157096000000005</v>
      </c>
      <c r="F121" s="1">
        <v>0.65486056000000004</v>
      </c>
      <c r="G121" s="1">
        <v>0.39816869999999999</v>
      </c>
      <c r="H121" s="1">
        <v>0.60183129999999996</v>
      </c>
      <c r="I121" s="1">
        <v>0.35741106</v>
      </c>
      <c r="J121" s="1">
        <v>0.64258899999999997</v>
      </c>
      <c r="K121" s="1">
        <v>0.10685935000000001</v>
      </c>
      <c r="L121" s="1">
        <v>0.28288594</v>
      </c>
      <c r="M121" s="1">
        <v>0.44122099999999997</v>
      </c>
      <c r="N121" s="1">
        <v>0.55877900000000003</v>
      </c>
      <c r="O121" s="1">
        <v>0.87936365999999999</v>
      </c>
      <c r="P121" s="1">
        <v>0.12063637000000001</v>
      </c>
      <c r="Q121" s="4">
        <v>0</v>
      </c>
      <c r="R121" s="14">
        <v>1</v>
      </c>
      <c r="S121" s="14">
        <v>0</v>
      </c>
    </row>
    <row r="122" spans="1:19">
      <c r="A122" s="1">
        <v>0</v>
      </c>
      <c r="B122" s="5" t="s">
        <v>135</v>
      </c>
      <c r="C122" s="5">
        <v>0.80245244999999998</v>
      </c>
      <c r="D122" s="5">
        <v>5.6365192000000001E-2</v>
      </c>
      <c r="E122" s="5">
        <v>0.75992389999999999</v>
      </c>
      <c r="F122" s="5">
        <v>0.28654154999999998</v>
      </c>
      <c r="G122" s="5">
        <v>0.89681476000000004</v>
      </c>
      <c r="H122" s="5">
        <v>0.10318524</v>
      </c>
      <c r="I122" s="5">
        <v>0.98063880000000003</v>
      </c>
      <c r="J122" s="5">
        <v>1.9361211E-2</v>
      </c>
      <c r="K122" s="5">
        <v>0.17664563999999999</v>
      </c>
      <c r="L122" s="5">
        <v>0.11458362</v>
      </c>
      <c r="M122" s="5">
        <v>0.66995899999999997</v>
      </c>
      <c r="N122" s="5">
        <v>0.33004099999999997</v>
      </c>
      <c r="O122" s="5">
        <v>0.84848579999999996</v>
      </c>
      <c r="P122" s="5">
        <v>0.15151413</v>
      </c>
      <c r="Q122" s="4">
        <v>0</v>
      </c>
      <c r="R122" s="13">
        <v>0</v>
      </c>
      <c r="S122" s="14">
        <v>0</v>
      </c>
    </row>
    <row r="123" spans="1:19">
      <c r="A123" s="1">
        <v>0</v>
      </c>
      <c r="B123" s="1" t="s">
        <v>136</v>
      </c>
      <c r="C123" s="1">
        <v>0.75011766000000002</v>
      </c>
      <c r="D123" s="1">
        <v>0.33666065000000001</v>
      </c>
      <c r="E123" s="1">
        <v>0.76512840000000004</v>
      </c>
      <c r="F123" s="1">
        <v>0.32872614</v>
      </c>
      <c r="G123" s="1">
        <v>0.93209726000000004</v>
      </c>
      <c r="H123" s="1">
        <v>6.7902729999999994E-2</v>
      </c>
      <c r="I123" s="1">
        <v>0.58289950000000001</v>
      </c>
      <c r="J123" s="1">
        <v>0.41710051999999997</v>
      </c>
      <c r="K123" s="1">
        <v>0.44184259999999997</v>
      </c>
      <c r="L123" s="1">
        <v>0.10010731</v>
      </c>
      <c r="M123" s="1">
        <v>0.52109766000000002</v>
      </c>
      <c r="N123" s="1">
        <v>0.47890240000000001</v>
      </c>
      <c r="O123" s="1">
        <v>0.78346360000000004</v>
      </c>
      <c r="P123" s="1">
        <v>0.21653639999999999</v>
      </c>
      <c r="Q123" s="4">
        <v>0</v>
      </c>
      <c r="R123" s="13">
        <v>0</v>
      </c>
      <c r="S123" s="14">
        <v>0</v>
      </c>
    </row>
    <row r="124" spans="1:19">
      <c r="A124" s="7">
        <v>0</v>
      </c>
      <c r="B124" s="7" t="s">
        <v>137</v>
      </c>
      <c r="C124" s="7">
        <v>0.80152909999999999</v>
      </c>
      <c r="D124" s="7">
        <v>7.5214719999999999E-2</v>
      </c>
      <c r="E124" s="7">
        <v>0.76688469999999997</v>
      </c>
      <c r="F124" s="7">
        <v>0.31015231999999998</v>
      </c>
      <c r="G124" s="7">
        <v>0.81892699999999996</v>
      </c>
      <c r="H124" s="7">
        <v>0.18107301000000001</v>
      </c>
      <c r="I124" s="7">
        <v>0.95486146000000005</v>
      </c>
      <c r="J124" s="7">
        <v>4.5138490000000003E-2</v>
      </c>
      <c r="K124" s="7">
        <v>0.33535432999999998</v>
      </c>
      <c r="L124" s="7">
        <v>0.21544276000000001</v>
      </c>
      <c r="M124" s="7">
        <v>0.67577169999999998</v>
      </c>
      <c r="N124" s="7">
        <v>0.32422825999999999</v>
      </c>
      <c r="O124" s="7">
        <v>0.84543060000000003</v>
      </c>
      <c r="P124" s="7">
        <v>0.15456934</v>
      </c>
      <c r="Q124" s="8">
        <v>0</v>
      </c>
      <c r="R124" s="15">
        <v>0</v>
      </c>
      <c r="S124" s="16">
        <v>0</v>
      </c>
    </row>
    <row r="125" spans="1:19">
      <c r="A125" s="7">
        <v>0</v>
      </c>
      <c r="B125" s="7" t="s">
        <v>138</v>
      </c>
      <c r="C125" s="7">
        <v>0.48313240000000002</v>
      </c>
      <c r="D125" s="7">
        <v>0.68316555000000001</v>
      </c>
      <c r="E125" s="7">
        <v>0.27334609999999998</v>
      </c>
      <c r="F125" s="7">
        <v>0.75756540000000006</v>
      </c>
      <c r="G125" s="7">
        <v>0.55872107000000004</v>
      </c>
      <c r="H125" s="7">
        <v>0.44127889999999997</v>
      </c>
      <c r="I125" s="7">
        <v>0.11601207400000001</v>
      </c>
      <c r="J125" s="7">
        <v>0.88398796000000002</v>
      </c>
      <c r="K125" s="7">
        <v>0.31011962999999998</v>
      </c>
      <c r="L125" s="7">
        <v>0.20623374</v>
      </c>
      <c r="M125" s="7">
        <v>0.45724857000000002</v>
      </c>
      <c r="N125" s="7">
        <v>0.54275139999999999</v>
      </c>
      <c r="O125" s="7">
        <v>0.40694475000000002</v>
      </c>
      <c r="P125" s="7">
        <v>0.59305529999999995</v>
      </c>
      <c r="Q125" s="8">
        <v>0</v>
      </c>
      <c r="R125" s="16">
        <v>1</v>
      </c>
      <c r="S125" s="16">
        <v>0</v>
      </c>
    </row>
    <row r="126" spans="1:19">
      <c r="A126" s="1">
        <v>0</v>
      </c>
      <c r="B126" s="1" t="s">
        <v>139</v>
      </c>
      <c r="C126" s="1">
        <v>0.6180928</v>
      </c>
      <c r="D126" s="1">
        <v>0.58488320000000005</v>
      </c>
      <c r="E126" s="1">
        <v>0.66053313000000002</v>
      </c>
      <c r="F126" s="1">
        <v>0.57106005999999998</v>
      </c>
      <c r="G126" s="1">
        <v>0.69658220000000004</v>
      </c>
      <c r="H126" s="1">
        <v>0.30341780000000002</v>
      </c>
      <c r="I126" s="1">
        <v>0.55180435999999999</v>
      </c>
      <c r="J126" s="1">
        <v>0.44819564000000001</v>
      </c>
      <c r="K126" s="1">
        <v>0.142569</v>
      </c>
      <c r="L126" s="1">
        <v>0.15145037</v>
      </c>
      <c r="M126" s="1">
        <v>0.30272876999999998</v>
      </c>
      <c r="N126" s="1">
        <v>0.69727119999999998</v>
      </c>
      <c r="O126" s="1">
        <v>0.56152440000000003</v>
      </c>
      <c r="P126" s="1">
        <v>0.43847564</v>
      </c>
      <c r="Q126" s="4">
        <v>1</v>
      </c>
      <c r="R126" s="14">
        <v>0</v>
      </c>
      <c r="S126" s="14">
        <v>0</v>
      </c>
    </row>
    <row r="127" spans="1:19">
      <c r="A127" s="1">
        <v>0</v>
      </c>
      <c r="B127" s="1" t="s">
        <v>140</v>
      </c>
      <c r="C127" s="1">
        <v>0.48265364999999999</v>
      </c>
      <c r="D127" s="1">
        <v>0.63271909999999998</v>
      </c>
      <c r="E127" s="1">
        <v>0.43352878</v>
      </c>
      <c r="F127" s="1">
        <v>0.72668679999999997</v>
      </c>
      <c r="G127" s="1">
        <v>0.29253307000000001</v>
      </c>
      <c r="H127" s="1">
        <v>0.70746690000000001</v>
      </c>
      <c r="I127" s="1">
        <v>0.38342799999999999</v>
      </c>
      <c r="J127" s="1">
        <v>0.61657200000000001</v>
      </c>
      <c r="K127" s="1">
        <v>0.32610794999999998</v>
      </c>
      <c r="L127" s="1">
        <v>0.16535759999999999</v>
      </c>
      <c r="M127" s="1">
        <v>0.64320650000000001</v>
      </c>
      <c r="N127" s="1">
        <v>0.35679351999999998</v>
      </c>
      <c r="O127" s="1">
        <v>0.7571388</v>
      </c>
      <c r="P127" s="1">
        <v>0.24286123000000001</v>
      </c>
      <c r="Q127" s="4">
        <v>0</v>
      </c>
      <c r="R127" s="13">
        <v>0</v>
      </c>
      <c r="S127" s="14">
        <v>0</v>
      </c>
    </row>
    <row r="128" spans="1:19">
      <c r="A128" s="1">
        <v>0</v>
      </c>
      <c r="B128" s="1" t="s">
        <v>141</v>
      </c>
      <c r="C128" s="1">
        <v>0.68610643999999998</v>
      </c>
      <c r="D128" s="1">
        <v>0.49786854000000003</v>
      </c>
      <c r="E128" s="1">
        <v>0.71498823</v>
      </c>
      <c r="F128" s="1">
        <v>0.44559777</v>
      </c>
      <c r="G128" s="1">
        <v>0.77850070000000005</v>
      </c>
      <c r="H128" s="1">
        <v>0.22149926</v>
      </c>
      <c r="I128" s="1">
        <v>0.73096483999999995</v>
      </c>
      <c r="J128" s="1">
        <v>0.26903522000000002</v>
      </c>
      <c r="K128" s="1">
        <v>0.14101754</v>
      </c>
      <c r="L128" s="1">
        <v>0.41233150000000002</v>
      </c>
      <c r="M128" s="1">
        <v>0.17461002</v>
      </c>
      <c r="N128" s="1">
        <v>0.82538990000000001</v>
      </c>
      <c r="O128" s="1">
        <v>0.66829289999999997</v>
      </c>
      <c r="P128" s="1">
        <v>0.33170715000000001</v>
      </c>
      <c r="Q128" s="4">
        <v>1</v>
      </c>
      <c r="R128" s="14">
        <v>0</v>
      </c>
      <c r="S128" s="14">
        <v>0</v>
      </c>
    </row>
    <row r="129" spans="1:19">
      <c r="A129" s="1">
        <v>0</v>
      </c>
      <c r="B129" s="1" t="s">
        <v>142</v>
      </c>
      <c r="C129" s="1">
        <v>0.80225736000000003</v>
      </c>
      <c r="D129" s="1">
        <v>5.8637839999999997E-2</v>
      </c>
      <c r="E129" s="1">
        <v>0.73991629999999997</v>
      </c>
      <c r="F129" s="1">
        <v>0.42560740000000002</v>
      </c>
      <c r="G129" s="1">
        <v>0.76500480000000004</v>
      </c>
      <c r="H129" s="1">
        <v>0.23499518999999999</v>
      </c>
      <c r="I129" s="1">
        <v>0.95317399999999997</v>
      </c>
      <c r="J129" s="1">
        <v>4.6826010000000001E-2</v>
      </c>
      <c r="K129" s="1">
        <v>0.14358523000000001</v>
      </c>
      <c r="L129" s="1">
        <v>0.30779984999999999</v>
      </c>
      <c r="M129" s="1">
        <v>0.73999773999999996</v>
      </c>
      <c r="N129" s="1">
        <v>0.26000225999999999</v>
      </c>
      <c r="O129" s="1">
        <v>0.89312769999999997</v>
      </c>
      <c r="P129" s="1">
        <v>0.106872335</v>
      </c>
      <c r="Q129" s="4">
        <v>0</v>
      </c>
      <c r="R129" s="13">
        <v>0</v>
      </c>
      <c r="S129" s="14">
        <v>0</v>
      </c>
    </row>
    <row r="130" spans="1:19">
      <c r="A130" s="1">
        <v>0</v>
      </c>
      <c r="B130" s="1" t="s">
        <v>143</v>
      </c>
      <c r="C130" s="1">
        <v>0.64305849999999998</v>
      </c>
      <c r="D130" s="1">
        <v>0.50336194000000001</v>
      </c>
      <c r="E130" s="1">
        <v>0.60164079999999998</v>
      </c>
      <c r="F130" s="1">
        <v>0.59002690000000002</v>
      </c>
      <c r="G130" s="1">
        <v>0.70061605999999998</v>
      </c>
      <c r="H130" s="1">
        <v>0.29938397</v>
      </c>
      <c r="I130" s="1">
        <v>0.56714255000000002</v>
      </c>
      <c r="J130" s="1">
        <v>0.43285744999999998</v>
      </c>
      <c r="K130" s="1">
        <v>0.39469057000000002</v>
      </c>
      <c r="L130" s="1">
        <v>6.6522390000000001E-2</v>
      </c>
      <c r="M130" s="1">
        <v>0.65187729999999999</v>
      </c>
      <c r="N130" s="1">
        <v>0.34812272</v>
      </c>
      <c r="O130" s="1">
        <v>0.62554776999999995</v>
      </c>
      <c r="P130" s="1">
        <v>0.37445223</v>
      </c>
      <c r="Q130" s="4">
        <v>0</v>
      </c>
      <c r="R130" s="13">
        <v>0</v>
      </c>
      <c r="S130" s="14">
        <v>0</v>
      </c>
    </row>
    <row r="131" spans="1:19">
      <c r="A131" s="7">
        <v>0</v>
      </c>
      <c r="B131" s="7" t="s">
        <v>144</v>
      </c>
      <c r="C131" s="7">
        <v>0.77642509999999998</v>
      </c>
      <c r="D131" s="7">
        <v>0.23869937999999999</v>
      </c>
      <c r="E131" s="7">
        <v>0.73346100000000003</v>
      </c>
      <c r="F131" s="7">
        <v>0.37298036000000001</v>
      </c>
      <c r="G131" s="7">
        <v>0.77756119999999995</v>
      </c>
      <c r="H131" s="7">
        <v>0.22243874999999999</v>
      </c>
      <c r="I131" s="7">
        <v>0.88613914999999999</v>
      </c>
      <c r="J131" s="7">
        <v>0.11386078600000001</v>
      </c>
      <c r="K131" s="7">
        <v>0.13037357999999999</v>
      </c>
      <c r="L131" s="7">
        <v>0.17215748</v>
      </c>
      <c r="M131" s="7">
        <v>0.5750672</v>
      </c>
      <c r="N131" s="7">
        <v>0.42493275000000003</v>
      </c>
      <c r="O131" s="7">
        <v>0.74570703999999999</v>
      </c>
      <c r="P131" s="7">
        <v>0.25429296000000001</v>
      </c>
      <c r="Q131" s="8">
        <v>0</v>
      </c>
      <c r="R131" s="16">
        <v>1</v>
      </c>
      <c r="S131" s="16">
        <v>0</v>
      </c>
    </row>
    <row r="132" spans="1:19">
      <c r="A132" s="1">
        <v>0</v>
      </c>
      <c r="B132" s="1" t="s">
        <v>145</v>
      </c>
      <c r="C132" s="1">
        <v>0.54625522999999998</v>
      </c>
      <c r="D132" s="1">
        <v>0.66166219999999998</v>
      </c>
      <c r="E132" s="1">
        <v>0.57577776999999997</v>
      </c>
      <c r="F132" s="1">
        <v>0.62879529999999995</v>
      </c>
      <c r="G132" s="1">
        <v>0.22580484000000001</v>
      </c>
      <c r="H132" s="1">
        <v>0.77419519999999997</v>
      </c>
      <c r="I132" s="1">
        <v>0.41479402999999998</v>
      </c>
      <c r="J132" s="1">
        <v>0.585206</v>
      </c>
      <c r="K132" s="1">
        <v>0.32001333999999998</v>
      </c>
      <c r="L132" s="1">
        <v>0.17578347</v>
      </c>
      <c r="M132" s="1">
        <v>0.50653349999999997</v>
      </c>
      <c r="N132" s="1">
        <v>0.49346653000000001</v>
      </c>
      <c r="O132" s="1">
        <v>0.93125860000000005</v>
      </c>
      <c r="P132" s="1">
        <v>6.8741365999999998E-2</v>
      </c>
      <c r="Q132" s="4">
        <v>0</v>
      </c>
      <c r="R132" s="13">
        <v>0</v>
      </c>
      <c r="S132" s="14">
        <v>0</v>
      </c>
    </row>
    <row r="133" spans="1:19">
      <c r="A133" s="1">
        <v>0</v>
      </c>
      <c r="B133" s="1" t="s">
        <v>146</v>
      </c>
      <c r="C133" s="1">
        <v>0.80174153999999997</v>
      </c>
      <c r="D133" s="1">
        <v>4.3444507E-2</v>
      </c>
      <c r="E133" s="1">
        <v>0.75705767000000002</v>
      </c>
      <c r="F133" s="1">
        <v>0.27584920000000002</v>
      </c>
      <c r="G133" s="1">
        <v>0.91591230000000001</v>
      </c>
      <c r="H133" s="1">
        <v>8.4087720000000005E-2</v>
      </c>
      <c r="I133" s="1">
        <v>0.96357936</v>
      </c>
      <c r="J133" s="1">
        <v>3.6420602000000003E-2</v>
      </c>
      <c r="K133" s="1">
        <v>9.2954400000000006E-2</v>
      </c>
      <c r="L133" s="1">
        <v>0.31983932999999998</v>
      </c>
      <c r="M133" s="1">
        <v>0.49096783999999999</v>
      </c>
      <c r="N133" s="1">
        <v>0.50903213000000003</v>
      </c>
      <c r="O133" s="1">
        <v>0.83090556000000004</v>
      </c>
      <c r="P133" s="1">
        <v>0.16909448999999999</v>
      </c>
      <c r="Q133" s="4">
        <v>0</v>
      </c>
      <c r="R133" s="13">
        <v>0</v>
      </c>
      <c r="S133" s="14">
        <v>0</v>
      </c>
    </row>
    <row r="134" spans="1:19">
      <c r="A134" s="1">
        <v>0</v>
      </c>
      <c r="B134" s="1" t="s">
        <v>147</v>
      </c>
      <c r="C134" s="1">
        <v>0.69377434000000004</v>
      </c>
      <c r="D134" s="1">
        <v>0.47443714999999997</v>
      </c>
      <c r="E134" s="1">
        <v>0.75987875000000005</v>
      </c>
      <c r="F134" s="1">
        <v>0.31648248000000001</v>
      </c>
      <c r="G134" s="1">
        <v>0.70439010000000002</v>
      </c>
      <c r="H134" s="1">
        <v>0.29560986</v>
      </c>
      <c r="I134" s="1">
        <v>0.84217036000000001</v>
      </c>
      <c r="J134" s="1">
        <v>0.15782963</v>
      </c>
      <c r="K134" s="1">
        <v>0.28833916999999998</v>
      </c>
      <c r="L134" s="1">
        <v>0.20700355000000001</v>
      </c>
      <c r="M134" s="1">
        <v>0.36488335999999999</v>
      </c>
      <c r="N134" s="1">
        <v>0.63511664000000001</v>
      </c>
      <c r="O134" s="1">
        <v>0.53594589999999998</v>
      </c>
      <c r="P134" s="1">
        <v>0.46405410000000002</v>
      </c>
      <c r="Q134" s="4">
        <v>1</v>
      </c>
      <c r="R134" s="14">
        <v>1</v>
      </c>
      <c r="S134" s="14">
        <v>1</v>
      </c>
    </row>
    <row r="135" spans="1:19">
      <c r="A135" s="1">
        <v>0</v>
      </c>
      <c r="B135" s="1" t="s">
        <v>148</v>
      </c>
      <c r="C135" s="1">
        <v>0.58621584999999998</v>
      </c>
      <c r="D135" s="1">
        <v>0.56059429999999999</v>
      </c>
      <c r="E135" s="1">
        <v>0.44341362000000001</v>
      </c>
      <c r="F135" s="1">
        <v>0.71149110000000004</v>
      </c>
      <c r="G135" s="1">
        <v>0.67974009999999996</v>
      </c>
      <c r="H135" s="1">
        <v>0.32025999999999999</v>
      </c>
      <c r="I135" s="1">
        <v>0.60694945</v>
      </c>
      <c r="J135" s="1">
        <v>0.39305052000000001</v>
      </c>
      <c r="K135" s="1">
        <v>0.23558106000000001</v>
      </c>
      <c r="L135" s="1">
        <v>0.27132207000000003</v>
      </c>
      <c r="M135" s="1">
        <v>0.26114145</v>
      </c>
      <c r="N135" s="1">
        <v>0.73885860000000003</v>
      </c>
      <c r="O135" s="1">
        <v>0.68409189999999998</v>
      </c>
      <c r="P135" s="1">
        <v>0.31590806999999999</v>
      </c>
      <c r="Q135" s="4">
        <v>1</v>
      </c>
      <c r="R135" s="14">
        <v>1</v>
      </c>
      <c r="S135" s="14">
        <v>0</v>
      </c>
    </row>
    <row r="136" spans="1:19">
      <c r="A136" s="1">
        <v>0</v>
      </c>
      <c r="B136" s="1" t="s">
        <v>149</v>
      </c>
      <c r="C136" s="1">
        <v>0.67985463000000002</v>
      </c>
      <c r="D136" s="1">
        <v>0.54438089999999995</v>
      </c>
      <c r="E136" s="1">
        <v>0.75379309999999999</v>
      </c>
      <c r="F136" s="1">
        <v>0.34305330000000001</v>
      </c>
      <c r="G136" s="1">
        <v>0.86835532999999998</v>
      </c>
      <c r="H136" s="1">
        <v>0.13164464000000001</v>
      </c>
      <c r="I136" s="1">
        <v>0.41641820000000002</v>
      </c>
      <c r="J136" s="1">
        <v>0.58358180000000004</v>
      </c>
      <c r="K136" s="1">
        <v>0.28337689999999999</v>
      </c>
      <c r="L136" s="1">
        <v>0.17862702999999999</v>
      </c>
      <c r="M136" s="1">
        <v>0.34684598</v>
      </c>
      <c r="N136" s="1">
        <v>0.65315400000000001</v>
      </c>
      <c r="O136" s="1">
        <v>0.6404628</v>
      </c>
      <c r="P136" s="1">
        <v>0.35953711999999999</v>
      </c>
      <c r="Q136" s="4">
        <v>0</v>
      </c>
      <c r="R136" s="13">
        <v>0</v>
      </c>
      <c r="S136" s="14">
        <v>0</v>
      </c>
    </row>
    <row r="137" spans="1:19">
      <c r="A137" s="1">
        <v>0</v>
      </c>
      <c r="B137" s="1" t="s">
        <v>150</v>
      </c>
      <c r="C137" s="1">
        <v>0.79498429999999998</v>
      </c>
      <c r="D137" s="1">
        <v>0.13488807999999999</v>
      </c>
      <c r="E137" s="1">
        <v>0.77160669999999998</v>
      </c>
      <c r="F137" s="1">
        <v>0.27318870000000001</v>
      </c>
      <c r="G137" s="1">
        <v>0.75937504</v>
      </c>
      <c r="H137" s="1">
        <v>0.24062491999999999</v>
      </c>
      <c r="I137" s="1">
        <v>0.89485632999999998</v>
      </c>
      <c r="J137" s="1">
        <v>0.10514363</v>
      </c>
      <c r="K137" s="1">
        <v>0.43665692</v>
      </c>
      <c r="L137" s="1">
        <v>5.0896737999999997E-2</v>
      </c>
      <c r="M137" s="1">
        <v>0.76038455999999999</v>
      </c>
      <c r="N137" s="1">
        <v>0.23961540000000001</v>
      </c>
      <c r="O137" s="1">
        <v>0.95896614000000002</v>
      </c>
      <c r="P137" s="1">
        <v>4.1033853000000002E-2</v>
      </c>
      <c r="Q137" s="4">
        <v>0</v>
      </c>
      <c r="R137" s="13">
        <v>0</v>
      </c>
      <c r="S137" s="14">
        <v>0</v>
      </c>
    </row>
    <row r="138" spans="1:19">
      <c r="A138" s="1">
        <v>0</v>
      </c>
      <c r="B138" s="1" t="s">
        <v>151</v>
      </c>
      <c r="C138" s="1">
        <v>0.81059824999999996</v>
      </c>
      <c r="D138" s="1">
        <v>9.5698039999999998E-2</v>
      </c>
      <c r="E138" s="1">
        <v>0.77564599999999995</v>
      </c>
      <c r="F138" s="1">
        <v>0.23419860000000001</v>
      </c>
      <c r="G138" s="1">
        <v>0.97758716000000001</v>
      </c>
      <c r="H138" s="1">
        <v>2.2412794E-2</v>
      </c>
      <c r="I138" s="1">
        <v>0.99232330000000002</v>
      </c>
      <c r="J138" s="1">
        <v>7.6767060000000002E-3</v>
      </c>
      <c r="K138" s="1">
        <v>0.25347966</v>
      </c>
      <c r="L138" s="1">
        <v>5.9371689999999998E-2</v>
      </c>
      <c r="M138" s="1">
        <v>0.68035109999999999</v>
      </c>
      <c r="N138" s="1">
        <v>0.31964894999999999</v>
      </c>
      <c r="O138" s="1">
        <v>0.8873569</v>
      </c>
      <c r="P138" s="1">
        <v>0.11264311</v>
      </c>
      <c r="Q138" s="4">
        <v>0</v>
      </c>
      <c r="R138" s="13">
        <v>0</v>
      </c>
      <c r="S138" s="14">
        <v>0</v>
      </c>
    </row>
    <row r="139" spans="1:19">
      <c r="A139" s="1">
        <v>0</v>
      </c>
      <c r="B139" s="1" t="s">
        <v>152</v>
      </c>
      <c r="C139" s="1">
        <v>0.79537729999999995</v>
      </c>
      <c r="D139" s="1">
        <v>6.3075505000000004E-2</v>
      </c>
      <c r="E139" s="1">
        <v>0.75736939999999997</v>
      </c>
      <c r="F139" s="1">
        <v>0.44073072000000002</v>
      </c>
      <c r="G139" s="1">
        <v>0.67858640000000003</v>
      </c>
      <c r="H139" s="1">
        <v>0.32141354999999999</v>
      </c>
      <c r="I139" s="1">
        <v>0.88409839999999995</v>
      </c>
      <c r="J139" s="1">
        <v>0.11590160400000001</v>
      </c>
      <c r="K139" s="1">
        <v>0.27390555</v>
      </c>
      <c r="L139" s="1">
        <v>0.12799648999999999</v>
      </c>
      <c r="M139" s="1">
        <v>0.80784889999999998</v>
      </c>
      <c r="N139" s="1">
        <v>0.19215115999999999</v>
      </c>
      <c r="O139" s="1">
        <v>0.91497019999999996</v>
      </c>
      <c r="P139" s="1">
        <v>8.5029796000000005E-2</v>
      </c>
      <c r="Q139" s="4">
        <v>1</v>
      </c>
      <c r="R139" s="13">
        <v>0</v>
      </c>
      <c r="S139" s="14">
        <v>0</v>
      </c>
    </row>
    <row r="140" spans="1:19">
      <c r="A140" s="1">
        <v>0</v>
      </c>
      <c r="B140" s="1" t="s">
        <v>153</v>
      </c>
      <c r="C140" s="1">
        <v>0.54406595000000002</v>
      </c>
      <c r="D140" s="1">
        <v>0.65703500000000004</v>
      </c>
      <c r="E140" s="1">
        <v>0.64709499999999998</v>
      </c>
      <c r="F140" s="1">
        <v>0.56365350000000003</v>
      </c>
      <c r="G140" s="1">
        <v>0.33039117000000001</v>
      </c>
      <c r="H140" s="1">
        <v>0.66960883000000004</v>
      </c>
      <c r="I140" s="1">
        <v>0.49090086999999999</v>
      </c>
      <c r="J140" s="1">
        <v>0.50909906999999999</v>
      </c>
      <c r="K140" s="1">
        <v>5.7248055999999999E-2</v>
      </c>
      <c r="L140" s="1">
        <v>0.22397755</v>
      </c>
      <c r="M140" s="1">
        <v>0.66390174999999996</v>
      </c>
      <c r="N140" s="1">
        <v>0.33609830000000002</v>
      </c>
      <c r="O140" s="1">
        <v>0.93952590000000002</v>
      </c>
      <c r="P140" s="1">
        <v>6.0474015999999998E-2</v>
      </c>
      <c r="Q140" s="4">
        <v>0</v>
      </c>
      <c r="R140" s="13">
        <v>0</v>
      </c>
      <c r="S140" s="14">
        <v>0</v>
      </c>
    </row>
    <row r="141" spans="1:19">
      <c r="A141" s="1">
        <v>0</v>
      </c>
      <c r="B141" s="1" t="s">
        <v>154</v>
      </c>
      <c r="C141" s="1">
        <v>0.79933209999999999</v>
      </c>
      <c r="D141" s="1">
        <v>9.777603E-2</v>
      </c>
      <c r="E141" s="1">
        <v>0.78216945999999998</v>
      </c>
      <c r="F141" s="1">
        <v>0.2063016</v>
      </c>
      <c r="G141" s="1">
        <v>0.9284945</v>
      </c>
      <c r="H141" s="1">
        <v>7.1505440000000003E-2</v>
      </c>
      <c r="I141" s="1">
        <v>0.91629857000000003</v>
      </c>
      <c r="J141" s="1">
        <v>8.3701410000000004E-2</v>
      </c>
      <c r="K141" s="1">
        <v>0.17110832000000001</v>
      </c>
      <c r="L141" s="1">
        <v>0.24756448</v>
      </c>
      <c r="M141" s="1">
        <v>0.40431640000000002</v>
      </c>
      <c r="N141" s="1">
        <v>0.59568359999999998</v>
      </c>
      <c r="O141" s="1">
        <v>0.49930384999999999</v>
      </c>
      <c r="P141" s="1">
        <v>0.50069620000000004</v>
      </c>
      <c r="Q141" s="4">
        <v>0</v>
      </c>
      <c r="R141" s="13">
        <v>0</v>
      </c>
      <c r="S141" s="14">
        <v>0</v>
      </c>
    </row>
    <row r="142" spans="1:19">
      <c r="A142" s="1">
        <v>0</v>
      </c>
      <c r="B142" s="1" t="s">
        <v>155</v>
      </c>
      <c r="C142" s="1">
        <v>0.74814325999999998</v>
      </c>
      <c r="D142" s="1">
        <v>0.27982214</v>
      </c>
      <c r="E142" s="1">
        <v>0.77097654000000004</v>
      </c>
      <c r="F142" s="1">
        <v>0.22746738999999999</v>
      </c>
      <c r="G142" s="1">
        <v>0.92776614000000002</v>
      </c>
      <c r="H142" s="1">
        <v>7.223388E-2</v>
      </c>
      <c r="I142" s="1">
        <v>0.80184233000000005</v>
      </c>
      <c r="J142" s="1">
        <v>0.19815774</v>
      </c>
      <c r="K142" s="1">
        <v>0.29263436999999998</v>
      </c>
      <c r="L142" s="1">
        <v>0.18793589999999999</v>
      </c>
      <c r="M142" s="1">
        <v>0.52502709999999997</v>
      </c>
      <c r="N142" s="1">
        <v>0.47497286999999999</v>
      </c>
      <c r="O142" s="1">
        <v>0.88744449999999997</v>
      </c>
      <c r="P142" s="1">
        <v>0.112555556</v>
      </c>
      <c r="Q142" s="17">
        <v>0</v>
      </c>
      <c r="R142" s="13">
        <v>0</v>
      </c>
      <c r="S142" s="14">
        <v>0</v>
      </c>
    </row>
    <row r="143" spans="1:19">
      <c r="A143" s="1">
        <v>0</v>
      </c>
      <c r="B143" s="1" t="s">
        <v>156</v>
      </c>
      <c r="C143" s="1">
        <v>0.75141822999999996</v>
      </c>
      <c r="D143" s="1">
        <v>0.1732233</v>
      </c>
      <c r="E143" s="1">
        <v>0.77791690000000002</v>
      </c>
      <c r="F143" s="1">
        <v>0.25919439999999999</v>
      </c>
      <c r="G143" s="1">
        <v>0.91576480000000005</v>
      </c>
      <c r="H143" s="1">
        <v>8.4235206000000007E-2</v>
      </c>
      <c r="I143" s="1">
        <v>0.90618109999999996</v>
      </c>
      <c r="J143" s="1">
        <v>9.3818949999999998E-2</v>
      </c>
      <c r="K143" s="1">
        <v>0.36288579999999998</v>
      </c>
      <c r="L143" s="1">
        <v>0.28798010000000002</v>
      </c>
      <c r="M143" s="1">
        <v>0.38123125000000002</v>
      </c>
      <c r="N143" s="1">
        <v>0.61876874999999998</v>
      </c>
      <c r="O143" s="1">
        <v>0.58728720000000001</v>
      </c>
      <c r="P143" s="1">
        <v>0.41271287000000001</v>
      </c>
      <c r="Q143" s="4">
        <v>0</v>
      </c>
      <c r="R143" s="14">
        <v>0</v>
      </c>
      <c r="S143" s="14">
        <v>0</v>
      </c>
    </row>
    <row r="144" spans="1:19">
      <c r="A144" s="2">
        <v>0</v>
      </c>
      <c r="B144" s="2" t="s">
        <v>157</v>
      </c>
      <c r="C144" s="2">
        <v>0.27992702000000003</v>
      </c>
      <c r="D144" s="2">
        <v>0.75652987000000005</v>
      </c>
      <c r="E144" s="2">
        <v>0.59287570000000001</v>
      </c>
      <c r="F144" s="2">
        <v>0.64433384000000005</v>
      </c>
      <c r="G144" s="2">
        <v>0.30780004999999999</v>
      </c>
      <c r="H144" s="2">
        <v>0.69219995000000001</v>
      </c>
      <c r="I144" s="2">
        <v>0.12542207999999999</v>
      </c>
      <c r="J144" s="2">
        <v>0.87457794</v>
      </c>
      <c r="K144" s="2">
        <v>0.21636253999999999</v>
      </c>
      <c r="L144" s="2">
        <v>0.28003790000000001</v>
      </c>
      <c r="M144" s="2">
        <v>0.25408044000000002</v>
      </c>
      <c r="N144" s="2">
        <v>0.74591949999999996</v>
      </c>
      <c r="O144" s="2">
        <v>0.36390349999999999</v>
      </c>
      <c r="P144" s="2">
        <v>0.63609654000000004</v>
      </c>
      <c r="Q144" s="18">
        <v>1</v>
      </c>
      <c r="R144" s="19">
        <v>1</v>
      </c>
      <c r="S144" s="19">
        <v>1</v>
      </c>
    </row>
    <row r="145" spans="1:19">
      <c r="A145" s="1">
        <v>1</v>
      </c>
      <c r="B145" s="1" t="s">
        <v>158</v>
      </c>
      <c r="C145" s="1">
        <v>0.14972930000000001</v>
      </c>
      <c r="D145" s="1">
        <v>0.79020285999999995</v>
      </c>
      <c r="E145" s="1">
        <v>0.20113871999999999</v>
      </c>
      <c r="F145" s="1">
        <v>0.76604240000000001</v>
      </c>
      <c r="G145" s="1">
        <v>7.8543744999999998E-2</v>
      </c>
      <c r="H145" s="1">
        <v>0.92145630000000001</v>
      </c>
      <c r="I145" s="1">
        <v>5.9173096000000001E-2</v>
      </c>
      <c r="J145" s="1">
        <v>0.94082683</v>
      </c>
      <c r="K145" s="1">
        <v>0.12727782000000001</v>
      </c>
      <c r="L145" s="1">
        <v>0.2382031</v>
      </c>
      <c r="M145" s="1">
        <v>0.31936446000000002</v>
      </c>
      <c r="N145" s="1">
        <v>0.68063549999999995</v>
      </c>
      <c r="O145" s="1">
        <v>0.39728394</v>
      </c>
      <c r="P145" s="1">
        <v>0.60271600000000003</v>
      </c>
      <c r="Q145" s="4">
        <v>1</v>
      </c>
      <c r="R145" s="14">
        <v>1</v>
      </c>
      <c r="S145" s="14">
        <v>1</v>
      </c>
    </row>
    <row r="146" spans="1:19">
      <c r="A146" s="1">
        <v>1</v>
      </c>
      <c r="B146" s="1" t="s">
        <v>159</v>
      </c>
      <c r="C146" s="1">
        <v>0.52264184000000002</v>
      </c>
      <c r="D146" s="1">
        <v>0.73400635000000003</v>
      </c>
      <c r="E146" s="1">
        <v>0.58253765000000002</v>
      </c>
      <c r="F146" s="1">
        <v>0.66527760000000002</v>
      </c>
      <c r="G146" s="1">
        <v>0.35993806</v>
      </c>
      <c r="H146" s="1">
        <v>0.64006189999999996</v>
      </c>
      <c r="I146" s="1">
        <v>0.3972078</v>
      </c>
      <c r="J146" s="1">
        <v>0.6027922</v>
      </c>
      <c r="K146" s="1">
        <v>0.12053264</v>
      </c>
      <c r="L146" s="1">
        <v>0.26648327999999999</v>
      </c>
      <c r="M146" s="1">
        <v>0.20729512999999999</v>
      </c>
      <c r="N146" s="1">
        <v>0.79270479999999999</v>
      </c>
      <c r="O146" s="1">
        <v>0.16413456000000001</v>
      </c>
      <c r="P146" s="1">
        <v>0.83586539999999998</v>
      </c>
      <c r="Q146" s="4">
        <v>1</v>
      </c>
      <c r="R146" s="14">
        <v>1</v>
      </c>
      <c r="S146" s="14">
        <v>1</v>
      </c>
    </row>
    <row r="147" spans="1:19">
      <c r="A147" s="1">
        <v>1</v>
      </c>
      <c r="B147" s="1" t="s">
        <v>160</v>
      </c>
      <c r="C147" s="1">
        <v>0.555844</v>
      </c>
      <c r="D147" s="1">
        <v>0.66557279999999996</v>
      </c>
      <c r="E147" s="1">
        <v>0.58980750000000004</v>
      </c>
      <c r="F147" s="1">
        <v>0.62181306000000003</v>
      </c>
      <c r="G147" s="1">
        <v>0.29722288000000002</v>
      </c>
      <c r="H147" s="1">
        <v>0.70277710000000004</v>
      </c>
      <c r="I147" s="1">
        <v>0.82637369999999999</v>
      </c>
      <c r="J147" s="1">
        <v>0.17362627</v>
      </c>
      <c r="K147" s="1">
        <v>0.41485703000000002</v>
      </c>
      <c r="L147" s="1">
        <v>8.0761650000000004E-2</v>
      </c>
      <c r="M147" s="1">
        <v>0.42906899999999998</v>
      </c>
      <c r="N147" s="1">
        <v>0.57093099999999997</v>
      </c>
      <c r="O147" s="1">
        <v>0.59803660000000003</v>
      </c>
      <c r="P147" s="1">
        <v>0.40196335</v>
      </c>
      <c r="Q147" s="4">
        <v>0</v>
      </c>
      <c r="R147" s="13">
        <v>0</v>
      </c>
      <c r="S147" s="14">
        <v>1</v>
      </c>
    </row>
    <row r="148" spans="1:19">
      <c r="A148" s="1">
        <v>1</v>
      </c>
      <c r="B148" s="1" t="s">
        <v>161</v>
      </c>
      <c r="C148" s="1">
        <v>0.18742666999999999</v>
      </c>
      <c r="D148" s="1">
        <v>0.75248950000000003</v>
      </c>
      <c r="E148" s="1">
        <v>0.12535112000000001</v>
      </c>
      <c r="F148" s="1">
        <v>0.78444104999999997</v>
      </c>
      <c r="G148" s="1">
        <v>4.2857274000000001E-2</v>
      </c>
      <c r="H148" s="1">
        <v>0.95714279999999996</v>
      </c>
      <c r="I148" s="1">
        <v>2.4396224000000001E-2</v>
      </c>
      <c r="J148" s="1">
        <v>0.97560376000000004</v>
      </c>
      <c r="K148" s="1">
        <v>5.2888132999999997E-2</v>
      </c>
      <c r="L148" s="1">
        <v>0.38462069999999998</v>
      </c>
      <c r="M148" s="1">
        <v>0.42537779999999997</v>
      </c>
      <c r="N148" s="1">
        <v>0.57462219999999997</v>
      </c>
      <c r="O148" s="1">
        <v>0.52096109999999995</v>
      </c>
      <c r="P148" s="1">
        <v>0.47903891999999998</v>
      </c>
      <c r="Q148" s="4">
        <v>1</v>
      </c>
      <c r="R148" s="14">
        <v>1</v>
      </c>
      <c r="S148" s="14">
        <v>1</v>
      </c>
    </row>
    <row r="149" spans="1:19">
      <c r="A149" s="1">
        <v>1</v>
      </c>
      <c r="B149" s="1" t="s">
        <v>162</v>
      </c>
      <c r="C149" s="1">
        <v>5.3519940000000002E-2</v>
      </c>
      <c r="D149" s="1">
        <v>0.75088540000000004</v>
      </c>
      <c r="E149" s="1">
        <v>0.27893662000000002</v>
      </c>
      <c r="F149" s="1">
        <v>0.67350847000000003</v>
      </c>
      <c r="G149" s="1">
        <v>0.5391937</v>
      </c>
      <c r="H149" s="1">
        <v>0.46080633999999998</v>
      </c>
      <c r="I149" s="1">
        <v>9.6772360000000002E-2</v>
      </c>
      <c r="J149" s="1">
        <v>0.90322769999999997</v>
      </c>
      <c r="K149" s="1">
        <v>3.7496224000000002E-2</v>
      </c>
      <c r="L149" s="1">
        <v>0.22416369999999999</v>
      </c>
      <c r="M149" s="1">
        <v>7.2480849999999999E-2</v>
      </c>
      <c r="N149" s="1">
        <v>0.92751910000000004</v>
      </c>
      <c r="O149" s="1">
        <v>7.0489360000000001E-2</v>
      </c>
      <c r="P149" s="1">
        <v>0.92951064999999999</v>
      </c>
      <c r="Q149" s="4">
        <v>1</v>
      </c>
      <c r="R149" s="14">
        <v>1</v>
      </c>
      <c r="S149" s="14">
        <v>1</v>
      </c>
    </row>
    <row r="150" spans="1:19">
      <c r="A150" s="1">
        <v>1</v>
      </c>
      <c r="B150" s="1" t="s">
        <v>163</v>
      </c>
      <c r="C150" s="1">
        <v>0.14982027000000001</v>
      </c>
      <c r="D150" s="1">
        <v>0.81758785</v>
      </c>
      <c r="E150" s="1">
        <v>3.5270403999999998E-2</v>
      </c>
      <c r="F150" s="1">
        <v>0.78379345</v>
      </c>
      <c r="G150" s="1">
        <v>1.2831333E-2</v>
      </c>
      <c r="H150" s="1">
        <v>0.98716866999999997</v>
      </c>
      <c r="I150" s="1">
        <v>1.1718564999999999E-3</v>
      </c>
      <c r="J150" s="1">
        <v>0.9988281</v>
      </c>
      <c r="K150" s="1">
        <v>5.2706691999999999E-2</v>
      </c>
      <c r="L150" s="1">
        <v>0.34387434</v>
      </c>
      <c r="M150" s="1">
        <v>7.2695460000000003E-2</v>
      </c>
      <c r="N150" s="1">
        <v>0.92730449999999998</v>
      </c>
      <c r="O150" s="1">
        <v>0.11137382999999999</v>
      </c>
      <c r="P150" s="1">
        <v>0.88862616000000005</v>
      </c>
      <c r="Q150" s="4">
        <v>1</v>
      </c>
      <c r="R150" s="14">
        <v>1</v>
      </c>
      <c r="S150" s="14">
        <v>1</v>
      </c>
    </row>
    <row r="151" spans="1:19">
      <c r="A151" s="1">
        <v>1</v>
      </c>
      <c r="B151" s="1" t="s">
        <v>164</v>
      </c>
      <c r="C151" s="1">
        <v>0.11129941</v>
      </c>
      <c r="D151" s="1">
        <v>0.81436275999999996</v>
      </c>
      <c r="E151" s="1">
        <v>2.1273369E-2</v>
      </c>
      <c r="F151" s="1">
        <v>0.789497</v>
      </c>
      <c r="G151" s="1">
        <v>1.0348091E-2</v>
      </c>
      <c r="H151" s="1">
        <v>0.98965186000000005</v>
      </c>
      <c r="I151" s="1">
        <v>3.9076639999999999E-3</v>
      </c>
      <c r="J151" s="1">
        <v>0.99609239999999999</v>
      </c>
      <c r="K151" s="1">
        <v>0.13612816999999999</v>
      </c>
      <c r="L151" s="1">
        <v>0.41901840000000001</v>
      </c>
      <c r="M151" s="1">
        <v>0.11960326</v>
      </c>
      <c r="N151" s="1">
        <v>0.88039666000000005</v>
      </c>
      <c r="O151" s="1">
        <v>5.5994536999999997E-2</v>
      </c>
      <c r="P151" s="1">
        <v>0.94400539999999999</v>
      </c>
      <c r="Q151" s="4">
        <v>1</v>
      </c>
      <c r="R151" s="14">
        <v>1</v>
      </c>
      <c r="S151" s="14">
        <v>1</v>
      </c>
    </row>
    <row r="152" spans="1:19">
      <c r="A152" s="1">
        <v>1</v>
      </c>
      <c r="B152" s="1" t="s">
        <v>165</v>
      </c>
      <c r="C152" s="1">
        <v>0.61216610000000005</v>
      </c>
      <c r="D152" s="1">
        <v>0.56453805999999995</v>
      </c>
      <c r="E152" s="1">
        <v>0.58107686000000003</v>
      </c>
      <c r="F152" s="1">
        <v>0.61346970000000001</v>
      </c>
      <c r="G152" s="1">
        <v>0.82036509999999996</v>
      </c>
      <c r="H152" s="1">
        <v>0.17963491000000001</v>
      </c>
      <c r="I152" s="1">
        <v>0.40686594999999998</v>
      </c>
      <c r="J152" s="1">
        <v>0.59313404999999997</v>
      </c>
      <c r="K152" s="1">
        <v>3.849474E-2</v>
      </c>
      <c r="L152" s="1">
        <v>0.33894651999999997</v>
      </c>
      <c r="M152" s="1">
        <v>6.6397466000000002E-2</v>
      </c>
      <c r="N152" s="1">
        <v>0.9336025</v>
      </c>
      <c r="O152" s="1">
        <v>0.12389333</v>
      </c>
      <c r="P152" s="1">
        <v>0.87610659999999996</v>
      </c>
      <c r="Q152" s="4">
        <v>1</v>
      </c>
      <c r="R152" s="14">
        <v>1</v>
      </c>
      <c r="S152" s="14">
        <v>1</v>
      </c>
    </row>
    <row r="153" spans="1:19">
      <c r="A153" s="1">
        <v>1</v>
      </c>
      <c r="B153" s="1" t="s">
        <v>166</v>
      </c>
      <c r="C153" s="1">
        <v>4.8174260000000003E-2</v>
      </c>
      <c r="D153" s="1">
        <v>0.80249375000000001</v>
      </c>
      <c r="E153" s="1">
        <v>2.0441500000000001E-2</v>
      </c>
      <c r="F153" s="1">
        <v>0.76760680000000003</v>
      </c>
      <c r="G153" s="1">
        <v>1.2603649999999999E-2</v>
      </c>
      <c r="H153" s="1">
        <v>0.9873963</v>
      </c>
      <c r="I153" s="1">
        <v>5.5932240000000004E-4</v>
      </c>
      <c r="J153" s="1">
        <v>0.99944060000000001</v>
      </c>
      <c r="K153" s="1">
        <v>0.14955758999999999</v>
      </c>
      <c r="L153" s="1">
        <v>0.2719318</v>
      </c>
      <c r="M153" s="1">
        <v>0.14398664</v>
      </c>
      <c r="N153" s="1">
        <v>0.85601335999999995</v>
      </c>
      <c r="O153" s="1">
        <v>5.3624388000000002E-2</v>
      </c>
      <c r="P153" s="1">
        <v>0.94637559999999998</v>
      </c>
      <c r="Q153" s="4">
        <v>1</v>
      </c>
      <c r="R153" s="14">
        <v>1</v>
      </c>
      <c r="S153" s="14">
        <v>1</v>
      </c>
    </row>
    <row r="154" spans="1:19">
      <c r="A154" s="7">
        <v>1</v>
      </c>
      <c r="B154" s="7" t="s">
        <v>167</v>
      </c>
      <c r="C154" s="7">
        <v>0.17867433999999999</v>
      </c>
      <c r="D154" s="7">
        <v>0.79667984999999997</v>
      </c>
      <c r="E154" s="7">
        <v>0.51436199999999999</v>
      </c>
      <c r="F154" s="7">
        <v>0.71347099999999997</v>
      </c>
      <c r="G154" s="7">
        <v>0.40216239999999998</v>
      </c>
      <c r="H154" s="7">
        <v>0.59783757000000004</v>
      </c>
      <c r="I154" s="7">
        <v>0.40142032999999999</v>
      </c>
      <c r="J154" s="7">
        <v>0.59857965000000002</v>
      </c>
      <c r="K154" s="7">
        <v>0.17577896000000001</v>
      </c>
      <c r="L154" s="7">
        <v>0.22376436999999999</v>
      </c>
      <c r="M154" s="7">
        <v>0.1949785</v>
      </c>
      <c r="N154" s="7">
        <v>0.80502145999999997</v>
      </c>
      <c r="O154" s="7">
        <v>0.33425197000000001</v>
      </c>
      <c r="P154" s="7">
        <v>0.66574805999999997</v>
      </c>
      <c r="Q154" s="8">
        <v>1</v>
      </c>
      <c r="R154" s="16">
        <v>1</v>
      </c>
      <c r="S154" s="16">
        <v>0</v>
      </c>
    </row>
    <row r="155" spans="1:19">
      <c r="A155" s="1">
        <v>1</v>
      </c>
      <c r="B155" s="1" t="s">
        <v>168</v>
      </c>
      <c r="C155" s="1">
        <v>0.27033705000000002</v>
      </c>
      <c r="D155" s="1">
        <v>0.73128634999999997</v>
      </c>
      <c r="E155" s="1">
        <v>0.55015444999999996</v>
      </c>
      <c r="F155" s="1">
        <v>0.62300350000000004</v>
      </c>
      <c r="G155" s="1">
        <v>0.13774</v>
      </c>
      <c r="H155" s="1">
        <v>0.86226004000000001</v>
      </c>
      <c r="I155" s="1">
        <v>0.36817494000000001</v>
      </c>
      <c r="J155" s="1">
        <v>0.63182503000000001</v>
      </c>
      <c r="K155" s="1">
        <v>8.6222279999999998E-2</v>
      </c>
      <c r="L155" s="1">
        <v>0.43390378000000002</v>
      </c>
      <c r="M155" s="1">
        <v>0.15976388999999999</v>
      </c>
      <c r="N155" s="1">
        <v>0.84023610000000004</v>
      </c>
      <c r="O155" s="1">
        <v>0.22622830999999999</v>
      </c>
      <c r="P155" s="1">
        <v>0.77377176000000003</v>
      </c>
      <c r="Q155" s="4">
        <v>1</v>
      </c>
      <c r="R155" s="14">
        <v>1</v>
      </c>
      <c r="S155" s="14">
        <v>1</v>
      </c>
    </row>
    <row r="156" spans="1:19">
      <c r="A156" s="1">
        <v>1</v>
      </c>
      <c r="B156" s="1" t="s">
        <v>169</v>
      </c>
      <c r="C156" s="1">
        <v>1.35898935E-2</v>
      </c>
      <c r="D156" s="1">
        <v>0.81741416</v>
      </c>
      <c r="E156" s="1">
        <v>6.3927349999999994E-2</v>
      </c>
      <c r="F156" s="1">
        <v>0.78445430000000005</v>
      </c>
      <c r="G156" s="1">
        <v>6.7793939999999997E-2</v>
      </c>
      <c r="H156" s="1">
        <v>0.93220603000000002</v>
      </c>
      <c r="I156" s="1">
        <v>6.9591375000000004E-3</v>
      </c>
      <c r="J156" s="1">
        <v>0.99304079999999995</v>
      </c>
      <c r="K156" s="1">
        <v>1.8522569999999999E-3</v>
      </c>
      <c r="L156" s="1">
        <v>0.39844669999999999</v>
      </c>
      <c r="M156" s="1">
        <v>9.0591273999999999E-2</v>
      </c>
      <c r="N156" s="1">
        <v>0.90940874999999999</v>
      </c>
      <c r="O156" s="1">
        <v>0.19861809999999999</v>
      </c>
      <c r="P156" s="1">
        <v>0.80138195000000001</v>
      </c>
      <c r="Q156" s="4">
        <v>1</v>
      </c>
      <c r="R156" s="14">
        <v>1</v>
      </c>
      <c r="S156" s="14">
        <v>1</v>
      </c>
    </row>
    <row r="157" spans="1:19">
      <c r="A157" s="1">
        <v>1</v>
      </c>
      <c r="B157" s="1" t="s">
        <v>170</v>
      </c>
      <c r="C157" s="1">
        <v>7.1896864E-3</v>
      </c>
      <c r="D157" s="1">
        <v>0.79061632999999998</v>
      </c>
      <c r="E157" s="1">
        <v>6.2326960000000001E-2</v>
      </c>
      <c r="F157" s="1">
        <v>0.78915869999999999</v>
      </c>
      <c r="G157" s="1">
        <v>0.30139187000000001</v>
      </c>
      <c r="H157" s="1">
        <v>0.69860809999999995</v>
      </c>
      <c r="I157" s="1">
        <v>1.4768385E-2</v>
      </c>
      <c r="J157" s="1">
        <v>0.98523163999999996</v>
      </c>
      <c r="K157" s="1">
        <v>8.9021039999999996E-2</v>
      </c>
      <c r="L157" s="1">
        <v>0.43631825000000002</v>
      </c>
      <c r="M157" s="1">
        <v>2.8515385000000001E-2</v>
      </c>
      <c r="N157" s="1">
        <v>0.97148453999999995</v>
      </c>
      <c r="O157" s="1">
        <v>7.9210005999999999E-2</v>
      </c>
      <c r="P157" s="1">
        <v>0.92079</v>
      </c>
      <c r="Q157" s="4">
        <v>1</v>
      </c>
      <c r="R157" s="14">
        <v>1</v>
      </c>
      <c r="S157" s="14">
        <v>1</v>
      </c>
    </row>
    <row r="158" spans="1:19">
      <c r="A158" s="1">
        <v>1</v>
      </c>
      <c r="B158" s="1" t="s">
        <v>171</v>
      </c>
      <c r="C158" s="1">
        <v>0.16960922</v>
      </c>
      <c r="D158" s="1">
        <v>0.81186820000000004</v>
      </c>
      <c r="E158" s="1">
        <v>3.2484631999999999E-2</v>
      </c>
      <c r="F158" s="1">
        <v>0.78546786000000002</v>
      </c>
      <c r="G158" s="1">
        <v>1.9634377000000001E-2</v>
      </c>
      <c r="H158" s="1">
        <v>0.98036559999999995</v>
      </c>
      <c r="I158" s="20">
        <v>9.7573275000000008E-6</v>
      </c>
      <c r="J158" s="1">
        <v>0.99999020000000005</v>
      </c>
      <c r="K158" s="1">
        <v>2.9094597E-2</v>
      </c>
      <c r="L158" s="1">
        <v>0.5250899</v>
      </c>
      <c r="M158" s="1">
        <v>2.7463738000000001E-2</v>
      </c>
      <c r="N158" s="1">
        <v>0.97253630000000002</v>
      </c>
      <c r="O158" s="1">
        <v>2.4975727999999999E-2</v>
      </c>
      <c r="P158" s="1">
        <v>0.97502429999999995</v>
      </c>
      <c r="Q158" s="4">
        <v>1</v>
      </c>
      <c r="R158" s="14">
        <v>1</v>
      </c>
      <c r="S158" s="14">
        <v>1</v>
      </c>
    </row>
    <row r="159" spans="1:19">
      <c r="A159" s="1">
        <v>1</v>
      </c>
      <c r="B159" s="1" t="s">
        <v>172</v>
      </c>
      <c r="C159" s="1">
        <v>1.5242107E-2</v>
      </c>
      <c r="D159" s="1">
        <v>0.79245085000000004</v>
      </c>
      <c r="E159" s="1">
        <v>2.7998853000000001E-2</v>
      </c>
      <c r="F159" s="1">
        <v>0.78414200000000001</v>
      </c>
      <c r="G159" s="1">
        <v>1.8641365999999999E-2</v>
      </c>
      <c r="H159" s="1">
        <v>0.98135859999999997</v>
      </c>
      <c r="I159" s="1">
        <v>2.1875959E-2</v>
      </c>
      <c r="J159" s="1">
        <v>0.97812399999999999</v>
      </c>
      <c r="K159" s="1">
        <v>0.10292071</v>
      </c>
      <c r="L159" s="1">
        <v>0.55853516000000003</v>
      </c>
      <c r="M159" s="1">
        <v>5.4979786000000003E-2</v>
      </c>
      <c r="N159" s="1">
        <v>0.94502019999999998</v>
      </c>
      <c r="O159" s="1">
        <v>0.1373694</v>
      </c>
      <c r="P159" s="1">
        <v>0.86263060000000003</v>
      </c>
      <c r="Q159" s="4">
        <v>1</v>
      </c>
      <c r="R159" s="14">
        <v>1</v>
      </c>
      <c r="S159" s="14">
        <v>1</v>
      </c>
    </row>
    <row r="160" spans="1:19">
      <c r="A160" s="1">
        <v>1</v>
      </c>
      <c r="B160" s="1" t="s">
        <v>173</v>
      </c>
      <c r="C160" s="1">
        <v>2.2952914000000001E-2</v>
      </c>
      <c r="D160" s="1">
        <v>0.78396730000000003</v>
      </c>
      <c r="E160" s="1">
        <v>6.5418765000000004E-2</v>
      </c>
      <c r="F160" s="1">
        <v>0.78819819999999996</v>
      </c>
      <c r="G160" s="1">
        <v>1.8524878000000002E-2</v>
      </c>
      <c r="H160" s="1">
        <v>0.98147510000000004</v>
      </c>
      <c r="I160" s="1">
        <v>2.0857545000000002E-2</v>
      </c>
      <c r="J160" s="1">
        <v>0.97914239999999997</v>
      </c>
      <c r="K160" s="1">
        <v>0.10975388</v>
      </c>
      <c r="L160" s="1">
        <v>0.31513859999999999</v>
      </c>
      <c r="M160" s="1">
        <v>0.13719780000000001</v>
      </c>
      <c r="N160" s="1">
        <v>0.86280219999999996</v>
      </c>
      <c r="O160" s="1">
        <v>0.11316013</v>
      </c>
      <c r="P160" s="1">
        <v>0.88683990000000001</v>
      </c>
      <c r="Q160" s="4">
        <v>1</v>
      </c>
      <c r="R160" s="13">
        <v>1</v>
      </c>
      <c r="S160" s="14">
        <v>1</v>
      </c>
    </row>
    <row r="161" spans="1:19">
      <c r="A161" s="1">
        <v>1</v>
      </c>
      <c r="B161" s="1" t="s">
        <v>174</v>
      </c>
      <c r="C161" s="1">
        <v>3.6555730000000002E-2</v>
      </c>
      <c r="D161" s="1">
        <v>0.7881667</v>
      </c>
      <c r="E161" s="1">
        <v>2.7234701E-2</v>
      </c>
      <c r="F161" s="1">
        <v>0.78440803000000003</v>
      </c>
      <c r="G161" s="1">
        <v>3.7514600000000002E-2</v>
      </c>
      <c r="H161" s="1">
        <v>0.96248542999999998</v>
      </c>
      <c r="I161" s="1">
        <v>3.2344049999999999E-2</v>
      </c>
      <c r="J161" s="1">
        <v>0.96765599999999996</v>
      </c>
      <c r="K161" s="1">
        <v>1.8269726999999999E-2</v>
      </c>
      <c r="L161" s="1">
        <v>0.59285927000000005</v>
      </c>
      <c r="M161" s="1">
        <v>0.116992734</v>
      </c>
      <c r="N161" s="1">
        <v>0.88300730000000005</v>
      </c>
      <c r="O161" s="1">
        <v>0.40604758000000002</v>
      </c>
      <c r="P161" s="1">
        <v>0.59395240000000005</v>
      </c>
      <c r="Q161" s="4">
        <v>1</v>
      </c>
      <c r="R161" s="14">
        <v>1</v>
      </c>
      <c r="S161" s="14">
        <v>1</v>
      </c>
    </row>
    <row r="162" spans="1:19">
      <c r="A162" s="1">
        <v>1</v>
      </c>
      <c r="B162" s="1" t="s">
        <v>175</v>
      </c>
      <c r="C162" s="1">
        <v>0.48597016999999998</v>
      </c>
      <c r="D162" s="1">
        <v>0.69389970000000001</v>
      </c>
      <c r="E162" s="1">
        <v>0.598445</v>
      </c>
      <c r="F162" s="1">
        <v>0.62645569999999995</v>
      </c>
      <c r="G162" s="1">
        <v>0.51059014000000003</v>
      </c>
      <c r="H162" s="1">
        <v>0.48940982999999999</v>
      </c>
      <c r="I162" s="1">
        <v>0.27643960000000001</v>
      </c>
      <c r="J162" s="1">
        <v>0.72356045000000002</v>
      </c>
      <c r="K162" s="1">
        <v>0.35654419999999998</v>
      </c>
      <c r="L162" s="1">
        <v>0.10386316</v>
      </c>
      <c r="M162" s="1">
        <v>0.81713619999999998</v>
      </c>
      <c r="N162" s="1">
        <v>0.18286377000000001</v>
      </c>
      <c r="O162" s="1">
        <v>0.98004080000000005</v>
      </c>
      <c r="P162" s="1">
        <v>1.9959233999999999E-2</v>
      </c>
      <c r="Q162" s="4">
        <v>1</v>
      </c>
      <c r="R162" s="14">
        <v>1</v>
      </c>
      <c r="S162" s="14">
        <v>1</v>
      </c>
    </row>
    <row r="163" spans="1:19">
      <c r="A163" s="1">
        <v>1</v>
      </c>
      <c r="B163" s="1" t="s">
        <v>176</v>
      </c>
      <c r="C163" s="1">
        <v>0.24541315</v>
      </c>
      <c r="D163" s="1">
        <v>0.77105749999999995</v>
      </c>
      <c r="E163" s="1">
        <v>0.46107352000000001</v>
      </c>
      <c r="F163" s="1">
        <v>0.73548040000000003</v>
      </c>
      <c r="G163" s="1">
        <v>0.36586294000000003</v>
      </c>
      <c r="H163" s="1">
        <v>0.63413710000000001</v>
      </c>
      <c r="I163" s="1">
        <v>5.6671171999999999E-2</v>
      </c>
      <c r="J163" s="1">
        <v>0.94332879999999997</v>
      </c>
      <c r="K163" s="1">
        <v>1.0771259E-2</v>
      </c>
      <c r="L163" s="1">
        <v>0.32004777000000001</v>
      </c>
      <c r="M163" s="1">
        <v>0.12866305</v>
      </c>
      <c r="N163" s="1">
        <v>0.87133693999999995</v>
      </c>
      <c r="O163" s="1">
        <v>0.41864153999999998</v>
      </c>
      <c r="P163" s="1">
        <v>0.5813585</v>
      </c>
      <c r="Q163" s="4">
        <v>1</v>
      </c>
      <c r="R163" s="14">
        <v>1</v>
      </c>
      <c r="S163" s="14">
        <v>1</v>
      </c>
    </row>
    <row r="164" spans="1:19">
      <c r="A164" s="1">
        <v>1</v>
      </c>
      <c r="B164" s="1" t="s">
        <v>177</v>
      </c>
      <c r="C164" s="1">
        <v>1.5635271999999999E-2</v>
      </c>
      <c r="D164" s="1">
        <v>0.81789690000000004</v>
      </c>
      <c r="E164" s="1">
        <v>4.1406073000000002E-2</v>
      </c>
      <c r="F164" s="1">
        <v>0.78337692999999997</v>
      </c>
      <c r="G164" s="1">
        <v>2.0555609999999998E-2</v>
      </c>
      <c r="H164" s="1">
        <v>0.97944439999999999</v>
      </c>
      <c r="I164" s="1">
        <v>1.8415530999999999E-2</v>
      </c>
      <c r="J164" s="1">
        <v>0.98158440000000002</v>
      </c>
      <c r="K164" s="1">
        <v>2.9214126999999999E-2</v>
      </c>
      <c r="L164" s="1">
        <v>0.32863801999999998</v>
      </c>
      <c r="M164" s="1">
        <v>0.18436988000000001</v>
      </c>
      <c r="N164" s="1">
        <v>0.81563010000000002</v>
      </c>
      <c r="O164" s="1">
        <v>7.2939859999999995E-2</v>
      </c>
      <c r="P164" s="1">
        <v>0.9270602</v>
      </c>
      <c r="Q164" s="4">
        <v>1</v>
      </c>
      <c r="R164" s="14">
        <v>1</v>
      </c>
      <c r="S164" s="14">
        <v>1</v>
      </c>
    </row>
    <row r="165" spans="1:19">
      <c r="A165" s="1">
        <v>1</v>
      </c>
      <c r="B165" s="1" t="s">
        <v>178</v>
      </c>
      <c r="C165" s="1">
        <v>0.77245889999999995</v>
      </c>
      <c r="D165" s="1">
        <v>0.20687479</v>
      </c>
      <c r="E165" s="1">
        <v>0.45814070000000001</v>
      </c>
      <c r="F165" s="1">
        <v>0.6867067</v>
      </c>
      <c r="G165" s="1">
        <v>0.24469473999999999</v>
      </c>
      <c r="H165" s="1">
        <v>0.75530529999999996</v>
      </c>
      <c r="I165" s="1">
        <v>0.84476490000000004</v>
      </c>
      <c r="J165" s="1">
        <v>0.15523511000000001</v>
      </c>
      <c r="K165" s="1">
        <v>0.20735482999999999</v>
      </c>
      <c r="L165" s="1">
        <v>0.18474069000000001</v>
      </c>
      <c r="M165" s="1">
        <v>0.77293146000000001</v>
      </c>
      <c r="N165" s="1">
        <v>0.22706856</v>
      </c>
      <c r="O165" s="1">
        <v>0.76262600000000003</v>
      </c>
      <c r="P165" s="1">
        <v>0.23737404000000001</v>
      </c>
      <c r="Q165" s="4">
        <v>1</v>
      </c>
      <c r="R165" s="13">
        <v>0</v>
      </c>
      <c r="S165" s="14">
        <v>1</v>
      </c>
    </row>
    <row r="166" spans="1:19">
      <c r="A166" s="7">
        <v>1</v>
      </c>
      <c r="B166" s="7" t="s">
        <v>179</v>
      </c>
      <c r="C166" s="7">
        <v>9.4731710000000007E-3</v>
      </c>
      <c r="D166" s="7">
        <v>0.8181737</v>
      </c>
      <c r="E166" s="7">
        <v>3.4940227999999997E-2</v>
      </c>
      <c r="F166" s="7">
        <v>0.79073906000000005</v>
      </c>
      <c r="G166" s="7">
        <v>1.2390574E-2</v>
      </c>
      <c r="H166" s="7">
        <v>0.98760939999999997</v>
      </c>
      <c r="I166" s="7">
        <v>5.5176484999999997E-3</v>
      </c>
      <c r="J166" s="7">
        <v>0.99448239999999999</v>
      </c>
      <c r="K166" s="7">
        <v>6.0798514999999997E-2</v>
      </c>
      <c r="L166" s="7">
        <v>0.36175317000000001</v>
      </c>
      <c r="M166" s="7">
        <v>0.25931662</v>
      </c>
      <c r="N166" s="7">
        <v>0.74068339999999999</v>
      </c>
      <c r="O166" s="7">
        <v>0.65430224000000003</v>
      </c>
      <c r="P166" s="7">
        <v>0.34569776000000002</v>
      </c>
      <c r="Q166" s="8">
        <v>0</v>
      </c>
      <c r="R166" s="16">
        <v>1</v>
      </c>
      <c r="S166" s="16">
        <v>1</v>
      </c>
    </row>
    <row r="167" spans="1:19">
      <c r="A167" s="1">
        <v>1</v>
      </c>
      <c r="B167" s="1" t="s">
        <v>180</v>
      </c>
      <c r="C167" s="1">
        <v>6.5891420000000006E-2</v>
      </c>
      <c r="D167" s="1">
        <v>0.78607850000000001</v>
      </c>
      <c r="E167" s="1">
        <v>0.16631576000000001</v>
      </c>
      <c r="F167" s="1">
        <v>0.75095254</v>
      </c>
      <c r="G167" s="1">
        <v>0.15639594000000001</v>
      </c>
      <c r="H167" s="1">
        <v>0.84360400000000002</v>
      </c>
      <c r="I167" s="1">
        <v>0.15485534000000001</v>
      </c>
      <c r="J167" s="1">
        <v>0.84514469999999997</v>
      </c>
      <c r="K167" s="1">
        <v>7.8348084999999998E-2</v>
      </c>
      <c r="L167" s="1">
        <v>0.45604652000000001</v>
      </c>
      <c r="M167" s="1">
        <v>4.9979664E-2</v>
      </c>
      <c r="N167" s="1">
        <v>0.95002030000000004</v>
      </c>
      <c r="O167" s="1">
        <v>0.11832767</v>
      </c>
      <c r="P167" s="1">
        <v>0.88167229999999996</v>
      </c>
      <c r="Q167" s="4">
        <v>0</v>
      </c>
      <c r="R167" s="14">
        <v>1</v>
      </c>
      <c r="S167" s="14">
        <v>1</v>
      </c>
    </row>
    <row r="168" spans="1:19">
      <c r="A168" s="1">
        <v>1</v>
      </c>
      <c r="B168" s="1" t="s">
        <v>181</v>
      </c>
      <c r="C168" s="1">
        <v>1.2324804999999999E-2</v>
      </c>
      <c r="D168" s="1">
        <v>0.80814266000000001</v>
      </c>
      <c r="E168" s="1">
        <v>0.35613592999999999</v>
      </c>
      <c r="F168" s="1">
        <v>0.69879159999999996</v>
      </c>
      <c r="G168" s="1">
        <v>9.3612420000000002E-2</v>
      </c>
      <c r="H168" s="1">
        <v>0.90638757000000003</v>
      </c>
      <c r="I168" s="1">
        <v>0.14263639</v>
      </c>
      <c r="J168" s="1">
        <v>0.8573636</v>
      </c>
      <c r="K168" s="1">
        <v>0.17096421000000001</v>
      </c>
      <c r="L168" s="1">
        <v>0.33752942000000002</v>
      </c>
      <c r="M168" s="1">
        <v>0.40271597999999997</v>
      </c>
      <c r="N168" s="1">
        <v>0.59728400000000004</v>
      </c>
      <c r="O168" s="1">
        <v>0.61306536</v>
      </c>
      <c r="P168" s="1">
        <v>0.38693457999999997</v>
      </c>
      <c r="Q168" s="4">
        <v>1</v>
      </c>
      <c r="R168" s="14">
        <v>1</v>
      </c>
      <c r="S168" s="14">
        <v>1</v>
      </c>
    </row>
    <row r="169" spans="1:19">
      <c r="A169" s="1">
        <v>1</v>
      </c>
      <c r="B169" s="1" t="s">
        <v>182</v>
      </c>
      <c r="C169" s="1">
        <v>0.35861999999999999</v>
      </c>
      <c r="D169" s="1">
        <v>0.71292990000000001</v>
      </c>
      <c r="E169" s="1">
        <v>5.4802495999999999E-2</v>
      </c>
      <c r="F169" s="1">
        <v>0.77751950000000003</v>
      </c>
      <c r="G169" s="1">
        <v>3.6832473999999997E-2</v>
      </c>
      <c r="H169" s="1">
        <v>0.96316749999999995</v>
      </c>
      <c r="I169" s="1">
        <v>4.7330320000000002E-2</v>
      </c>
      <c r="J169" s="1">
        <v>0.95266969999999995</v>
      </c>
      <c r="K169" s="1">
        <v>0.12349996000000001</v>
      </c>
      <c r="L169" s="1">
        <v>0.35891225999999998</v>
      </c>
      <c r="M169" s="1">
        <v>0.38658310000000001</v>
      </c>
      <c r="N169" s="1">
        <v>0.61341696999999995</v>
      </c>
      <c r="O169" s="1">
        <v>0.65739506000000003</v>
      </c>
      <c r="P169" s="1">
        <v>0.34260499999999999</v>
      </c>
      <c r="Q169" s="4">
        <v>1</v>
      </c>
      <c r="R169" s="14">
        <v>1</v>
      </c>
      <c r="S169" s="14">
        <v>1</v>
      </c>
    </row>
    <row r="170" spans="1:19">
      <c r="A170" s="1">
        <v>1</v>
      </c>
      <c r="B170" s="1" t="s">
        <v>183</v>
      </c>
      <c r="C170" s="1">
        <v>0.30634339999999999</v>
      </c>
      <c r="D170" s="1">
        <v>0.67816259999999995</v>
      </c>
      <c r="E170" s="1">
        <v>0.13091129000000001</v>
      </c>
      <c r="F170" s="1">
        <v>0.73739845000000004</v>
      </c>
      <c r="G170" s="1">
        <v>5.9286505000000003E-2</v>
      </c>
      <c r="H170" s="1">
        <v>0.94071349999999998</v>
      </c>
      <c r="I170" s="1">
        <v>0.23437329000000001</v>
      </c>
      <c r="J170" s="1">
        <v>0.76562680000000005</v>
      </c>
      <c r="K170" s="1">
        <v>1.7761149E-2</v>
      </c>
      <c r="L170" s="1">
        <v>0.52479160000000002</v>
      </c>
      <c r="M170" s="1">
        <v>0.26659434999999998</v>
      </c>
      <c r="N170" s="1">
        <v>0.73340565000000002</v>
      </c>
      <c r="O170" s="1">
        <v>0.59661394000000001</v>
      </c>
      <c r="P170" s="1">
        <v>0.40338603000000001</v>
      </c>
      <c r="Q170" s="4">
        <v>0</v>
      </c>
      <c r="R170" s="13">
        <v>0</v>
      </c>
      <c r="S170" s="14">
        <v>1</v>
      </c>
    </row>
    <row r="171" spans="1:19">
      <c r="A171" s="1">
        <v>1</v>
      </c>
      <c r="B171" s="1" t="s">
        <v>184</v>
      </c>
      <c r="C171" s="1">
        <v>0.23124502999999999</v>
      </c>
      <c r="D171" s="1">
        <v>0.75821870000000002</v>
      </c>
      <c r="E171" s="1">
        <v>0.30097020000000002</v>
      </c>
      <c r="F171" s="1">
        <v>0.75643134000000001</v>
      </c>
      <c r="G171" s="1">
        <v>0.10632862999999999</v>
      </c>
      <c r="H171" s="1">
        <v>0.89367132999999999</v>
      </c>
      <c r="I171" s="1">
        <v>0.21167453999999999</v>
      </c>
      <c r="J171" s="1">
        <v>0.78832539999999995</v>
      </c>
      <c r="K171" s="1">
        <v>0.19554335</v>
      </c>
      <c r="L171" s="1">
        <v>0.34383320000000001</v>
      </c>
      <c r="M171" s="1">
        <v>6.6523895E-2</v>
      </c>
      <c r="N171" s="1">
        <v>0.93347610000000003</v>
      </c>
      <c r="O171" s="1">
        <v>0.23331836</v>
      </c>
      <c r="P171" s="1">
        <v>0.76668159999999996</v>
      </c>
      <c r="Q171" s="4">
        <v>1</v>
      </c>
      <c r="R171" s="13">
        <v>0</v>
      </c>
      <c r="S171" s="14">
        <v>1</v>
      </c>
    </row>
    <row r="172" spans="1:19">
      <c r="A172" s="7">
        <v>1</v>
      </c>
      <c r="B172" s="7" t="s">
        <v>185</v>
      </c>
      <c r="C172" s="7">
        <v>0.18735104999999999</v>
      </c>
      <c r="D172" s="7">
        <v>0.76151440000000004</v>
      </c>
      <c r="E172" s="7">
        <v>0.54650160000000003</v>
      </c>
      <c r="F172" s="7">
        <v>0.64791799999999999</v>
      </c>
      <c r="G172" s="7">
        <v>0.30666473999999999</v>
      </c>
      <c r="H172" s="7">
        <v>0.69333529999999999</v>
      </c>
      <c r="I172" s="7">
        <v>2.426213E-2</v>
      </c>
      <c r="J172" s="7">
        <v>0.97573787000000001</v>
      </c>
      <c r="K172" s="7">
        <v>1.5583125E-2</v>
      </c>
      <c r="L172" s="7">
        <v>0.39568051999999998</v>
      </c>
      <c r="M172" s="7">
        <v>9.5607540000000005E-2</v>
      </c>
      <c r="N172" s="7">
        <v>0.90439239999999999</v>
      </c>
      <c r="O172" s="7">
        <v>6.8577379999999993E-2</v>
      </c>
      <c r="P172" s="7">
        <v>0.93142259999999999</v>
      </c>
      <c r="Q172" s="8">
        <v>0</v>
      </c>
      <c r="R172" s="16">
        <v>1</v>
      </c>
      <c r="S172" s="16">
        <v>1</v>
      </c>
    </row>
    <row r="173" spans="1:19">
      <c r="A173" s="1">
        <v>1</v>
      </c>
      <c r="B173" s="1" t="s">
        <v>186</v>
      </c>
      <c r="C173" s="1">
        <v>0.36993979999999999</v>
      </c>
      <c r="D173" s="1">
        <v>0.72891015000000003</v>
      </c>
      <c r="E173" s="1">
        <v>0.61135779999999995</v>
      </c>
      <c r="F173" s="1">
        <v>0.62535490000000005</v>
      </c>
      <c r="G173" s="1">
        <v>0.59486600000000001</v>
      </c>
      <c r="H173" s="1">
        <v>0.40513401999999998</v>
      </c>
      <c r="I173" s="1">
        <v>0.25875375</v>
      </c>
      <c r="J173" s="1">
        <v>0.74124619999999997</v>
      </c>
      <c r="K173" s="1">
        <v>0.20013486</v>
      </c>
      <c r="L173" s="1">
        <v>0.21652462</v>
      </c>
      <c r="M173" s="1">
        <v>0.42460092999999999</v>
      </c>
      <c r="N173" s="1">
        <v>0.57539903999999997</v>
      </c>
      <c r="O173" s="1">
        <v>0.40899804000000001</v>
      </c>
      <c r="P173" s="1">
        <v>0.59100189999999997</v>
      </c>
      <c r="Q173" s="4">
        <v>1</v>
      </c>
      <c r="R173" s="14">
        <v>1</v>
      </c>
      <c r="S173" s="14">
        <v>1</v>
      </c>
    </row>
    <row r="174" spans="1:19">
      <c r="A174" s="1">
        <v>1</v>
      </c>
      <c r="B174" s="1" t="s">
        <v>187</v>
      </c>
      <c r="C174" s="1">
        <v>0.61528516</v>
      </c>
      <c r="D174" s="1">
        <v>0.60883359999999997</v>
      </c>
      <c r="E174" s="1">
        <v>0.6933954</v>
      </c>
      <c r="F174" s="1">
        <v>0.51115299999999997</v>
      </c>
      <c r="G174" s="1">
        <v>0.59913649999999996</v>
      </c>
      <c r="H174" s="1">
        <v>0.40086349999999998</v>
      </c>
      <c r="I174" s="1">
        <v>0.26696923</v>
      </c>
      <c r="J174" s="1">
        <v>0.73303074000000001</v>
      </c>
      <c r="K174" s="1">
        <v>0.11039423</v>
      </c>
      <c r="L174" s="1">
        <v>0.26762186999999998</v>
      </c>
      <c r="M174" s="1">
        <v>0.26180340000000002</v>
      </c>
      <c r="N174" s="1">
        <v>0.73819659999999998</v>
      </c>
      <c r="O174" s="1">
        <v>0.55265010000000003</v>
      </c>
      <c r="P174" s="1">
        <v>0.44734990000000002</v>
      </c>
      <c r="Q174" s="4">
        <v>1</v>
      </c>
      <c r="R174" s="14">
        <v>1</v>
      </c>
      <c r="S174" s="14">
        <v>1</v>
      </c>
    </row>
    <row r="175" spans="1:19">
      <c r="A175" s="1">
        <v>1</v>
      </c>
      <c r="B175" s="1" t="s">
        <v>188</v>
      </c>
      <c r="C175" s="1">
        <v>0.39160338</v>
      </c>
      <c r="D175" s="1">
        <v>0.68302362999999999</v>
      </c>
      <c r="E175" s="1">
        <v>0.59016389999999996</v>
      </c>
      <c r="F175" s="1">
        <v>0.59792124999999996</v>
      </c>
      <c r="G175" s="1">
        <v>0.43944480000000002</v>
      </c>
      <c r="H175" s="1">
        <v>0.56055516000000005</v>
      </c>
      <c r="I175" s="1">
        <v>0.21907608000000001</v>
      </c>
      <c r="J175" s="1">
        <v>0.7809239</v>
      </c>
      <c r="K175" s="1">
        <v>1.7281035E-2</v>
      </c>
      <c r="L175" s="1">
        <v>0.48102329999999999</v>
      </c>
      <c r="M175" s="1">
        <v>5.1790564999999997E-2</v>
      </c>
      <c r="N175" s="1">
        <v>0.94820945999999995</v>
      </c>
      <c r="O175" s="1">
        <v>2.6553943999999999E-2</v>
      </c>
      <c r="P175" s="1">
        <v>0.97344609999999998</v>
      </c>
      <c r="Q175" s="4">
        <v>1</v>
      </c>
      <c r="R175" s="14">
        <v>1</v>
      </c>
      <c r="S175" s="14">
        <v>1</v>
      </c>
    </row>
    <row r="176" spans="1:19">
      <c r="A176" s="1">
        <v>1</v>
      </c>
      <c r="B176" s="1" t="s">
        <v>189</v>
      </c>
      <c r="C176" s="1">
        <v>5.0025564000000002E-3</v>
      </c>
      <c r="D176" s="1">
        <v>0.79759926000000003</v>
      </c>
      <c r="E176" s="1">
        <v>4.655078E-2</v>
      </c>
      <c r="F176" s="1">
        <v>0.76878314999999997</v>
      </c>
      <c r="G176" s="1">
        <v>2.5411184999999999E-2</v>
      </c>
      <c r="H176" s="1">
        <v>0.97458889999999998</v>
      </c>
      <c r="I176" s="1">
        <v>5.1382925000000003E-2</v>
      </c>
      <c r="J176" s="1">
        <v>0.94861704000000002</v>
      </c>
      <c r="K176" s="1">
        <v>0.14693349999999999</v>
      </c>
      <c r="L176" s="1">
        <v>0.26634458</v>
      </c>
      <c r="M176" s="1">
        <v>0.24324796000000001</v>
      </c>
      <c r="N176" s="1">
        <v>0.75675210000000004</v>
      </c>
      <c r="O176" s="1">
        <v>0.24247850000000001</v>
      </c>
      <c r="P176" s="1">
        <v>0.75752145000000004</v>
      </c>
      <c r="Q176" s="4">
        <v>0</v>
      </c>
      <c r="R176" s="13">
        <v>0</v>
      </c>
      <c r="S176" s="14">
        <v>1</v>
      </c>
    </row>
    <row r="177" spans="1:19">
      <c r="A177" s="1">
        <v>1</v>
      </c>
      <c r="B177" s="1" t="s">
        <v>190</v>
      </c>
      <c r="C177" s="1">
        <v>0.48303097</v>
      </c>
      <c r="D177" s="1">
        <v>0.65894454999999996</v>
      </c>
      <c r="E177" s="1">
        <v>0.41072607</v>
      </c>
      <c r="F177" s="1">
        <v>0.72717489999999996</v>
      </c>
      <c r="G177" s="1">
        <v>0.36206793999999998</v>
      </c>
      <c r="H177" s="1">
        <v>0.6379321</v>
      </c>
      <c r="I177" s="1">
        <v>0.22322622</v>
      </c>
      <c r="J177" s="1">
        <v>0.77677375000000004</v>
      </c>
      <c r="K177" s="1">
        <v>0.24491209999999999</v>
      </c>
      <c r="L177" s="1">
        <v>0.12529879999999999</v>
      </c>
      <c r="M177" s="1">
        <v>0.67289359999999998</v>
      </c>
      <c r="N177" s="1">
        <v>0.32710642000000001</v>
      </c>
      <c r="O177" s="1">
        <v>0.85868955000000002</v>
      </c>
      <c r="P177" s="1">
        <v>0.14131044000000001</v>
      </c>
      <c r="Q177" s="4">
        <v>1</v>
      </c>
      <c r="R177" s="14">
        <v>1</v>
      </c>
      <c r="S177" s="14">
        <v>1</v>
      </c>
    </row>
    <row r="178" spans="1:19">
      <c r="A178" s="1">
        <v>1</v>
      </c>
      <c r="B178" s="1" t="s">
        <v>191</v>
      </c>
      <c r="C178" s="1">
        <v>1.37462E-2</v>
      </c>
      <c r="D178" s="1">
        <v>0.79325769999999995</v>
      </c>
      <c r="E178" s="1">
        <v>8.058063E-2</v>
      </c>
      <c r="F178" s="1">
        <v>0.80023056000000004</v>
      </c>
      <c r="G178" s="1">
        <v>3.6672499999999997E-2</v>
      </c>
      <c r="H178" s="1">
        <v>0.9633275</v>
      </c>
      <c r="I178" s="1">
        <v>4.9578574E-2</v>
      </c>
      <c r="J178" s="1">
        <v>0.95042145</v>
      </c>
      <c r="K178" s="1">
        <v>3.6298163000000001E-2</v>
      </c>
      <c r="L178" s="1">
        <v>0.51346990000000003</v>
      </c>
      <c r="M178" s="1">
        <v>0.18838104999999999</v>
      </c>
      <c r="N178" s="1">
        <v>0.81161899999999998</v>
      </c>
      <c r="O178" s="1">
        <v>0.42449292999999999</v>
      </c>
      <c r="P178" s="1">
        <v>0.57550710000000005</v>
      </c>
      <c r="Q178" s="4">
        <v>1</v>
      </c>
      <c r="R178" s="14">
        <v>1</v>
      </c>
      <c r="S178" s="14">
        <v>1</v>
      </c>
    </row>
    <row r="179" spans="1:19">
      <c r="A179" s="1">
        <v>1</v>
      </c>
      <c r="B179" s="1" t="s">
        <v>192</v>
      </c>
      <c r="C179" s="1">
        <v>1.1157723E-2</v>
      </c>
      <c r="D179" s="1">
        <v>0.82030590000000003</v>
      </c>
      <c r="E179" s="1">
        <v>8.5734959999999999E-2</v>
      </c>
      <c r="F179" s="1">
        <v>0.77091836999999996</v>
      </c>
      <c r="G179" s="1">
        <v>4.8081069999999997E-2</v>
      </c>
      <c r="H179" s="1">
        <v>0.95191895999999998</v>
      </c>
      <c r="I179" s="1">
        <v>3.5500165E-2</v>
      </c>
      <c r="J179" s="1">
        <v>0.96449982999999995</v>
      </c>
      <c r="K179" s="1">
        <v>6.6555320000000001E-2</v>
      </c>
      <c r="L179" s="1">
        <v>0.41463315000000001</v>
      </c>
      <c r="M179" s="1">
        <v>0.22218291000000001</v>
      </c>
      <c r="N179" s="1">
        <v>0.77781710000000004</v>
      </c>
      <c r="O179" s="1">
        <v>0.18869549999999999</v>
      </c>
      <c r="P179" s="1">
        <v>0.81130449999999998</v>
      </c>
      <c r="Q179" s="4">
        <v>1</v>
      </c>
      <c r="R179" s="14">
        <v>1</v>
      </c>
      <c r="S179" s="14">
        <v>1</v>
      </c>
    </row>
    <row r="180" spans="1:19">
      <c r="A180" s="7">
        <v>1</v>
      </c>
      <c r="B180" s="7" t="s">
        <v>193</v>
      </c>
      <c r="C180" s="7">
        <v>0.68560403999999997</v>
      </c>
      <c r="D180" s="7">
        <v>0.48563823</v>
      </c>
      <c r="E180" s="7">
        <v>0.73213640000000002</v>
      </c>
      <c r="F180" s="7">
        <v>0.3739904</v>
      </c>
      <c r="G180" s="7">
        <v>0.88354825999999997</v>
      </c>
      <c r="H180" s="7">
        <v>0.11645171</v>
      </c>
      <c r="I180" s="7">
        <v>0.78521096999999995</v>
      </c>
      <c r="J180" s="7">
        <v>0.21478907999999999</v>
      </c>
      <c r="K180" s="7">
        <v>0.15342733</v>
      </c>
      <c r="L180" s="7">
        <v>0.42559564</v>
      </c>
      <c r="M180" s="7">
        <v>0.28000575</v>
      </c>
      <c r="N180" s="7">
        <v>0.71999424999999995</v>
      </c>
      <c r="O180" s="7">
        <v>0.84304199999999996</v>
      </c>
      <c r="P180" s="7">
        <v>0.15695795000000001</v>
      </c>
      <c r="Q180" s="8">
        <v>1</v>
      </c>
      <c r="R180" s="16">
        <v>1</v>
      </c>
      <c r="S180" s="16">
        <v>1</v>
      </c>
    </row>
    <row r="181" spans="1:19">
      <c r="A181" s="1">
        <v>1</v>
      </c>
      <c r="B181" s="1" t="s">
        <v>194</v>
      </c>
      <c r="C181" s="1">
        <v>0.18751493</v>
      </c>
      <c r="D181" s="1">
        <v>0.78322979999999998</v>
      </c>
      <c r="E181" s="1">
        <v>0.28121724999999997</v>
      </c>
      <c r="F181" s="1">
        <v>0.74813819999999998</v>
      </c>
      <c r="G181" s="1">
        <v>0.23358329999999999</v>
      </c>
      <c r="H181" s="1">
        <v>0.76641669999999995</v>
      </c>
      <c r="I181" s="1">
        <v>0.17937887</v>
      </c>
      <c r="J181" s="1">
        <v>0.82062120000000005</v>
      </c>
      <c r="K181" s="1">
        <v>6.3909869999999994E-2</v>
      </c>
      <c r="L181" s="1">
        <v>0.41429820000000001</v>
      </c>
      <c r="M181" s="1">
        <v>0.18064959999999999</v>
      </c>
      <c r="N181" s="1">
        <v>0.81935040000000003</v>
      </c>
      <c r="O181" s="1">
        <v>0.19308420000000001</v>
      </c>
      <c r="P181" s="1">
        <v>0.80691579999999996</v>
      </c>
      <c r="Q181" s="4">
        <v>1</v>
      </c>
      <c r="R181" s="14">
        <v>1</v>
      </c>
      <c r="S181" s="14">
        <v>1</v>
      </c>
    </row>
    <row r="182" spans="1:19">
      <c r="A182" s="1">
        <v>1</v>
      </c>
      <c r="B182" s="1" t="s">
        <v>195</v>
      </c>
      <c r="C182" s="1">
        <v>0.78985819999999995</v>
      </c>
      <c r="D182" s="1">
        <v>0.12401091</v>
      </c>
      <c r="E182" s="1">
        <v>0.69425879999999995</v>
      </c>
      <c r="F182" s="1">
        <v>0.48359545999999998</v>
      </c>
      <c r="G182" s="1">
        <v>0.67715864999999997</v>
      </c>
      <c r="H182" s="1">
        <v>0.32284138000000001</v>
      </c>
      <c r="I182" s="1">
        <v>0.96300260000000004</v>
      </c>
      <c r="J182" s="1">
        <v>3.6997426E-2</v>
      </c>
      <c r="K182" s="1">
        <v>6.9927655000000005E-2</v>
      </c>
      <c r="L182" s="1">
        <v>0.42839729999999998</v>
      </c>
      <c r="M182" s="1">
        <v>0.39834059999999999</v>
      </c>
      <c r="N182" s="1">
        <v>0.60165935999999998</v>
      </c>
      <c r="O182" s="1">
        <v>0.60864322999999998</v>
      </c>
      <c r="P182" s="1">
        <v>0.39135673999999998</v>
      </c>
      <c r="Q182" s="4">
        <v>0</v>
      </c>
      <c r="R182" s="13">
        <v>0</v>
      </c>
      <c r="S182" s="14">
        <v>1</v>
      </c>
    </row>
    <row r="183" spans="1:19">
      <c r="A183" s="1">
        <v>1</v>
      </c>
      <c r="B183" s="1" t="s">
        <v>196</v>
      </c>
      <c r="C183" s="1">
        <v>2.4394503000000001E-2</v>
      </c>
      <c r="D183" s="1">
        <v>0.81600523000000003</v>
      </c>
      <c r="E183" s="1">
        <v>0.10604929</v>
      </c>
      <c r="F183" s="1">
        <v>0.79044619999999999</v>
      </c>
      <c r="G183" s="1">
        <v>6.2621029999999994E-2</v>
      </c>
      <c r="H183" s="1">
        <v>0.93737893999999999</v>
      </c>
      <c r="I183" s="1">
        <v>3.8444395999999999E-2</v>
      </c>
      <c r="J183" s="1">
        <v>0.96155559999999995</v>
      </c>
      <c r="K183" s="1">
        <v>0.11964395999999999</v>
      </c>
      <c r="L183" s="1">
        <v>0.47658067999999998</v>
      </c>
      <c r="M183" s="1">
        <v>0.21053954999999999</v>
      </c>
      <c r="N183" s="1">
        <v>0.78946050000000001</v>
      </c>
      <c r="O183" s="1">
        <v>0.48608303000000003</v>
      </c>
      <c r="P183" s="1">
        <v>0.51391697000000003</v>
      </c>
      <c r="Q183" s="4">
        <v>0</v>
      </c>
      <c r="R183" s="14">
        <v>1</v>
      </c>
      <c r="S183" s="14">
        <v>1</v>
      </c>
    </row>
    <row r="184" spans="1:19">
      <c r="A184" s="1">
        <v>1</v>
      </c>
      <c r="B184" s="1" t="s">
        <v>197</v>
      </c>
      <c r="C184" s="1">
        <v>0.40884083999999998</v>
      </c>
      <c r="D184" s="1">
        <v>0.73370619999999998</v>
      </c>
      <c r="E184" s="1">
        <v>0.40588686000000002</v>
      </c>
      <c r="F184" s="1">
        <v>0.73606132999999996</v>
      </c>
      <c r="G184" s="1">
        <v>0.34872516999999997</v>
      </c>
      <c r="H184" s="1">
        <v>0.65127486000000001</v>
      </c>
      <c r="I184" s="1">
        <v>0.40985197000000001</v>
      </c>
      <c r="J184" s="1">
        <v>0.59014800000000001</v>
      </c>
      <c r="K184" s="1">
        <v>0.11665249</v>
      </c>
      <c r="L184" s="1">
        <v>0.55477345</v>
      </c>
      <c r="M184" s="1">
        <v>6.6307469999999993E-2</v>
      </c>
      <c r="N184" s="1">
        <v>0.93369250000000004</v>
      </c>
      <c r="O184" s="1">
        <v>0.50389843999999995</v>
      </c>
      <c r="P184" s="1">
        <v>0.49610153000000001</v>
      </c>
      <c r="Q184" s="4">
        <v>1</v>
      </c>
      <c r="R184" s="14">
        <v>1</v>
      </c>
      <c r="S184" s="14">
        <v>1</v>
      </c>
    </row>
    <row r="185" spans="1:19">
      <c r="A185" s="1">
        <v>1</v>
      </c>
      <c r="B185" s="1" t="s">
        <v>198</v>
      </c>
      <c r="C185" s="1">
        <v>0.19984946000000001</v>
      </c>
      <c r="D185" s="1">
        <v>0.75516534000000002</v>
      </c>
      <c r="E185" s="1">
        <v>0.52573526000000004</v>
      </c>
      <c r="F185" s="1">
        <v>0.63605535000000002</v>
      </c>
      <c r="G185" s="1">
        <v>0.48266009999999998</v>
      </c>
      <c r="H185" s="1">
        <v>0.51733994000000005</v>
      </c>
      <c r="I185" s="1">
        <v>0.23768285</v>
      </c>
      <c r="J185" s="1">
        <v>0.76231709999999997</v>
      </c>
      <c r="K185" s="1">
        <v>0.18580358999999999</v>
      </c>
      <c r="L185" s="1">
        <v>0.33181533000000002</v>
      </c>
      <c r="M185" s="1">
        <v>7.2458159999999994E-2</v>
      </c>
      <c r="N185" s="1">
        <v>0.92754185</v>
      </c>
      <c r="O185" s="1">
        <v>0.20026803000000001</v>
      </c>
      <c r="P185" s="1">
        <v>0.79973196999999996</v>
      </c>
      <c r="Q185" s="4">
        <v>1</v>
      </c>
      <c r="R185" s="14">
        <v>1</v>
      </c>
      <c r="S185" s="14">
        <v>1</v>
      </c>
    </row>
    <row r="186" spans="1:19">
      <c r="A186" s="1">
        <v>1</v>
      </c>
      <c r="B186" s="1" t="s">
        <v>199</v>
      </c>
      <c r="C186" s="1">
        <v>5.9786947000000003E-3</v>
      </c>
      <c r="D186" s="1">
        <v>0.78239965</v>
      </c>
      <c r="E186" s="1">
        <v>0.2190454</v>
      </c>
      <c r="F186" s="1">
        <v>0.76462036</v>
      </c>
      <c r="G186" s="1">
        <v>0.11937439</v>
      </c>
      <c r="H186" s="1">
        <v>0.88062560000000001</v>
      </c>
      <c r="I186" s="1">
        <v>7.1944757000000003E-3</v>
      </c>
      <c r="J186" s="1">
        <v>0.99280553999999999</v>
      </c>
      <c r="K186" s="1">
        <v>2.0286710999999999E-2</v>
      </c>
      <c r="L186" s="1">
        <v>0.37846580000000002</v>
      </c>
      <c r="M186" s="1">
        <v>0.13627149</v>
      </c>
      <c r="N186" s="1">
        <v>0.86372846000000003</v>
      </c>
      <c r="O186" s="1">
        <v>5.7610698000000002E-2</v>
      </c>
      <c r="P186" s="1">
        <v>0.94238929999999999</v>
      </c>
      <c r="Q186" s="4">
        <v>1</v>
      </c>
      <c r="R186" s="14">
        <v>1</v>
      </c>
      <c r="S186" s="14">
        <v>1</v>
      </c>
    </row>
    <row r="187" spans="1:19">
      <c r="A187" s="1">
        <v>1</v>
      </c>
      <c r="B187" s="1" t="s">
        <v>200</v>
      </c>
      <c r="C187" s="1">
        <v>0.46977364999999999</v>
      </c>
      <c r="D187" s="1">
        <v>0.69950619999999997</v>
      </c>
      <c r="E187" s="1">
        <v>0.36398783000000001</v>
      </c>
      <c r="F187" s="1">
        <v>0.7489247</v>
      </c>
      <c r="G187" s="1">
        <v>0.19537967000000001</v>
      </c>
      <c r="H187" s="1">
        <v>0.80462029999999995</v>
      </c>
      <c r="I187" s="1">
        <v>0.50849</v>
      </c>
      <c r="J187" s="1">
        <v>0.49151</v>
      </c>
      <c r="K187" s="1">
        <v>9.0894796E-2</v>
      </c>
      <c r="L187" s="1">
        <v>0.31729162</v>
      </c>
      <c r="M187" s="1">
        <v>0.4913515</v>
      </c>
      <c r="N187" s="1">
        <v>0.50864849999999995</v>
      </c>
      <c r="O187" s="1">
        <v>0.69819010000000004</v>
      </c>
      <c r="P187" s="1">
        <v>0.30180994</v>
      </c>
      <c r="Q187" s="4">
        <v>1</v>
      </c>
      <c r="R187" s="14">
        <v>1</v>
      </c>
      <c r="S187" s="14">
        <v>1</v>
      </c>
    </row>
    <row r="188" spans="1:19">
      <c r="A188" s="7">
        <v>1</v>
      </c>
      <c r="B188" s="7" t="s">
        <v>201</v>
      </c>
      <c r="C188" s="7">
        <v>0.33379809999999999</v>
      </c>
      <c r="D188" s="7">
        <v>0.72373330000000002</v>
      </c>
      <c r="E188" s="7">
        <v>6.5717399999999995E-2</v>
      </c>
      <c r="F188" s="7">
        <v>0.76671314000000002</v>
      </c>
      <c r="G188" s="7">
        <v>5.2206203E-2</v>
      </c>
      <c r="H188" s="7">
        <v>0.94779380000000002</v>
      </c>
      <c r="I188" s="7">
        <v>0.10852152</v>
      </c>
      <c r="J188" s="7">
        <v>0.8914784</v>
      </c>
      <c r="K188" s="7">
        <v>0.13836180000000001</v>
      </c>
      <c r="L188" s="7">
        <v>0.45766118</v>
      </c>
      <c r="M188" s="7">
        <v>0.53856134</v>
      </c>
      <c r="N188" s="7">
        <v>0.46143869999999998</v>
      </c>
      <c r="O188" s="7">
        <v>0.91220319999999999</v>
      </c>
      <c r="P188" s="7">
        <v>8.7796780000000005E-2</v>
      </c>
      <c r="Q188" s="8">
        <v>1</v>
      </c>
      <c r="R188" s="16">
        <v>1</v>
      </c>
      <c r="S188" s="16">
        <v>1</v>
      </c>
    </row>
    <row r="189" spans="1:19">
      <c r="Q189" s="4"/>
      <c r="R189" s="21"/>
      <c r="S189" s="21"/>
    </row>
    <row r="190" spans="1:19">
      <c r="A190" s="1" t="s">
        <v>202</v>
      </c>
      <c r="Q190" s="4"/>
      <c r="R190" s="13"/>
      <c r="S190" s="14"/>
    </row>
    <row r="191" spans="1:19">
      <c r="A191" s="1">
        <v>0</v>
      </c>
      <c r="B191" s="1" t="s">
        <v>203</v>
      </c>
      <c r="C191" s="1">
        <v>0.80818164000000003</v>
      </c>
      <c r="D191" s="1">
        <v>7.5117394000000004E-2</v>
      </c>
      <c r="E191" s="1">
        <v>0.79597883999999997</v>
      </c>
      <c r="F191" s="1">
        <v>0.10931726999999999</v>
      </c>
      <c r="G191" s="1">
        <v>0.91919695999999995</v>
      </c>
      <c r="H191" s="1">
        <v>8.0803014000000006E-2</v>
      </c>
      <c r="I191" s="1">
        <v>0.65421929999999995</v>
      </c>
      <c r="J191" s="1">
        <v>0.34578072999999998</v>
      </c>
      <c r="K191" s="1">
        <v>0.34385379999999999</v>
      </c>
      <c r="L191" s="1">
        <v>6.9357349999999998E-2</v>
      </c>
      <c r="M191" s="1">
        <v>0.79650529999999997</v>
      </c>
      <c r="N191" s="1">
        <v>0.20349473000000001</v>
      </c>
      <c r="O191" s="1">
        <v>0.80505660000000001</v>
      </c>
      <c r="P191" s="1">
        <v>0.19494346000000001</v>
      </c>
      <c r="Q191" s="4">
        <v>0</v>
      </c>
      <c r="R191" s="13">
        <v>0</v>
      </c>
      <c r="S191" s="14">
        <v>0</v>
      </c>
    </row>
    <row r="192" spans="1:19">
      <c r="A192" s="7">
        <v>0</v>
      </c>
      <c r="B192" s="7" t="s">
        <v>204</v>
      </c>
      <c r="C192" s="7">
        <v>0.77244674999999996</v>
      </c>
      <c r="D192" s="7">
        <v>0.13635448</v>
      </c>
      <c r="E192" s="7">
        <v>0.70412799999999998</v>
      </c>
      <c r="F192" s="7">
        <v>0.37263030000000003</v>
      </c>
      <c r="G192" s="7">
        <v>0.81026359999999997</v>
      </c>
      <c r="H192" s="7">
        <v>0.18973638000000001</v>
      </c>
      <c r="I192" s="7">
        <v>0.79484177</v>
      </c>
      <c r="J192" s="7">
        <v>0.20515823</v>
      </c>
      <c r="K192" s="7">
        <v>0.1017528</v>
      </c>
      <c r="L192" s="7">
        <v>0.11964584</v>
      </c>
      <c r="M192" s="7">
        <v>0.59110426999999999</v>
      </c>
      <c r="N192" s="7">
        <v>0.40889576</v>
      </c>
      <c r="O192" s="7">
        <v>0.23348147999999999</v>
      </c>
      <c r="P192" s="7">
        <v>0.76651853000000003</v>
      </c>
      <c r="Q192" s="8">
        <v>0</v>
      </c>
      <c r="R192" s="15">
        <v>0</v>
      </c>
      <c r="S192" s="16">
        <v>1</v>
      </c>
    </row>
    <row r="193" spans="1:19">
      <c r="A193" s="1">
        <v>0</v>
      </c>
      <c r="B193" s="1" t="s">
        <v>205</v>
      </c>
      <c r="C193" s="1">
        <v>0.54151355999999995</v>
      </c>
      <c r="D193" s="1">
        <v>0.59856379999999998</v>
      </c>
      <c r="E193" s="1">
        <v>0.58054930000000005</v>
      </c>
      <c r="F193" s="1">
        <v>0.57371885</v>
      </c>
      <c r="G193" s="1">
        <v>0.60109615000000005</v>
      </c>
      <c r="H193" s="1">
        <v>0.39890382000000002</v>
      </c>
      <c r="I193" s="1">
        <v>0.50720900000000002</v>
      </c>
      <c r="J193" s="1">
        <v>0.49279103000000002</v>
      </c>
      <c r="K193" s="1">
        <v>0.21508711999999999</v>
      </c>
      <c r="L193" s="1">
        <v>0.10125743</v>
      </c>
      <c r="M193" s="1">
        <v>0.49112670000000003</v>
      </c>
      <c r="N193" s="1">
        <v>0.50887329999999997</v>
      </c>
      <c r="O193" s="1">
        <v>0.25379797999999998</v>
      </c>
      <c r="P193" s="1">
        <v>0.74620204999999995</v>
      </c>
      <c r="Q193" s="4">
        <v>0</v>
      </c>
      <c r="R193" s="13">
        <v>0</v>
      </c>
      <c r="S193" s="14">
        <v>0</v>
      </c>
    </row>
    <row r="194" spans="1:19">
      <c r="A194" s="1">
        <v>0</v>
      </c>
      <c r="B194" s="1" t="s">
        <v>206</v>
      </c>
      <c r="C194" s="1">
        <v>0.48751840000000002</v>
      </c>
      <c r="D194" s="1">
        <v>0.64636490000000002</v>
      </c>
      <c r="E194" s="1">
        <v>0.35534394000000002</v>
      </c>
      <c r="F194" s="1">
        <v>0.69571749999999999</v>
      </c>
      <c r="G194" s="1">
        <v>8.0896960000000004E-2</v>
      </c>
      <c r="H194" s="1">
        <v>0.91910296999999996</v>
      </c>
      <c r="I194" s="1">
        <v>0.40581899999999999</v>
      </c>
      <c r="J194" s="1">
        <v>0.59418099999999996</v>
      </c>
      <c r="K194" s="1">
        <v>5.3270629999999999E-2</v>
      </c>
      <c r="L194" s="1">
        <v>0.38246402000000002</v>
      </c>
      <c r="M194" s="1">
        <v>0.15426570000000001</v>
      </c>
      <c r="N194" s="1">
        <v>0.84573436000000002</v>
      </c>
      <c r="O194" s="1">
        <v>0.40875736000000001</v>
      </c>
      <c r="P194" s="1">
        <v>0.59124259999999995</v>
      </c>
      <c r="Q194" s="4">
        <v>0</v>
      </c>
      <c r="R194" s="14">
        <v>1</v>
      </c>
      <c r="S194" s="14">
        <v>1</v>
      </c>
    </row>
    <row r="195" spans="1:19">
      <c r="A195" s="1">
        <v>0</v>
      </c>
      <c r="B195" s="1" t="s">
        <v>207</v>
      </c>
      <c r="C195" s="1">
        <v>0.25197950000000002</v>
      </c>
      <c r="D195" s="1">
        <v>0.76670766000000001</v>
      </c>
      <c r="E195" s="1">
        <v>0.41520629999999997</v>
      </c>
      <c r="F195" s="1">
        <v>0.64907044000000003</v>
      </c>
      <c r="G195" s="1">
        <v>0.32164207</v>
      </c>
      <c r="H195" s="1">
        <v>0.67835789999999996</v>
      </c>
      <c r="I195" s="1">
        <v>0.13854115</v>
      </c>
      <c r="J195" s="1">
        <v>0.86145883999999995</v>
      </c>
      <c r="K195" s="1">
        <v>0.23263338</v>
      </c>
      <c r="L195" s="1">
        <v>0.32651580000000002</v>
      </c>
      <c r="M195" s="1">
        <v>0.19458434999999999</v>
      </c>
      <c r="N195" s="1">
        <v>0.80541560000000001</v>
      </c>
      <c r="O195" s="1">
        <v>0.15583833</v>
      </c>
      <c r="P195" s="1">
        <v>0.84416170000000001</v>
      </c>
      <c r="Q195" s="4">
        <v>0</v>
      </c>
      <c r="R195" s="14">
        <v>0</v>
      </c>
      <c r="S195" s="14">
        <v>0</v>
      </c>
    </row>
    <row r="196" spans="1:19">
      <c r="A196" s="1">
        <v>0</v>
      </c>
      <c r="B196" s="1" t="s">
        <v>208</v>
      </c>
      <c r="C196" s="1">
        <v>0.68125004</v>
      </c>
      <c r="D196" s="1">
        <v>0.48255196</v>
      </c>
      <c r="E196" s="1">
        <v>0.55660032999999998</v>
      </c>
      <c r="F196" s="1">
        <v>0.63056343999999998</v>
      </c>
      <c r="G196" s="1">
        <v>0.23430989999999999</v>
      </c>
      <c r="H196" s="1">
        <v>0.76569010000000004</v>
      </c>
      <c r="I196" s="1">
        <v>0.75546040000000003</v>
      </c>
      <c r="J196" s="1">
        <v>0.24453959</v>
      </c>
      <c r="K196" s="1">
        <v>7.0009835000000006E-2</v>
      </c>
      <c r="L196" s="1">
        <v>0.53045500000000001</v>
      </c>
      <c r="M196" s="1">
        <v>0.29112163000000002</v>
      </c>
      <c r="N196" s="1">
        <v>0.70887834000000005</v>
      </c>
      <c r="O196" s="1">
        <v>0.21656681999999999</v>
      </c>
      <c r="P196" s="1">
        <v>0.78343320000000005</v>
      </c>
      <c r="Q196" s="4">
        <v>0</v>
      </c>
      <c r="R196" s="13">
        <v>0</v>
      </c>
      <c r="S196" s="14">
        <v>0</v>
      </c>
    </row>
    <row r="197" spans="1:19">
      <c r="A197" s="1">
        <v>0</v>
      </c>
      <c r="B197" s="1" t="s">
        <v>209</v>
      </c>
      <c r="C197" s="1">
        <v>0.81849474</v>
      </c>
      <c r="D197" s="1">
        <v>9.1240699999999994E-2</v>
      </c>
      <c r="E197" s="1">
        <v>0.78453300000000004</v>
      </c>
      <c r="F197" s="1">
        <v>0.16532922999999999</v>
      </c>
      <c r="G197" s="1">
        <v>0.80426186</v>
      </c>
      <c r="H197" s="1">
        <v>0.19573818000000001</v>
      </c>
      <c r="I197" s="1">
        <v>0.98114210000000002</v>
      </c>
      <c r="J197" s="1">
        <v>1.8857881E-2</v>
      </c>
      <c r="K197" s="1">
        <v>0.36500946000000001</v>
      </c>
      <c r="L197" s="1">
        <v>3.5407505999999998E-2</v>
      </c>
      <c r="M197" s="1">
        <v>0.69816946999999996</v>
      </c>
      <c r="N197" s="1">
        <v>0.30183052999999999</v>
      </c>
      <c r="O197" s="1">
        <v>0.74549615000000002</v>
      </c>
      <c r="P197" s="1">
        <v>0.25450384999999998</v>
      </c>
      <c r="Q197" s="4">
        <v>0</v>
      </c>
      <c r="R197" s="13">
        <v>0</v>
      </c>
      <c r="S197" s="14">
        <v>0</v>
      </c>
    </row>
    <row r="198" spans="1:19">
      <c r="A198" s="1">
        <v>0</v>
      </c>
      <c r="B198" s="1" t="s">
        <v>210</v>
      </c>
      <c r="C198" s="1">
        <v>0.78249323000000004</v>
      </c>
      <c r="D198" s="1">
        <v>0.18296994</v>
      </c>
      <c r="E198" s="1">
        <v>0.74230309999999999</v>
      </c>
      <c r="F198" s="1">
        <v>0.30512685000000001</v>
      </c>
      <c r="G198" s="1">
        <v>0.72254026000000005</v>
      </c>
      <c r="H198" s="1">
        <v>0.27745974000000001</v>
      </c>
      <c r="I198" s="1">
        <v>0.78956866000000003</v>
      </c>
      <c r="J198" s="1">
        <v>0.21043133999999999</v>
      </c>
      <c r="K198" s="1">
        <v>0.3550951</v>
      </c>
      <c r="L198" s="1">
        <v>0.17360133</v>
      </c>
      <c r="M198" s="1">
        <v>0.77176493000000002</v>
      </c>
      <c r="N198" s="1">
        <v>0.22823499999999999</v>
      </c>
      <c r="O198" s="1">
        <v>0.93454630000000005</v>
      </c>
      <c r="P198" s="1">
        <v>6.5453769999999994E-2</v>
      </c>
      <c r="Q198" s="4">
        <v>0</v>
      </c>
      <c r="R198" s="13">
        <v>0</v>
      </c>
      <c r="S198" s="14">
        <v>0</v>
      </c>
    </row>
    <row r="199" spans="1:19">
      <c r="A199" s="1">
        <v>0</v>
      </c>
      <c r="B199" s="1" t="s">
        <v>211</v>
      </c>
      <c r="C199" s="1">
        <v>0.77350269999999999</v>
      </c>
      <c r="D199" s="1">
        <v>0.23639962</v>
      </c>
      <c r="E199" s="1">
        <v>0.73784404999999997</v>
      </c>
      <c r="F199" s="1">
        <v>0.31345043</v>
      </c>
      <c r="G199" s="1">
        <v>0.79200064999999997</v>
      </c>
      <c r="H199" s="1">
        <v>0.2079994</v>
      </c>
      <c r="I199" s="1">
        <v>0.92132380000000003</v>
      </c>
      <c r="J199" s="1">
        <v>7.8676179999999998E-2</v>
      </c>
      <c r="K199" s="1">
        <v>5.9541351999999999E-2</v>
      </c>
      <c r="L199" s="1">
        <v>0.32767087</v>
      </c>
      <c r="M199" s="1">
        <v>0.57872440000000003</v>
      </c>
      <c r="N199" s="1">
        <v>0.42127562000000002</v>
      </c>
      <c r="O199" s="1">
        <v>0.44323554999999998</v>
      </c>
      <c r="P199" s="1">
        <v>0.55676440000000005</v>
      </c>
      <c r="Q199" s="4">
        <v>0</v>
      </c>
      <c r="R199" s="13">
        <v>0</v>
      </c>
      <c r="S199" s="14">
        <v>0</v>
      </c>
    </row>
    <row r="200" spans="1:19">
      <c r="A200" s="1">
        <v>0</v>
      </c>
      <c r="B200" s="1" t="s">
        <v>212</v>
      </c>
      <c r="C200" s="1">
        <v>0.48510324999999999</v>
      </c>
      <c r="D200" s="1">
        <v>0.65508379999999999</v>
      </c>
      <c r="E200" s="1">
        <v>0.55028569999999999</v>
      </c>
      <c r="F200" s="1">
        <v>0.65199786000000004</v>
      </c>
      <c r="G200" s="1">
        <v>0.26096570000000002</v>
      </c>
      <c r="H200" s="1">
        <v>0.73903430000000003</v>
      </c>
      <c r="I200" s="1">
        <v>0.2710649</v>
      </c>
      <c r="J200" s="1">
        <v>0.72893505999999997</v>
      </c>
      <c r="K200" s="1">
        <v>9.5672919999999995E-2</v>
      </c>
      <c r="L200" s="1">
        <v>0.51245916000000002</v>
      </c>
      <c r="M200" s="1">
        <v>4.9030314999999998E-2</v>
      </c>
      <c r="N200" s="1">
        <v>0.95096963999999995</v>
      </c>
      <c r="O200" s="1">
        <v>7.7735743999999996E-2</v>
      </c>
      <c r="P200" s="1">
        <v>0.92226430000000004</v>
      </c>
      <c r="Q200" s="4">
        <v>0</v>
      </c>
      <c r="R200" s="13">
        <v>0</v>
      </c>
      <c r="S200" s="14">
        <v>0</v>
      </c>
    </row>
    <row r="201" spans="1:19">
      <c r="A201" s="1">
        <v>0</v>
      </c>
      <c r="B201" s="1" t="s">
        <v>213</v>
      </c>
      <c r="C201" s="1">
        <v>0.8090543</v>
      </c>
      <c r="D201" s="1">
        <v>6.83367E-2</v>
      </c>
      <c r="E201" s="1">
        <v>0.74739443999999999</v>
      </c>
      <c r="F201" s="1">
        <v>0.16186516000000001</v>
      </c>
      <c r="G201" s="1">
        <v>0.92986243999999996</v>
      </c>
      <c r="H201" s="1">
        <v>7.0137519999999995E-2</v>
      </c>
      <c r="I201" s="1">
        <v>0.91636550000000006</v>
      </c>
      <c r="J201" s="1">
        <v>8.3634429999999996E-2</v>
      </c>
      <c r="K201" s="1">
        <v>0.33473668000000001</v>
      </c>
      <c r="L201" s="1">
        <v>4.7049112999999997E-3</v>
      </c>
      <c r="M201" s="1">
        <v>0.64129840000000005</v>
      </c>
      <c r="N201" s="1">
        <v>0.35870162</v>
      </c>
      <c r="O201" s="1">
        <v>0.37311850000000002</v>
      </c>
      <c r="P201" s="1">
        <v>0.62688153999999996</v>
      </c>
      <c r="Q201" s="4">
        <v>1</v>
      </c>
      <c r="R201" s="14">
        <v>1</v>
      </c>
      <c r="S201" s="14">
        <v>0</v>
      </c>
    </row>
    <row r="202" spans="1:19">
      <c r="A202" s="1">
        <v>0</v>
      </c>
      <c r="B202" s="1" t="s">
        <v>214</v>
      </c>
      <c r="C202" s="1">
        <v>0.65862109999999996</v>
      </c>
      <c r="D202" s="1">
        <v>0.47719535000000002</v>
      </c>
      <c r="E202" s="1">
        <v>0.70757950000000003</v>
      </c>
      <c r="F202" s="1">
        <v>0.47328615000000002</v>
      </c>
      <c r="G202" s="1">
        <v>0.41387463000000002</v>
      </c>
      <c r="H202" s="1">
        <v>0.58612540000000002</v>
      </c>
      <c r="I202" s="1">
        <v>0.70646346000000004</v>
      </c>
      <c r="J202" s="1">
        <v>0.29353649999999998</v>
      </c>
      <c r="K202" s="1">
        <v>0.17641781000000001</v>
      </c>
      <c r="L202" s="1">
        <v>9.7233539999999993E-2</v>
      </c>
      <c r="M202" s="1">
        <v>0.58668730000000002</v>
      </c>
      <c r="N202" s="1">
        <v>0.41331264000000001</v>
      </c>
      <c r="O202" s="1">
        <v>0.50814413999999997</v>
      </c>
      <c r="P202" s="1">
        <v>0.49185590000000001</v>
      </c>
      <c r="Q202" s="4">
        <v>0</v>
      </c>
      <c r="R202" s="14">
        <v>0</v>
      </c>
      <c r="S202" s="14">
        <v>1</v>
      </c>
    </row>
    <row r="203" spans="1:19">
      <c r="A203" s="1">
        <v>0</v>
      </c>
      <c r="B203" s="1" t="s">
        <v>215</v>
      </c>
      <c r="C203" s="1">
        <v>0.79576590000000003</v>
      </c>
      <c r="D203" s="1">
        <v>8.7959245000000005E-2</v>
      </c>
      <c r="E203" s="1">
        <v>0.77772724999999998</v>
      </c>
      <c r="F203" s="1">
        <v>0.17021850999999999</v>
      </c>
      <c r="G203" s="1">
        <v>0.90083270000000004</v>
      </c>
      <c r="H203" s="1">
        <v>9.9167270000000002E-2</v>
      </c>
      <c r="I203" s="1">
        <v>0.90131824999999999</v>
      </c>
      <c r="J203" s="1">
        <v>9.8681690000000002E-2</v>
      </c>
      <c r="K203" s="1">
        <v>0.41349740000000001</v>
      </c>
      <c r="L203" s="1">
        <v>5.7593810000000002E-2</v>
      </c>
      <c r="M203" s="1">
        <v>0.60291075999999999</v>
      </c>
      <c r="N203" s="1">
        <v>0.39708924000000001</v>
      </c>
      <c r="O203" s="1">
        <v>0.45259070000000001</v>
      </c>
      <c r="P203" s="1">
        <v>0.54740929999999999</v>
      </c>
      <c r="Q203" s="4">
        <v>0</v>
      </c>
      <c r="R203" s="13">
        <v>0</v>
      </c>
      <c r="S203" s="14">
        <v>0</v>
      </c>
    </row>
    <row r="204" spans="1:19">
      <c r="A204" s="1">
        <v>0</v>
      </c>
      <c r="B204" s="1" t="s">
        <v>216</v>
      </c>
      <c r="C204" s="1">
        <v>0.66726819999999998</v>
      </c>
      <c r="D204" s="1">
        <v>0.55320935999999998</v>
      </c>
      <c r="E204" s="1">
        <v>0.65660023999999995</v>
      </c>
      <c r="F204" s="1">
        <v>0.3858627</v>
      </c>
      <c r="G204" s="1">
        <v>0.73090509999999997</v>
      </c>
      <c r="H204" s="1">
        <v>0.26909485</v>
      </c>
      <c r="I204" s="1">
        <v>0.50679059999999998</v>
      </c>
      <c r="J204" s="1">
        <v>0.49320944999999999</v>
      </c>
      <c r="K204" s="1">
        <v>0.16189535999999999</v>
      </c>
      <c r="L204" s="1">
        <v>0.42840499999999998</v>
      </c>
      <c r="M204" s="1">
        <v>0.11868136999999999</v>
      </c>
      <c r="N204" s="1">
        <v>0.88131857000000002</v>
      </c>
      <c r="O204" s="1">
        <v>0.19250075999999999</v>
      </c>
      <c r="P204" s="1">
        <v>0.80749923000000001</v>
      </c>
      <c r="Q204" s="4">
        <v>0</v>
      </c>
      <c r="R204" s="14">
        <v>0</v>
      </c>
      <c r="S204" s="14">
        <v>0</v>
      </c>
    </row>
    <row r="205" spans="1:19">
      <c r="A205" s="1">
        <v>0</v>
      </c>
      <c r="B205" s="1" t="s">
        <v>217</v>
      </c>
      <c r="C205" s="1">
        <v>0.17767230000000001</v>
      </c>
      <c r="D205" s="1">
        <v>0.77085554999999994</v>
      </c>
      <c r="E205" s="1">
        <v>0.50963159999999996</v>
      </c>
      <c r="F205" s="1">
        <v>0.67718</v>
      </c>
      <c r="G205" s="1">
        <v>0.22149938</v>
      </c>
      <c r="H205" s="1">
        <v>0.77850059999999999</v>
      </c>
      <c r="I205" s="1">
        <v>0.15021802000000001</v>
      </c>
      <c r="J205" s="1">
        <v>0.84978193000000002</v>
      </c>
      <c r="K205" s="1">
        <v>9.4580579999999997E-2</v>
      </c>
      <c r="L205" s="1">
        <v>0.24909976</v>
      </c>
      <c r="M205" s="1">
        <v>0.45931453</v>
      </c>
      <c r="N205" s="1">
        <v>0.54068539999999998</v>
      </c>
      <c r="O205" s="1">
        <v>0.74437624000000002</v>
      </c>
      <c r="P205" s="1">
        <v>0.25562380000000001</v>
      </c>
      <c r="Q205" s="4">
        <v>0</v>
      </c>
      <c r="R205" s="13">
        <v>0</v>
      </c>
      <c r="S205" s="14">
        <v>0</v>
      </c>
    </row>
    <row r="206" spans="1:19">
      <c r="A206" s="1">
        <v>0</v>
      </c>
      <c r="B206" s="1" t="s">
        <v>218</v>
      </c>
      <c r="C206" s="1">
        <v>0.7029628</v>
      </c>
      <c r="D206" s="1">
        <v>0.30152153999999998</v>
      </c>
      <c r="E206" s="1">
        <v>0.72334880000000001</v>
      </c>
      <c r="F206" s="1">
        <v>0.19043303</v>
      </c>
      <c r="G206" s="1">
        <v>0.85189503</v>
      </c>
      <c r="H206" s="1">
        <v>0.14810495000000001</v>
      </c>
      <c r="I206" s="1">
        <v>0.97483070000000005</v>
      </c>
      <c r="J206" s="1">
        <v>2.5169374000000001E-2</v>
      </c>
      <c r="K206" s="1">
        <v>0.1016213</v>
      </c>
      <c r="L206" s="1">
        <v>0.23491735999999999</v>
      </c>
      <c r="M206" s="1">
        <v>3.7788080000000002E-2</v>
      </c>
      <c r="N206" s="1">
        <v>0.96221197000000003</v>
      </c>
      <c r="O206" s="1">
        <v>0.40892884000000002</v>
      </c>
      <c r="P206" s="1">
        <v>0.59107109999999996</v>
      </c>
      <c r="Q206" s="4">
        <v>1</v>
      </c>
      <c r="R206" s="13">
        <v>0</v>
      </c>
      <c r="S206" s="14">
        <v>0</v>
      </c>
    </row>
    <row r="207" spans="1:19">
      <c r="A207" s="7">
        <v>0</v>
      </c>
      <c r="B207" s="7" t="s">
        <v>219</v>
      </c>
      <c r="C207" s="7">
        <v>0.62935764000000005</v>
      </c>
      <c r="D207" s="7">
        <v>0.52373670000000005</v>
      </c>
      <c r="E207" s="7">
        <v>0.65519475999999999</v>
      </c>
      <c r="F207" s="7">
        <v>0.575604</v>
      </c>
      <c r="G207" s="7">
        <v>0.65935310000000003</v>
      </c>
      <c r="H207" s="7">
        <v>0.34064689999999997</v>
      </c>
      <c r="I207" s="7">
        <v>0.75402915000000004</v>
      </c>
      <c r="J207" s="7">
        <v>0.24597089</v>
      </c>
      <c r="K207" s="7">
        <v>0.20744376</v>
      </c>
      <c r="L207" s="7">
        <v>0.12812218</v>
      </c>
      <c r="M207" s="7">
        <v>0.80989120000000003</v>
      </c>
      <c r="N207" s="7">
        <v>0.19010875999999999</v>
      </c>
      <c r="O207" s="7">
        <v>0.72576859999999999</v>
      </c>
      <c r="P207" s="7">
        <v>0.27423133999999999</v>
      </c>
      <c r="Q207" s="8">
        <v>0</v>
      </c>
      <c r="R207" s="15">
        <v>0</v>
      </c>
      <c r="S207" s="16">
        <v>0</v>
      </c>
    </row>
    <row r="208" spans="1:19">
      <c r="A208" s="1">
        <v>0</v>
      </c>
      <c r="B208" s="1" t="s">
        <v>220</v>
      </c>
      <c r="C208" s="1">
        <v>0.70426920000000004</v>
      </c>
      <c r="D208" s="1">
        <v>0.44839509999999999</v>
      </c>
      <c r="E208" s="1">
        <v>0.58799080000000004</v>
      </c>
      <c r="F208" s="1">
        <v>0.58506809999999998</v>
      </c>
      <c r="G208" s="1">
        <v>0.50190610000000002</v>
      </c>
      <c r="H208" s="1">
        <v>0.49809389999999998</v>
      </c>
      <c r="I208" s="1">
        <v>0.43276152000000001</v>
      </c>
      <c r="J208" s="1">
        <v>0.56723844999999995</v>
      </c>
      <c r="K208" s="1">
        <v>0.15704924000000001</v>
      </c>
      <c r="L208" s="1">
        <v>9.3913679999999999E-2</v>
      </c>
      <c r="M208" s="1">
        <v>0.68676596999999995</v>
      </c>
      <c r="N208" s="1">
        <v>0.31323405999999998</v>
      </c>
      <c r="O208" s="1">
        <v>0.64885230000000005</v>
      </c>
      <c r="P208" s="1">
        <v>0.35114764999999998</v>
      </c>
      <c r="Q208" s="4">
        <v>0</v>
      </c>
      <c r="R208" s="13">
        <v>0</v>
      </c>
      <c r="S208" s="14">
        <v>0</v>
      </c>
    </row>
    <row r="209" spans="1:19">
      <c r="A209" s="1">
        <v>0</v>
      </c>
      <c r="B209" s="1" t="s">
        <v>221</v>
      </c>
      <c r="C209" s="1">
        <v>0.80326193999999995</v>
      </c>
      <c r="D209" s="1">
        <v>0.15259523999999999</v>
      </c>
      <c r="E209" s="1">
        <v>0.79534614000000003</v>
      </c>
      <c r="F209" s="1">
        <v>7.9143203999999995E-2</v>
      </c>
      <c r="G209" s="1">
        <v>0.91020920000000005</v>
      </c>
      <c r="H209" s="1">
        <v>8.9790783999999998E-2</v>
      </c>
      <c r="I209" s="1">
        <v>0.99226919999999996</v>
      </c>
      <c r="J209" s="1">
        <v>7.7307597E-3</v>
      </c>
      <c r="K209" s="1">
        <v>0.22529423000000001</v>
      </c>
      <c r="L209" s="1">
        <v>5.9971504000000002E-2</v>
      </c>
      <c r="M209" s="1">
        <v>0.72443139999999995</v>
      </c>
      <c r="N209" s="1">
        <v>0.2755686</v>
      </c>
      <c r="O209" s="1">
        <v>0.51119225999999995</v>
      </c>
      <c r="P209" s="1">
        <v>0.48880776999999997</v>
      </c>
      <c r="Q209" s="4">
        <v>0</v>
      </c>
      <c r="R209" s="13">
        <v>0</v>
      </c>
      <c r="S209" s="14">
        <v>0</v>
      </c>
    </row>
    <row r="210" spans="1:19">
      <c r="A210" s="1">
        <v>0</v>
      </c>
      <c r="B210" s="1" t="s">
        <v>222</v>
      </c>
      <c r="C210" s="1">
        <v>0.79913149999999999</v>
      </c>
      <c r="D210" s="1">
        <v>6.821692E-2</v>
      </c>
      <c r="E210" s="1">
        <v>0.7245395</v>
      </c>
      <c r="F210" s="1">
        <v>0.38943013999999998</v>
      </c>
      <c r="G210" s="1">
        <v>0.84416559999999996</v>
      </c>
      <c r="H210" s="1">
        <v>0.15583435000000001</v>
      </c>
      <c r="I210" s="1">
        <v>0.91640480000000002</v>
      </c>
      <c r="J210" s="1">
        <v>8.3595275999999996E-2</v>
      </c>
      <c r="K210" s="1">
        <v>0.20708750000000001</v>
      </c>
      <c r="L210" s="1">
        <v>0.1725787</v>
      </c>
      <c r="M210" s="1">
        <v>0.73132699999999995</v>
      </c>
      <c r="N210" s="1">
        <v>0.268673</v>
      </c>
      <c r="O210" s="1">
        <v>0.67736953</v>
      </c>
      <c r="P210" s="1">
        <v>0.32263049999999999</v>
      </c>
      <c r="Q210" s="4">
        <v>0</v>
      </c>
      <c r="R210" s="13">
        <v>0</v>
      </c>
      <c r="S210" s="14">
        <v>0</v>
      </c>
    </row>
    <row r="211" spans="1:19">
      <c r="A211" s="1">
        <v>0</v>
      </c>
      <c r="B211" s="1" t="s">
        <v>223</v>
      </c>
      <c r="C211" s="1">
        <v>0.81794107000000005</v>
      </c>
      <c r="D211" s="1">
        <v>0.13658424999999999</v>
      </c>
      <c r="E211" s="1">
        <v>0.80107229999999996</v>
      </c>
      <c r="F211" s="1">
        <v>7.5643580000000002E-2</v>
      </c>
      <c r="G211" s="1">
        <v>0.88770740000000004</v>
      </c>
      <c r="H211" s="1">
        <v>0.11229255</v>
      </c>
      <c r="I211" s="1">
        <v>0.98669994000000005</v>
      </c>
      <c r="J211" s="1">
        <v>1.3300042999999999E-2</v>
      </c>
      <c r="K211" s="1">
        <v>0.38714822999999998</v>
      </c>
      <c r="L211" s="1">
        <v>1.5678864E-3</v>
      </c>
      <c r="M211" s="1">
        <v>0.81367929999999999</v>
      </c>
      <c r="N211" s="1">
        <v>0.18632067999999999</v>
      </c>
      <c r="O211" s="1">
        <v>0.89991312999999995</v>
      </c>
      <c r="P211" s="1">
        <v>0.10008684499999999</v>
      </c>
      <c r="Q211" s="4">
        <v>0</v>
      </c>
      <c r="R211" s="13">
        <v>0</v>
      </c>
      <c r="S211" s="14">
        <v>0</v>
      </c>
    </row>
    <row r="212" spans="1:19">
      <c r="A212" s="1">
        <v>0</v>
      </c>
      <c r="B212" s="1" t="s">
        <v>224</v>
      </c>
      <c r="C212" s="1">
        <v>0.35374883000000001</v>
      </c>
      <c r="D212" s="1">
        <v>0.72756549999999998</v>
      </c>
      <c r="E212" s="1">
        <v>0.52460439999999997</v>
      </c>
      <c r="F212" s="1">
        <v>0.65393436000000005</v>
      </c>
      <c r="G212" s="1">
        <v>0.46407995000000002</v>
      </c>
      <c r="H212" s="1">
        <v>0.53591999999999995</v>
      </c>
      <c r="I212" s="1">
        <v>6.2125746000000003E-2</v>
      </c>
      <c r="J212" s="1">
        <v>0.93787425999999996</v>
      </c>
      <c r="K212" s="1">
        <v>0.121468745</v>
      </c>
      <c r="L212" s="1">
        <v>0.26564944000000001</v>
      </c>
      <c r="M212" s="1">
        <v>0.17016391</v>
      </c>
      <c r="N212" s="1">
        <v>0.82983609999999997</v>
      </c>
      <c r="O212" s="1">
        <v>0.27084335999999998</v>
      </c>
      <c r="P212" s="1">
        <v>0.72915660000000004</v>
      </c>
      <c r="Q212" s="4">
        <v>0</v>
      </c>
      <c r="R212" s="13">
        <v>0</v>
      </c>
      <c r="S212" s="14">
        <v>0</v>
      </c>
    </row>
    <row r="213" spans="1:19">
      <c r="A213" s="1">
        <v>0</v>
      </c>
      <c r="B213" s="1" t="s">
        <v>225</v>
      </c>
      <c r="C213" s="1">
        <v>0.81436459999999999</v>
      </c>
      <c r="D213" s="1">
        <v>0.102304846</v>
      </c>
      <c r="E213" s="1">
        <v>0.80071999999999999</v>
      </c>
      <c r="F213" s="1">
        <v>7.9650133999999997E-2</v>
      </c>
      <c r="G213" s="1">
        <v>0.91679394000000003</v>
      </c>
      <c r="H213" s="1">
        <v>8.3205979999999999E-2</v>
      </c>
      <c r="I213" s="1">
        <v>0.96831049999999996</v>
      </c>
      <c r="J213" s="1">
        <v>3.1689509999999997E-2</v>
      </c>
      <c r="K213" s="1">
        <v>0.47239061999999998</v>
      </c>
      <c r="L213" s="1">
        <v>7.9540029999999998E-2</v>
      </c>
      <c r="M213" s="1">
        <v>0.77534086000000002</v>
      </c>
      <c r="N213" s="1">
        <v>0.2246592</v>
      </c>
      <c r="O213" s="1">
        <v>0.89583619999999997</v>
      </c>
      <c r="P213" s="1">
        <v>0.10416388</v>
      </c>
      <c r="Q213" s="4">
        <v>0</v>
      </c>
      <c r="R213" s="14">
        <v>1</v>
      </c>
      <c r="S213" s="14">
        <v>0</v>
      </c>
    </row>
    <row r="214" spans="1:19">
      <c r="A214" s="7">
        <v>0</v>
      </c>
      <c r="B214" s="7" t="s">
        <v>226</v>
      </c>
      <c r="C214" s="7">
        <v>0.80564415</v>
      </c>
      <c r="D214" s="7">
        <v>0.13124385</v>
      </c>
      <c r="E214" s="7">
        <v>0.77293429999999996</v>
      </c>
      <c r="F214" s="7">
        <v>0.28409817999999998</v>
      </c>
      <c r="G214" s="7">
        <v>0.7209293</v>
      </c>
      <c r="H214" s="7">
        <v>0.27907072999999999</v>
      </c>
      <c r="I214" s="7">
        <v>0.88903284000000005</v>
      </c>
      <c r="J214" s="7">
        <v>0.110967174</v>
      </c>
      <c r="K214" s="7">
        <v>0.29965197999999998</v>
      </c>
      <c r="L214" s="7">
        <v>8.1411534999999997E-3</v>
      </c>
      <c r="M214" s="7">
        <v>0.71835389999999999</v>
      </c>
      <c r="N214" s="7">
        <v>0.28164610000000001</v>
      </c>
      <c r="O214" s="7">
        <v>0.53052449999999995</v>
      </c>
      <c r="P214" s="7">
        <v>0.46947545000000002</v>
      </c>
      <c r="Q214" s="8">
        <v>0</v>
      </c>
      <c r="R214" s="15">
        <v>0</v>
      </c>
      <c r="S214" s="16">
        <v>0</v>
      </c>
    </row>
    <row r="215" spans="1:19">
      <c r="A215" s="7">
        <v>0</v>
      </c>
      <c r="B215" s="7" t="s">
        <v>227</v>
      </c>
      <c r="C215" s="7">
        <v>0.39745059999999999</v>
      </c>
      <c r="D215" s="7">
        <v>0.68057400000000001</v>
      </c>
      <c r="E215" s="7">
        <v>0.58466065</v>
      </c>
      <c r="F215" s="7">
        <v>0.54439395999999995</v>
      </c>
      <c r="G215" s="7">
        <v>0.68392500000000001</v>
      </c>
      <c r="H215" s="7">
        <v>0.31607499999999999</v>
      </c>
      <c r="I215" s="7">
        <v>7.1345790000000006E-2</v>
      </c>
      <c r="J215" s="7">
        <v>0.92865425000000001</v>
      </c>
      <c r="K215" s="7">
        <v>9.8259840000000001E-2</v>
      </c>
      <c r="L215" s="7">
        <v>0.21484469</v>
      </c>
      <c r="M215" s="7">
        <v>0.28030877999999998</v>
      </c>
      <c r="N215" s="7">
        <v>0.71969116</v>
      </c>
      <c r="O215" s="7">
        <v>0.14589983000000001</v>
      </c>
      <c r="P215" s="7">
        <v>0.85410017000000005</v>
      </c>
      <c r="Q215" s="8">
        <v>1</v>
      </c>
      <c r="R215" s="16">
        <v>1</v>
      </c>
      <c r="S215" s="16">
        <v>0</v>
      </c>
    </row>
    <row r="216" spans="1:19">
      <c r="A216" s="1">
        <v>0</v>
      </c>
      <c r="B216" s="1" t="s">
        <v>228</v>
      </c>
      <c r="C216" s="1">
        <v>0.61424005000000004</v>
      </c>
      <c r="D216" s="1">
        <v>0.49479403999999999</v>
      </c>
      <c r="E216" s="1">
        <v>0.69917770000000001</v>
      </c>
      <c r="F216" s="1">
        <v>0.39041720000000002</v>
      </c>
      <c r="G216" s="1">
        <v>0.70097169999999998</v>
      </c>
      <c r="H216" s="1">
        <v>0.29902825</v>
      </c>
      <c r="I216" s="1">
        <v>0.26529895999999997</v>
      </c>
      <c r="J216" s="1">
        <v>0.73470104000000003</v>
      </c>
      <c r="K216" s="1">
        <v>0.13330288000000001</v>
      </c>
      <c r="L216" s="1">
        <v>0.34844348000000003</v>
      </c>
      <c r="M216" s="1">
        <v>0.36899789999999999</v>
      </c>
      <c r="N216" s="1">
        <v>0.63100206999999997</v>
      </c>
      <c r="O216" s="1">
        <v>0.17880842</v>
      </c>
      <c r="P216" s="1">
        <v>0.82119154999999999</v>
      </c>
      <c r="Q216" s="4">
        <v>0</v>
      </c>
      <c r="R216" s="13">
        <v>0</v>
      </c>
      <c r="S216" s="14">
        <v>0</v>
      </c>
    </row>
    <row r="217" spans="1:19">
      <c r="A217" s="7">
        <v>0</v>
      </c>
      <c r="B217" s="7" t="s">
        <v>229</v>
      </c>
      <c r="C217" s="7">
        <v>0.19134000000000001</v>
      </c>
      <c r="D217" s="7">
        <v>0.74508779999999997</v>
      </c>
      <c r="E217" s="7">
        <v>0.36092531999999999</v>
      </c>
      <c r="F217" s="7">
        <v>0.6979725</v>
      </c>
      <c r="G217" s="7">
        <v>9.7486290000000003E-2</v>
      </c>
      <c r="H217" s="7">
        <v>0.90251373999999995</v>
      </c>
      <c r="I217" s="7">
        <v>0.35585480000000003</v>
      </c>
      <c r="J217" s="7">
        <v>0.64414525</v>
      </c>
      <c r="K217" s="7">
        <v>2.2208360999999999E-2</v>
      </c>
      <c r="L217" s="7">
        <v>0.33506393000000001</v>
      </c>
      <c r="M217" s="7">
        <v>0.1219889</v>
      </c>
      <c r="N217" s="7">
        <v>0.87801116999999995</v>
      </c>
      <c r="O217" s="7">
        <v>8.0841919999999998E-2</v>
      </c>
      <c r="P217" s="7">
        <v>0.91915809999999998</v>
      </c>
      <c r="Q217" s="8">
        <v>0</v>
      </c>
      <c r="R217" s="16">
        <v>0</v>
      </c>
      <c r="S217" s="16">
        <v>0</v>
      </c>
    </row>
    <row r="218" spans="1:19">
      <c r="A218" s="1">
        <v>0</v>
      </c>
      <c r="B218" s="1" t="s">
        <v>230</v>
      </c>
      <c r="C218" s="1">
        <v>0.63939804</v>
      </c>
      <c r="D218" s="1">
        <v>0.57417989999999997</v>
      </c>
      <c r="E218" s="1">
        <v>0.74723689999999998</v>
      </c>
      <c r="F218" s="1">
        <v>0.34495710000000002</v>
      </c>
      <c r="G218" s="1">
        <v>0.63677519999999999</v>
      </c>
      <c r="H218" s="1">
        <v>0.36322476999999997</v>
      </c>
      <c r="I218" s="1">
        <v>0.70732737000000001</v>
      </c>
      <c r="J218" s="1">
        <v>0.29267262999999999</v>
      </c>
      <c r="K218" s="1">
        <v>0.21694703000000001</v>
      </c>
      <c r="L218" s="1">
        <v>7.3860289999999995E-2</v>
      </c>
      <c r="M218" s="1">
        <v>0.61968190000000001</v>
      </c>
      <c r="N218" s="1">
        <v>0.38031808</v>
      </c>
      <c r="O218" s="1">
        <v>0.31106687</v>
      </c>
      <c r="P218" s="1">
        <v>0.68893320000000002</v>
      </c>
      <c r="Q218" s="4">
        <v>1</v>
      </c>
      <c r="R218" s="13">
        <v>0</v>
      </c>
      <c r="S218" s="14">
        <v>0</v>
      </c>
    </row>
    <row r="219" spans="1:19">
      <c r="A219" s="1">
        <v>0</v>
      </c>
      <c r="B219" s="1" t="s">
        <v>231</v>
      </c>
      <c r="C219" s="1">
        <v>0.81778395000000004</v>
      </c>
      <c r="D219" s="1">
        <v>0.13006050999999999</v>
      </c>
      <c r="E219" s="1">
        <v>0.79119360000000005</v>
      </c>
      <c r="F219" s="1">
        <v>5.9039756999999998E-2</v>
      </c>
      <c r="G219" s="1">
        <v>0.96847099999999997</v>
      </c>
      <c r="H219" s="1">
        <v>3.1529013000000002E-2</v>
      </c>
      <c r="I219" s="1">
        <v>0.97630600000000001</v>
      </c>
      <c r="J219" s="1">
        <v>2.3693903999999998E-2</v>
      </c>
      <c r="K219" s="1">
        <v>0.34132683000000003</v>
      </c>
      <c r="L219" s="1">
        <v>2.8062189000000001E-2</v>
      </c>
      <c r="M219" s="1">
        <v>0.75911130000000004</v>
      </c>
      <c r="N219" s="1">
        <v>0.24088873999999999</v>
      </c>
      <c r="O219" s="1">
        <v>0.69287670000000001</v>
      </c>
      <c r="P219" s="1">
        <v>0.30712333000000003</v>
      </c>
      <c r="Q219" s="4">
        <v>0</v>
      </c>
      <c r="R219" s="13">
        <v>0</v>
      </c>
      <c r="S219" s="14">
        <v>0</v>
      </c>
    </row>
    <row r="220" spans="1:19">
      <c r="A220" s="1">
        <v>0</v>
      </c>
      <c r="B220" s="1" t="s">
        <v>232</v>
      </c>
      <c r="C220" s="1">
        <v>0.73956275000000005</v>
      </c>
      <c r="D220" s="1">
        <v>0.32821822</v>
      </c>
      <c r="E220" s="1">
        <v>0.74148650000000005</v>
      </c>
      <c r="F220" s="1">
        <v>0.19648114</v>
      </c>
      <c r="G220" s="1">
        <v>0.93971866000000004</v>
      </c>
      <c r="H220" s="1">
        <v>6.0281407000000002E-2</v>
      </c>
      <c r="I220" s="1">
        <v>0.95706190000000002</v>
      </c>
      <c r="J220" s="1">
        <v>4.2938105999999997E-2</v>
      </c>
      <c r="K220" s="1">
        <v>8.9567850000000004E-2</v>
      </c>
      <c r="L220" s="1">
        <v>0.18955062</v>
      </c>
      <c r="M220" s="1">
        <v>0.1472367</v>
      </c>
      <c r="N220" s="1">
        <v>0.8527633</v>
      </c>
      <c r="O220" s="1">
        <v>0.14490125000000001</v>
      </c>
      <c r="P220" s="1">
        <v>0.85509880000000005</v>
      </c>
      <c r="Q220" s="4">
        <v>0</v>
      </c>
      <c r="R220" s="13">
        <v>0</v>
      </c>
      <c r="S220" s="14">
        <v>0</v>
      </c>
    </row>
    <row r="221" spans="1:19">
      <c r="A221" s="1">
        <v>0</v>
      </c>
      <c r="B221" s="1" t="s">
        <v>233</v>
      </c>
      <c r="C221" s="1">
        <v>0.73970639999999999</v>
      </c>
      <c r="D221" s="1">
        <v>0.1451654</v>
      </c>
      <c r="E221" s="1">
        <v>0.68004489999999995</v>
      </c>
      <c r="F221" s="1">
        <v>0.52158979999999999</v>
      </c>
      <c r="G221" s="1">
        <v>0.55885105999999996</v>
      </c>
      <c r="H221" s="1">
        <v>0.44114890000000001</v>
      </c>
      <c r="I221" s="1">
        <v>0.80080249999999997</v>
      </c>
      <c r="J221" s="1">
        <v>0.19919751999999999</v>
      </c>
      <c r="K221" s="1">
        <v>0.20766124</v>
      </c>
      <c r="L221" s="1">
        <v>0.13916039999999999</v>
      </c>
      <c r="M221" s="1">
        <v>0.73275000000000001</v>
      </c>
      <c r="N221" s="1">
        <v>0.26724997</v>
      </c>
      <c r="O221" s="1">
        <v>0.50972200000000001</v>
      </c>
      <c r="P221" s="1">
        <v>0.49027798</v>
      </c>
      <c r="Q221" s="4">
        <v>0</v>
      </c>
      <c r="R221" s="13">
        <v>0</v>
      </c>
      <c r="S221" s="14">
        <v>0</v>
      </c>
    </row>
    <row r="222" spans="1:19">
      <c r="A222" s="1">
        <v>0</v>
      </c>
      <c r="B222" s="1" t="s">
        <v>234</v>
      </c>
      <c r="C222" s="1">
        <v>0.70815349999999999</v>
      </c>
      <c r="D222" s="1">
        <v>0.44683616999999998</v>
      </c>
      <c r="E222" s="1">
        <v>0.67898464000000003</v>
      </c>
      <c r="F222" s="1">
        <v>0.42288880000000001</v>
      </c>
      <c r="G222" s="1">
        <v>0.29079369999999999</v>
      </c>
      <c r="H222" s="1">
        <v>0.70920634000000005</v>
      </c>
      <c r="I222" s="1">
        <v>0.81480752999999995</v>
      </c>
      <c r="J222" s="1">
        <v>0.18519251</v>
      </c>
      <c r="K222" s="1">
        <v>0.25529867000000001</v>
      </c>
      <c r="L222" s="1">
        <v>1.9491950000000001E-2</v>
      </c>
      <c r="M222" s="1">
        <v>0.65525675000000005</v>
      </c>
      <c r="N222" s="1">
        <v>0.34474325</v>
      </c>
      <c r="O222" s="1">
        <v>0.63740443999999996</v>
      </c>
      <c r="P222" s="1">
        <v>0.36259555999999998</v>
      </c>
      <c r="Q222" s="4">
        <v>0</v>
      </c>
      <c r="R222" s="13">
        <v>0</v>
      </c>
      <c r="S222" s="14">
        <v>0</v>
      </c>
    </row>
    <row r="223" spans="1:19">
      <c r="A223" s="1">
        <v>0</v>
      </c>
      <c r="B223" s="1" t="s">
        <v>235</v>
      </c>
      <c r="C223" s="1">
        <v>0.64500219999999997</v>
      </c>
      <c r="D223" s="1">
        <v>0.56851859999999999</v>
      </c>
      <c r="E223" s="1">
        <v>0.72852910000000004</v>
      </c>
      <c r="F223" s="1">
        <v>0.22362493</v>
      </c>
      <c r="G223" s="1">
        <v>0.50479039999999997</v>
      </c>
      <c r="H223" s="1">
        <v>0.49520960000000003</v>
      </c>
      <c r="I223" s="1">
        <v>0.35854494999999997</v>
      </c>
      <c r="J223" s="1">
        <v>0.64145505000000003</v>
      </c>
      <c r="K223" s="1">
        <v>0.30115150000000002</v>
      </c>
      <c r="L223" s="1">
        <v>0.24924511999999999</v>
      </c>
      <c r="M223" s="1">
        <v>9.7548200000000002E-2</v>
      </c>
      <c r="N223" s="1">
        <v>0.90245180000000003</v>
      </c>
      <c r="O223" s="1">
        <v>5.7346630000000003E-2</v>
      </c>
      <c r="P223" s="1">
        <v>0.94265336</v>
      </c>
      <c r="Q223" s="4">
        <v>0</v>
      </c>
      <c r="R223" s="13">
        <v>0</v>
      </c>
      <c r="S223" s="14">
        <v>0</v>
      </c>
    </row>
    <row r="224" spans="1:19">
      <c r="A224" s="1">
        <v>0</v>
      </c>
      <c r="B224" s="1" t="s">
        <v>236</v>
      </c>
      <c r="C224" s="1">
        <v>0.59356469999999995</v>
      </c>
      <c r="D224" s="1">
        <v>0.56356819999999996</v>
      </c>
      <c r="E224" s="1">
        <v>0.64919139999999997</v>
      </c>
      <c r="F224" s="1">
        <v>0.45713429999999999</v>
      </c>
      <c r="G224" s="1">
        <v>0.46093073000000001</v>
      </c>
      <c r="H224" s="1">
        <v>0.53906929999999997</v>
      </c>
      <c r="I224" s="1">
        <v>0.53520005999999998</v>
      </c>
      <c r="J224" s="1">
        <v>0.46479989999999999</v>
      </c>
      <c r="K224" s="1">
        <v>0.10181831</v>
      </c>
      <c r="L224" s="1">
        <v>0.42960122000000001</v>
      </c>
      <c r="M224" s="1">
        <v>0.19870973</v>
      </c>
      <c r="N224" s="1">
        <v>0.80129030000000001</v>
      </c>
      <c r="O224" s="1">
        <v>0.26083338</v>
      </c>
      <c r="P224" s="1">
        <v>0.73916660000000001</v>
      </c>
      <c r="Q224" s="4">
        <v>0</v>
      </c>
      <c r="R224" s="13">
        <v>0</v>
      </c>
      <c r="S224" s="14">
        <v>0</v>
      </c>
    </row>
    <row r="225" spans="1:19">
      <c r="A225" s="1">
        <v>0</v>
      </c>
      <c r="B225" s="1" t="s">
        <v>237</v>
      </c>
      <c r="C225" s="1">
        <v>0.47260194999999999</v>
      </c>
      <c r="D225" s="1">
        <v>0.69849265000000005</v>
      </c>
      <c r="E225" s="1">
        <v>0.55862146999999995</v>
      </c>
      <c r="F225" s="1">
        <v>0.66637800000000003</v>
      </c>
      <c r="G225" s="1">
        <v>0.48401174000000002</v>
      </c>
      <c r="H225" s="1">
        <v>0.51598829999999996</v>
      </c>
      <c r="I225" s="1">
        <v>0.21051854</v>
      </c>
      <c r="J225" s="1">
        <v>0.7894814</v>
      </c>
      <c r="K225" s="1">
        <v>0.123842165</v>
      </c>
      <c r="L225" s="1">
        <v>0.40148869999999998</v>
      </c>
      <c r="M225" s="1">
        <v>0.17485854000000001</v>
      </c>
      <c r="N225" s="1">
        <v>0.82514149999999997</v>
      </c>
      <c r="O225" s="1">
        <v>0.19531237000000001</v>
      </c>
      <c r="P225" s="1">
        <v>0.80468759999999995</v>
      </c>
      <c r="Q225" s="4">
        <v>0</v>
      </c>
      <c r="R225" s="13">
        <v>0</v>
      </c>
      <c r="S225" s="14">
        <v>0</v>
      </c>
    </row>
    <row r="226" spans="1:19">
      <c r="A226" s="1">
        <v>0</v>
      </c>
      <c r="B226" s="1" t="s">
        <v>238</v>
      </c>
      <c r="C226" s="1">
        <v>0.59900989999999998</v>
      </c>
      <c r="D226" s="1">
        <v>0.57511413</v>
      </c>
      <c r="E226" s="1">
        <v>0.67755259999999995</v>
      </c>
      <c r="F226" s="1">
        <v>0.47755396</v>
      </c>
      <c r="G226" s="1">
        <v>0.52029466999999996</v>
      </c>
      <c r="H226" s="1">
        <v>0.4797053</v>
      </c>
      <c r="I226" s="1">
        <v>0.22624172000000001</v>
      </c>
      <c r="J226" s="1">
        <v>0.77375822999999999</v>
      </c>
      <c r="K226" s="1">
        <v>3.5450905999999997E-2</v>
      </c>
      <c r="L226" s="1">
        <v>0.49126005</v>
      </c>
      <c r="M226" s="1">
        <v>0.10524928</v>
      </c>
      <c r="N226" s="1">
        <v>0.89475070000000001</v>
      </c>
      <c r="O226" s="1">
        <v>0.1192723</v>
      </c>
      <c r="P226" s="1">
        <v>0.8807277</v>
      </c>
      <c r="Q226" s="4">
        <v>1</v>
      </c>
      <c r="R226" s="14">
        <v>1</v>
      </c>
      <c r="S226" s="14">
        <v>0</v>
      </c>
    </row>
    <row r="227" spans="1:19">
      <c r="A227" s="7">
        <v>0</v>
      </c>
      <c r="B227" s="7" t="s">
        <v>239</v>
      </c>
      <c r="C227" s="7">
        <v>0.8166177</v>
      </c>
      <c r="D227" s="7">
        <v>8.1363946000000006E-2</v>
      </c>
      <c r="E227" s="7">
        <v>0.79214989999999996</v>
      </c>
      <c r="F227" s="7">
        <v>6.7185060000000005E-2</v>
      </c>
      <c r="G227" s="7">
        <v>0.95579170000000002</v>
      </c>
      <c r="H227" s="7">
        <v>4.4208276999999997E-2</v>
      </c>
      <c r="I227" s="7">
        <v>0.98014100000000004</v>
      </c>
      <c r="J227" s="7">
        <v>1.9859053000000002E-2</v>
      </c>
      <c r="K227" s="7">
        <v>0.39683669999999999</v>
      </c>
      <c r="L227" s="7">
        <v>1.7760578999999999E-2</v>
      </c>
      <c r="M227" s="7">
        <v>0.70440650000000005</v>
      </c>
      <c r="N227" s="7">
        <v>0.29559352999999999</v>
      </c>
      <c r="O227" s="7">
        <v>0.50153420000000004</v>
      </c>
      <c r="P227" s="7">
        <v>0.49846583999999999</v>
      </c>
      <c r="Q227" s="8">
        <v>0</v>
      </c>
      <c r="R227" s="15">
        <v>0</v>
      </c>
      <c r="S227" s="16">
        <v>0</v>
      </c>
    </row>
    <row r="228" spans="1:19">
      <c r="A228" s="1">
        <v>0</v>
      </c>
      <c r="B228" s="1" t="s">
        <v>240</v>
      </c>
      <c r="C228" s="1">
        <v>0.81342583999999996</v>
      </c>
      <c r="D228" s="1">
        <v>0.15228998999999999</v>
      </c>
      <c r="E228" s="1">
        <v>0.79255754</v>
      </c>
      <c r="F228" s="1">
        <v>5.8552264999999999E-2</v>
      </c>
      <c r="G228" s="1">
        <v>0.98424929999999999</v>
      </c>
      <c r="H228" s="1">
        <v>1.5750681999999998E-2</v>
      </c>
      <c r="I228" s="1">
        <v>0.98843734999999999</v>
      </c>
      <c r="J228" s="1">
        <v>1.1562599999999999E-2</v>
      </c>
      <c r="K228" s="1">
        <v>0.28825321999999998</v>
      </c>
      <c r="L228" s="1">
        <v>0.13737305</v>
      </c>
      <c r="M228" s="1">
        <v>0.74908050000000004</v>
      </c>
      <c r="N228" s="1">
        <v>0.25091945999999998</v>
      </c>
      <c r="O228" s="1">
        <v>0.84533769999999997</v>
      </c>
      <c r="P228" s="1">
        <v>0.15466234000000001</v>
      </c>
      <c r="Q228" s="4">
        <v>0</v>
      </c>
      <c r="R228" s="13">
        <v>0</v>
      </c>
      <c r="S228" s="14">
        <v>1</v>
      </c>
    </row>
    <row r="229" spans="1:19">
      <c r="A229" s="1">
        <v>0</v>
      </c>
      <c r="B229" s="1" t="s">
        <v>241</v>
      </c>
      <c r="C229" s="1">
        <v>0.80953335999999998</v>
      </c>
      <c r="D229" s="1">
        <v>8.3787984999999995E-2</v>
      </c>
      <c r="E229" s="1">
        <v>0.77671354999999997</v>
      </c>
      <c r="F229" s="1">
        <v>0.13239923000000001</v>
      </c>
      <c r="G229" s="1">
        <v>0.94825994999999996</v>
      </c>
      <c r="H229" s="1">
        <v>5.1740076000000003E-2</v>
      </c>
      <c r="I229" s="1">
        <v>0.97023844999999997</v>
      </c>
      <c r="J229" s="1">
        <v>2.9761553E-2</v>
      </c>
      <c r="K229" s="1">
        <v>0.26416188000000002</v>
      </c>
      <c r="L229" s="1">
        <v>6.5160999999999997E-2</v>
      </c>
      <c r="M229" s="1">
        <v>0.67862940000000005</v>
      </c>
      <c r="N229" s="1">
        <v>0.32137060000000001</v>
      </c>
      <c r="O229" s="1">
        <v>0.75459790000000004</v>
      </c>
      <c r="P229" s="1">
        <v>0.24540217</v>
      </c>
      <c r="Q229" s="4">
        <v>0</v>
      </c>
      <c r="R229" s="13">
        <v>0</v>
      </c>
      <c r="S229" s="14">
        <v>0</v>
      </c>
    </row>
    <row r="230" spans="1:19">
      <c r="A230" s="1">
        <v>0</v>
      </c>
      <c r="B230" s="1" t="s">
        <v>242</v>
      </c>
      <c r="C230" s="1">
        <v>0.65182465000000001</v>
      </c>
      <c r="D230" s="1">
        <v>0.55615323999999999</v>
      </c>
      <c r="E230" s="1">
        <v>0.66810159999999996</v>
      </c>
      <c r="F230" s="1">
        <v>0.55190969999999995</v>
      </c>
      <c r="G230" s="1">
        <v>0.68560827000000002</v>
      </c>
      <c r="H230" s="1">
        <v>0.3143917</v>
      </c>
      <c r="I230" s="1">
        <v>0.67285656999999999</v>
      </c>
      <c r="J230" s="1">
        <v>0.32714336999999999</v>
      </c>
      <c r="K230" s="1">
        <v>0.39593917000000001</v>
      </c>
      <c r="L230" s="1">
        <v>2.6766445E-2</v>
      </c>
      <c r="M230" s="1">
        <v>0.63227630000000001</v>
      </c>
      <c r="N230" s="1">
        <v>0.36772369999999999</v>
      </c>
      <c r="O230" s="1">
        <v>0.60206866000000003</v>
      </c>
      <c r="P230" s="1">
        <v>0.39793137000000001</v>
      </c>
      <c r="Q230" s="4">
        <v>0</v>
      </c>
      <c r="R230" s="13">
        <v>0</v>
      </c>
      <c r="S230" s="14">
        <v>0</v>
      </c>
    </row>
    <row r="231" spans="1:19">
      <c r="A231" s="1">
        <v>0</v>
      </c>
      <c r="B231" s="1" t="s">
        <v>243</v>
      </c>
      <c r="C231" s="1">
        <v>0.22239068000000001</v>
      </c>
      <c r="D231" s="1">
        <v>0.72607149999999998</v>
      </c>
      <c r="E231" s="1">
        <v>0.29225305000000001</v>
      </c>
      <c r="F231" s="1">
        <v>0.71820700000000004</v>
      </c>
      <c r="G231" s="1">
        <v>0.19772503999999999</v>
      </c>
      <c r="H231" s="1">
        <v>0.80227499999999996</v>
      </c>
      <c r="I231" s="1">
        <v>8.0332360000000005E-2</v>
      </c>
      <c r="J231" s="1">
        <v>0.91966766</v>
      </c>
      <c r="K231" s="1">
        <v>0.16396113000000001</v>
      </c>
      <c r="L231" s="1">
        <v>0.29640889999999998</v>
      </c>
      <c r="M231" s="1">
        <v>6.3968780000000003E-2</v>
      </c>
      <c r="N231" s="1">
        <v>0.93603119999999995</v>
      </c>
      <c r="O231" s="1">
        <v>7.5697769999999998E-2</v>
      </c>
      <c r="P231" s="1">
        <v>0.92430215999999998</v>
      </c>
      <c r="Q231" s="4">
        <v>0</v>
      </c>
      <c r="R231" s="13">
        <v>0</v>
      </c>
      <c r="S231" s="14">
        <v>0</v>
      </c>
    </row>
    <row r="232" spans="1:19">
      <c r="A232" s="1">
        <v>0</v>
      </c>
      <c r="B232" s="1" t="s">
        <v>244</v>
      </c>
      <c r="C232" s="1">
        <v>0.81081139999999996</v>
      </c>
      <c r="D232" s="1">
        <v>8.3808729999999998E-2</v>
      </c>
      <c r="E232" s="1">
        <v>0.78305599999999997</v>
      </c>
      <c r="F232" s="1">
        <v>0.12931662999999999</v>
      </c>
      <c r="G232" s="1">
        <v>0.82611005999999998</v>
      </c>
      <c r="H232" s="1">
        <v>0.17388993999999999</v>
      </c>
      <c r="I232" s="1">
        <v>0.9526964</v>
      </c>
      <c r="J232" s="1">
        <v>4.7303570000000003E-2</v>
      </c>
      <c r="K232" s="1">
        <v>0.37347894999999998</v>
      </c>
      <c r="L232" s="1">
        <v>6.6419399999999998E-3</v>
      </c>
      <c r="M232" s="1">
        <v>0.81021949999999998</v>
      </c>
      <c r="N232" s="1">
        <v>0.18978046000000001</v>
      </c>
      <c r="O232" s="1">
        <v>0.88998350000000004</v>
      </c>
      <c r="P232" s="1">
        <v>0.11001652000000001</v>
      </c>
      <c r="Q232" s="4">
        <v>0</v>
      </c>
      <c r="R232" s="13">
        <v>0</v>
      </c>
      <c r="S232" s="14">
        <v>0</v>
      </c>
    </row>
    <row r="233" spans="1:19">
      <c r="A233" s="1">
        <v>0</v>
      </c>
      <c r="B233" s="1" t="s">
        <v>245</v>
      </c>
      <c r="C233" s="1">
        <v>0.78079880000000002</v>
      </c>
      <c r="D233" s="1">
        <v>0.19932975</v>
      </c>
      <c r="E233" s="1">
        <v>0.77090309999999995</v>
      </c>
      <c r="F233" s="1">
        <v>0.22572415000000001</v>
      </c>
      <c r="G233" s="1">
        <v>0.63692899999999997</v>
      </c>
      <c r="H233" s="1">
        <v>0.36307107999999999</v>
      </c>
      <c r="I233" s="1">
        <v>0.88929117000000002</v>
      </c>
      <c r="J233" s="1">
        <v>0.11070888</v>
      </c>
      <c r="K233" s="1">
        <v>0.13473621</v>
      </c>
      <c r="L233" s="1">
        <v>0.217254</v>
      </c>
      <c r="M233" s="1">
        <v>0.65092903000000002</v>
      </c>
      <c r="N233" s="1">
        <v>0.34907096999999998</v>
      </c>
      <c r="O233" s="1">
        <v>0.75590396000000004</v>
      </c>
      <c r="P233" s="1">
        <v>0.24409601</v>
      </c>
      <c r="Q233" s="4">
        <v>0</v>
      </c>
      <c r="R233" s="13">
        <v>0</v>
      </c>
      <c r="S233" s="14">
        <v>0</v>
      </c>
    </row>
    <row r="234" spans="1:19">
      <c r="A234" s="1">
        <v>1</v>
      </c>
      <c r="B234" s="1" t="s">
        <v>246</v>
      </c>
      <c r="C234" s="1">
        <v>0.50505096000000005</v>
      </c>
      <c r="D234" s="1">
        <v>0.68977239999999995</v>
      </c>
      <c r="E234" s="1">
        <v>0.34392852000000002</v>
      </c>
      <c r="F234" s="1">
        <v>0.77251460000000005</v>
      </c>
      <c r="G234" s="1">
        <v>0.27218725999999999</v>
      </c>
      <c r="H234" s="1">
        <v>0.72781269999999998</v>
      </c>
      <c r="I234" s="1">
        <v>4.7031080000000003E-2</v>
      </c>
      <c r="J234" s="1">
        <v>0.95296890000000001</v>
      </c>
      <c r="K234" s="1">
        <v>0.17561202000000001</v>
      </c>
      <c r="L234" s="1">
        <v>0.39747605000000003</v>
      </c>
      <c r="M234" s="1">
        <v>0.27458440000000001</v>
      </c>
      <c r="N234" s="1">
        <v>0.72541560000000005</v>
      </c>
      <c r="O234" s="1">
        <v>0.38914704</v>
      </c>
      <c r="P234" s="1">
        <v>0.61085296</v>
      </c>
      <c r="Q234" s="4">
        <v>1</v>
      </c>
      <c r="R234" s="14">
        <v>1</v>
      </c>
      <c r="S234" s="14">
        <v>1</v>
      </c>
    </row>
    <row r="235" spans="1:19">
      <c r="A235" s="1">
        <v>1</v>
      </c>
      <c r="B235" s="1" t="s">
        <v>247</v>
      </c>
      <c r="C235" s="1">
        <v>2.9983421999999999E-2</v>
      </c>
      <c r="D235" s="1">
        <v>0.81099593999999997</v>
      </c>
      <c r="E235" s="1">
        <v>2.9418405000000002E-2</v>
      </c>
      <c r="F235" s="1">
        <v>0.78594710000000001</v>
      </c>
      <c r="G235" s="1">
        <v>1.5672202999999999E-2</v>
      </c>
      <c r="H235" s="1">
        <v>0.98432779999999998</v>
      </c>
      <c r="I235" s="1">
        <v>1.4890571E-3</v>
      </c>
      <c r="J235" s="1">
        <v>0.99851089999999998</v>
      </c>
      <c r="K235" s="1">
        <v>0.24809790000000001</v>
      </c>
      <c r="L235" s="1">
        <v>0.49019316000000002</v>
      </c>
      <c r="M235" s="1">
        <v>0.15934375000000001</v>
      </c>
      <c r="N235" s="1">
        <v>0.84065630000000002</v>
      </c>
      <c r="O235" s="1">
        <v>0.13468851000000001</v>
      </c>
      <c r="P235" s="1">
        <v>0.86531144000000004</v>
      </c>
      <c r="Q235" s="4">
        <v>1</v>
      </c>
      <c r="R235" s="14">
        <v>1</v>
      </c>
      <c r="S235" s="14">
        <v>1</v>
      </c>
    </row>
    <row r="236" spans="1:19">
      <c r="A236" s="1">
        <v>1</v>
      </c>
      <c r="B236" s="1" t="s">
        <v>248</v>
      </c>
      <c r="C236" s="1">
        <v>0.26190215</v>
      </c>
      <c r="D236" s="1">
        <v>0.76636325999999999</v>
      </c>
      <c r="E236" s="1">
        <v>0.18966466000000001</v>
      </c>
      <c r="F236" s="1">
        <v>0.78072613000000002</v>
      </c>
      <c r="G236" s="1">
        <v>0.11989526</v>
      </c>
      <c r="H236" s="1">
        <v>0.88010469999999996</v>
      </c>
      <c r="I236" s="1">
        <v>4.5901284000000001E-2</v>
      </c>
      <c r="J236" s="1">
        <v>0.95409876000000005</v>
      </c>
      <c r="K236" s="1">
        <v>0.22358670999999999</v>
      </c>
      <c r="L236" s="1">
        <v>0.24924244000000001</v>
      </c>
      <c r="M236" s="1">
        <v>0.41562359999999998</v>
      </c>
      <c r="N236" s="1">
        <v>0.58437634000000005</v>
      </c>
      <c r="O236" s="1">
        <v>0.28117662999999998</v>
      </c>
      <c r="P236" s="1">
        <v>0.71882330000000005</v>
      </c>
      <c r="Q236" s="4">
        <v>1</v>
      </c>
      <c r="R236" s="14">
        <v>1</v>
      </c>
      <c r="S236" s="14">
        <v>1</v>
      </c>
    </row>
    <row r="237" spans="1:19">
      <c r="A237" s="1">
        <v>1</v>
      </c>
      <c r="B237" s="1" t="s">
        <v>249</v>
      </c>
      <c r="C237" s="1">
        <v>0.35989310000000002</v>
      </c>
      <c r="D237" s="1">
        <v>0.6587459</v>
      </c>
      <c r="E237" s="1">
        <v>0.44026959999999998</v>
      </c>
      <c r="F237" s="1">
        <v>0.59179216999999995</v>
      </c>
      <c r="G237" s="1">
        <v>0.21705583000000001</v>
      </c>
      <c r="H237" s="1">
        <v>0.78294419999999998</v>
      </c>
      <c r="I237" s="1">
        <v>5.5250015E-2</v>
      </c>
      <c r="J237" s="1">
        <v>0.94474999999999998</v>
      </c>
      <c r="K237" s="1">
        <v>6.5821260000000006E-2</v>
      </c>
      <c r="L237" s="1">
        <v>0.39558073999999999</v>
      </c>
      <c r="M237" s="1">
        <v>3.5474556999999997E-2</v>
      </c>
      <c r="N237" s="1">
        <v>0.96452545999999995</v>
      </c>
      <c r="O237" s="1">
        <v>2.0154893E-2</v>
      </c>
      <c r="P237" s="1">
        <v>0.97984510000000002</v>
      </c>
      <c r="Q237" s="4">
        <v>1</v>
      </c>
      <c r="R237" s="14">
        <v>1</v>
      </c>
      <c r="S237" s="14">
        <v>1</v>
      </c>
    </row>
    <row r="238" spans="1:19">
      <c r="A238" s="1">
        <v>1</v>
      </c>
      <c r="B238" s="1" t="s">
        <v>250</v>
      </c>
      <c r="C238" s="1">
        <v>0.35280010000000001</v>
      </c>
      <c r="D238" s="1">
        <v>0.74032209999999998</v>
      </c>
      <c r="E238" s="1">
        <v>0.487095</v>
      </c>
      <c r="F238" s="1">
        <v>0.63532155999999995</v>
      </c>
      <c r="G238" s="1">
        <v>0.10853459</v>
      </c>
      <c r="H238" s="1">
        <v>0.89146550000000002</v>
      </c>
      <c r="I238" s="1">
        <v>0.2045623</v>
      </c>
      <c r="J238" s="1">
        <v>0.79543770000000003</v>
      </c>
      <c r="K238" s="1">
        <v>3.0150115000000002E-2</v>
      </c>
      <c r="L238" s="1">
        <v>0.55742340000000001</v>
      </c>
      <c r="M238" s="1">
        <v>1.2480221999999999E-2</v>
      </c>
      <c r="N238" s="1">
        <v>0.98751973999999998</v>
      </c>
      <c r="O238" s="1">
        <v>3.501899E-2</v>
      </c>
      <c r="P238" s="1">
        <v>0.96498099999999998</v>
      </c>
      <c r="Q238" s="4">
        <v>0</v>
      </c>
      <c r="R238" s="14">
        <v>1</v>
      </c>
      <c r="S238" s="14">
        <v>0</v>
      </c>
    </row>
    <row r="239" spans="1:19">
      <c r="A239" s="7">
        <v>1</v>
      </c>
      <c r="B239" s="7" t="s">
        <v>251</v>
      </c>
      <c r="C239" s="7">
        <v>0.70399610000000001</v>
      </c>
      <c r="D239" s="7">
        <v>0.43358996999999999</v>
      </c>
      <c r="E239" s="7">
        <v>0.74110600000000004</v>
      </c>
      <c r="F239" s="7">
        <v>0.40526040000000002</v>
      </c>
      <c r="G239" s="7">
        <v>0.88915219999999995</v>
      </c>
      <c r="H239" s="7">
        <v>0.110847816</v>
      </c>
      <c r="I239" s="7">
        <v>0.4710474</v>
      </c>
      <c r="J239" s="7">
        <v>0.5289526</v>
      </c>
      <c r="K239" s="7">
        <v>0.19839618000000001</v>
      </c>
      <c r="L239" s="7">
        <v>0.20595162</v>
      </c>
      <c r="M239" s="7">
        <v>0.24201618</v>
      </c>
      <c r="N239" s="7">
        <v>0.75798379999999999</v>
      </c>
      <c r="O239" s="7">
        <v>0.27175402999999998</v>
      </c>
      <c r="P239" s="7">
        <v>0.72824599999999995</v>
      </c>
      <c r="Q239" s="8">
        <v>0</v>
      </c>
      <c r="R239" s="16">
        <v>1</v>
      </c>
      <c r="S239" s="16">
        <v>1</v>
      </c>
    </row>
    <row r="240" spans="1:19">
      <c r="A240" s="7">
        <v>1</v>
      </c>
      <c r="B240" s="7" t="s">
        <v>252</v>
      </c>
      <c r="C240" s="7">
        <v>1.8416333999999999E-2</v>
      </c>
      <c r="D240" s="7">
        <v>0.80531406000000005</v>
      </c>
      <c r="E240" s="7">
        <v>0.14003678</v>
      </c>
      <c r="F240" s="7">
        <v>0.75098540000000003</v>
      </c>
      <c r="G240" s="7">
        <v>9.6509639999999997E-3</v>
      </c>
      <c r="H240" s="7">
        <v>0.99034904999999995</v>
      </c>
      <c r="I240" s="7">
        <v>6.9649094000000002E-3</v>
      </c>
      <c r="J240" s="7">
        <v>0.99303509999999995</v>
      </c>
      <c r="K240" s="7">
        <v>5.5416084999999997E-2</v>
      </c>
      <c r="L240" s="7">
        <v>0.25111620000000001</v>
      </c>
      <c r="M240" s="7">
        <v>4.8994660000000002E-2</v>
      </c>
      <c r="N240" s="7">
        <v>0.95100534000000003</v>
      </c>
      <c r="O240" s="7">
        <v>3.2638493999999997E-2</v>
      </c>
      <c r="P240" s="7">
        <v>0.96736149999999999</v>
      </c>
      <c r="Q240" s="8">
        <v>1</v>
      </c>
      <c r="R240" s="16">
        <v>1</v>
      </c>
      <c r="S240" s="16">
        <v>1</v>
      </c>
    </row>
    <row r="241" spans="1:19">
      <c r="A241" s="1">
        <v>1</v>
      </c>
      <c r="B241" s="1" t="s">
        <v>253</v>
      </c>
      <c r="C241" s="1">
        <v>0.11328718</v>
      </c>
      <c r="D241" s="1">
        <v>0.77763223999999997</v>
      </c>
      <c r="E241" s="1">
        <v>0.21623846999999999</v>
      </c>
      <c r="F241" s="1">
        <v>0.76321059999999996</v>
      </c>
      <c r="G241" s="1">
        <v>0.111368984</v>
      </c>
      <c r="H241" s="1">
        <v>0.88863099999999995</v>
      </c>
      <c r="I241" s="1">
        <v>6.919555E-3</v>
      </c>
      <c r="J241" s="1">
        <v>0.99308043999999995</v>
      </c>
      <c r="K241" s="1">
        <v>0.21448563000000001</v>
      </c>
      <c r="L241" s="1">
        <v>0.32573128000000001</v>
      </c>
      <c r="M241" s="1">
        <v>8.6380650000000003E-2</v>
      </c>
      <c r="N241" s="1">
        <v>0.91361934</v>
      </c>
      <c r="O241" s="1">
        <v>9.1090630000000006E-2</v>
      </c>
      <c r="P241" s="1">
        <v>0.90890939999999998</v>
      </c>
      <c r="Q241" s="4">
        <v>1</v>
      </c>
      <c r="R241" s="14">
        <v>1</v>
      </c>
      <c r="S241" s="14">
        <v>1</v>
      </c>
    </row>
    <row r="242" spans="1:19">
      <c r="A242" s="1">
        <v>1</v>
      </c>
      <c r="B242" s="1" t="s">
        <v>254</v>
      </c>
      <c r="C242" s="1">
        <v>0.22449126999999999</v>
      </c>
      <c r="D242" s="1">
        <v>0.71706057000000001</v>
      </c>
      <c r="E242" s="1">
        <v>0.5419119</v>
      </c>
      <c r="F242" s="1">
        <v>0.58597149999999998</v>
      </c>
      <c r="G242" s="1">
        <v>0.13286390000000001</v>
      </c>
      <c r="H242" s="1">
        <v>0.86713609999999997</v>
      </c>
      <c r="I242" s="1">
        <v>4.3030143E-2</v>
      </c>
      <c r="J242" s="1">
        <v>0.95696979999999998</v>
      </c>
      <c r="K242" s="1">
        <v>7.9182506E-2</v>
      </c>
      <c r="L242" s="1">
        <v>0.35967848000000002</v>
      </c>
      <c r="M242" s="1">
        <v>0.19262414999999999</v>
      </c>
      <c r="N242" s="1">
        <v>0.80737590000000004</v>
      </c>
      <c r="O242" s="1">
        <v>9.3807230000000005E-2</v>
      </c>
      <c r="P242" s="1">
        <v>0.90619269999999996</v>
      </c>
      <c r="Q242" s="4">
        <v>1</v>
      </c>
      <c r="R242" s="14">
        <v>1</v>
      </c>
      <c r="S242" s="14">
        <v>1</v>
      </c>
    </row>
    <row r="243" spans="1:19">
      <c r="A243" s="1">
        <v>1</v>
      </c>
      <c r="B243" s="1" t="s">
        <v>255</v>
      </c>
      <c r="C243" s="1">
        <v>0.57835703999999999</v>
      </c>
      <c r="D243" s="1">
        <v>0.61224054999999999</v>
      </c>
      <c r="E243" s="1">
        <v>0.70087929999999998</v>
      </c>
      <c r="F243" s="1">
        <v>0.38331767999999999</v>
      </c>
      <c r="G243" s="1">
        <v>0.47500828</v>
      </c>
      <c r="H243" s="1">
        <v>0.52499169999999995</v>
      </c>
      <c r="I243" s="1">
        <v>0.37209209999999998</v>
      </c>
      <c r="J243" s="1">
        <v>0.62790793</v>
      </c>
      <c r="K243" s="1">
        <v>0.170711</v>
      </c>
      <c r="L243" s="1">
        <v>0.23315896</v>
      </c>
      <c r="M243" s="1">
        <v>0.19554646000000001</v>
      </c>
      <c r="N243" s="1">
        <v>0.80445350000000004</v>
      </c>
      <c r="O243" s="1">
        <v>0.19702639</v>
      </c>
      <c r="P243" s="1">
        <v>0.80297370000000001</v>
      </c>
      <c r="Q243" s="4">
        <v>1</v>
      </c>
      <c r="R243" s="14">
        <v>1</v>
      </c>
      <c r="S243" s="14">
        <v>1</v>
      </c>
    </row>
    <row r="244" spans="1:19">
      <c r="A244" s="1">
        <v>1</v>
      </c>
      <c r="B244" s="1" t="s">
        <v>256</v>
      </c>
      <c r="C244" s="1">
        <v>0.36012100000000002</v>
      </c>
      <c r="D244" s="1">
        <v>0.74040866000000005</v>
      </c>
      <c r="E244" s="1">
        <v>0.55454250000000005</v>
      </c>
      <c r="F244" s="1">
        <v>0.65198299999999998</v>
      </c>
      <c r="G244" s="1">
        <v>0.44571936000000001</v>
      </c>
      <c r="H244" s="1">
        <v>0.55428069999999996</v>
      </c>
      <c r="I244" s="1">
        <v>0.14132348</v>
      </c>
      <c r="J244" s="1">
        <v>0.85867649999999995</v>
      </c>
      <c r="K244" s="1">
        <v>0.10789495</v>
      </c>
      <c r="L244" s="1">
        <v>0.34413319999999997</v>
      </c>
      <c r="M244" s="1">
        <v>0.14294493</v>
      </c>
      <c r="N244" s="1">
        <v>0.85705507000000003</v>
      </c>
      <c r="O244" s="1">
        <v>8.2805774999999998E-2</v>
      </c>
      <c r="P244" s="1">
        <v>0.91719424999999999</v>
      </c>
      <c r="Q244" s="4">
        <v>1</v>
      </c>
      <c r="R244" s="14">
        <v>1</v>
      </c>
      <c r="S244" s="14">
        <v>1</v>
      </c>
    </row>
    <row r="245" spans="1:19">
      <c r="A245" s="1">
        <v>1</v>
      </c>
      <c r="B245" s="1" t="s">
        <v>257</v>
      </c>
      <c r="C245" s="1">
        <v>0.72050464000000003</v>
      </c>
      <c r="D245" s="1">
        <v>0.45683755999999998</v>
      </c>
      <c r="E245" s="1">
        <v>0.58641370000000004</v>
      </c>
      <c r="F245" s="1">
        <v>0.61659280000000005</v>
      </c>
      <c r="G245" s="1">
        <v>0.68667305000000001</v>
      </c>
      <c r="H245" s="1">
        <v>0.31332693</v>
      </c>
      <c r="I245" s="1">
        <v>0.50504726</v>
      </c>
      <c r="J245" s="1">
        <v>0.49495267999999998</v>
      </c>
      <c r="K245" s="1">
        <v>0.18631025000000001</v>
      </c>
      <c r="L245" s="1">
        <v>0.2557895</v>
      </c>
      <c r="M245" s="1">
        <v>0.21402832999999999</v>
      </c>
      <c r="N245" s="1">
        <v>0.78597163999999997</v>
      </c>
      <c r="O245" s="1">
        <v>0.15125294</v>
      </c>
      <c r="P245" s="1">
        <v>0.84874709999999998</v>
      </c>
      <c r="Q245" s="4">
        <v>0</v>
      </c>
      <c r="R245" s="13">
        <v>1</v>
      </c>
      <c r="S245" s="14">
        <v>1</v>
      </c>
    </row>
    <row r="246" spans="1:19">
      <c r="A246" s="1">
        <v>1</v>
      </c>
      <c r="B246" s="1" t="s">
        <v>258</v>
      </c>
      <c r="C246" s="1">
        <v>0.21137900000000001</v>
      </c>
      <c r="D246" s="1">
        <v>0.77363720000000002</v>
      </c>
      <c r="E246" s="1">
        <v>7.7133103999999994E-2</v>
      </c>
      <c r="F246" s="1">
        <v>0.7788292</v>
      </c>
      <c r="G246" s="1">
        <v>4.5529793999999998E-2</v>
      </c>
      <c r="H246" s="1">
        <v>0.95447020000000005</v>
      </c>
      <c r="I246" s="1">
        <v>8.7124460000000004E-3</v>
      </c>
      <c r="J246" s="1">
        <v>0.99128749999999999</v>
      </c>
      <c r="K246" s="1">
        <v>9.6788554999999998E-2</v>
      </c>
      <c r="L246" s="1">
        <v>0.49318521999999998</v>
      </c>
      <c r="M246" s="1">
        <v>0.17000513</v>
      </c>
      <c r="N246" s="1">
        <v>0.82999486</v>
      </c>
      <c r="O246" s="1">
        <v>0.10575981399999999</v>
      </c>
      <c r="P246" s="1">
        <v>0.89424020000000004</v>
      </c>
      <c r="Q246" s="4">
        <v>1</v>
      </c>
      <c r="R246" s="14">
        <v>1</v>
      </c>
      <c r="S246" s="14">
        <v>1</v>
      </c>
    </row>
    <row r="247" spans="1:19">
      <c r="A247" s="1">
        <v>1</v>
      </c>
      <c r="B247" s="1" t="s">
        <v>259</v>
      </c>
      <c r="C247" s="1">
        <v>6.3031114999999999E-2</v>
      </c>
      <c r="D247" s="1">
        <v>0.80062849999999997</v>
      </c>
      <c r="E247" s="1">
        <v>0.13635824999999999</v>
      </c>
      <c r="F247" s="1">
        <v>0.80215139999999996</v>
      </c>
      <c r="G247" s="1">
        <v>0.14085016</v>
      </c>
      <c r="H247" s="1">
        <v>0.85914990000000002</v>
      </c>
      <c r="I247" s="1">
        <v>4.6668429999999997E-2</v>
      </c>
      <c r="J247" s="1">
        <v>0.95333159999999995</v>
      </c>
      <c r="K247" s="1">
        <v>0.18501860000000001</v>
      </c>
      <c r="L247" s="1">
        <v>0.38513481999999999</v>
      </c>
      <c r="M247" s="1">
        <v>0.16851752</v>
      </c>
      <c r="N247" s="1">
        <v>0.83148246999999997</v>
      </c>
      <c r="O247" s="1">
        <v>0.27858904000000001</v>
      </c>
      <c r="P247" s="1">
        <v>0.72141100000000002</v>
      </c>
      <c r="Q247" s="4">
        <v>1</v>
      </c>
      <c r="R247" s="14">
        <v>1</v>
      </c>
      <c r="S247" s="14">
        <v>1</v>
      </c>
    </row>
    <row r="248" spans="1:19">
      <c r="A248" s="1">
        <v>1</v>
      </c>
      <c r="B248" s="1" t="s">
        <v>260</v>
      </c>
      <c r="C248" s="1">
        <v>0.28154013</v>
      </c>
      <c r="D248" s="1">
        <v>0.74523399999999995</v>
      </c>
      <c r="E248" s="1">
        <v>0.35447469999999998</v>
      </c>
      <c r="F248" s="1">
        <v>0.72809409999999997</v>
      </c>
      <c r="G248" s="1">
        <v>0.13263517999999999</v>
      </c>
      <c r="H248" s="1">
        <v>0.86736480000000005</v>
      </c>
      <c r="I248" s="1">
        <v>8.501771E-3</v>
      </c>
      <c r="J248" s="1">
        <v>0.9914982</v>
      </c>
      <c r="K248" s="1">
        <v>0.12212845</v>
      </c>
      <c r="L248" s="1">
        <v>0.17773472000000001</v>
      </c>
      <c r="M248" s="1">
        <v>0.26637422999999999</v>
      </c>
      <c r="N248" s="1">
        <v>0.73362576999999995</v>
      </c>
      <c r="O248" s="1">
        <v>0.14175646</v>
      </c>
      <c r="P248" s="1">
        <v>0.85824350000000005</v>
      </c>
      <c r="Q248" s="4">
        <v>1</v>
      </c>
      <c r="R248" s="14">
        <v>1</v>
      </c>
      <c r="S248" s="14">
        <v>0</v>
      </c>
    </row>
    <row r="249" spans="1:19">
      <c r="A249" s="1">
        <v>1</v>
      </c>
      <c r="B249" s="1" t="s">
        <v>261</v>
      </c>
      <c r="C249" s="1">
        <v>0.68728509999999998</v>
      </c>
      <c r="D249" s="1">
        <v>0.19734952</v>
      </c>
      <c r="E249" s="1">
        <v>0.32498926</v>
      </c>
      <c r="F249" s="1">
        <v>0.71431789999999995</v>
      </c>
      <c r="G249" s="1">
        <v>0.14165016999999999</v>
      </c>
      <c r="H249" s="1">
        <v>0.85834980000000005</v>
      </c>
      <c r="I249" s="1">
        <v>0.63303745</v>
      </c>
      <c r="J249" s="1">
        <v>0.36696260000000003</v>
      </c>
      <c r="K249" s="1">
        <v>6.7870630000000001E-2</v>
      </c>
      <c r="L249" s="1">
        <v>0.45074636000000001</v>
      </c>
      <c r="M249" s="1">
        <v>0.40916037999999999</v>
      </c>
      <c r="N249" s="1">
        <v>0.59083956000000004</v>
      </c>
      <c r="O249" s="1">
        <v>0.40527004</v>
      </c>
      <c r="P249" s="1">
        <v>0.59472996</v>
      </c>
      <c r="Q249" s="4">
        <v>1</v>
      </c>
      <c r="R249" s="14">
        <v>1</v>
      </c>
      <c r="S249" s="14">
        <v>1</v>
      </c>
    </row>
    <row r="250" spans="1:19">
      <c r="A250" s="1">
        <v>1</v>
      </c>
      <c r="B250" s="1" t="s">
        <v>262</v>
      </c>
      <c r="C250" s="1">
        <v>0.23349244999999999</v>
      </c>
      <c r="D250" s="1">
        <v>0.74569832999999996</v>
      </c>
      <c r="E250" s="1">
        <v>0.3544331</v>
      </c>
      <c r="F250" s="1">
        <v>0.70986146000000006</v>
      </c>
      <c r="G250" s="1">
        <v>0.21203773000000001</v>
      </c>
      <c r="H250" s="1">
        <v>0.7879623</v>
      </c>
      <c r="I250" s="1">
        <v>6.6563233999999999E-2</v>
      </c>
      <c r="J250" s="1">
        <v>0.93343679999999996</v>
      </c>
      <c r="K250" s="1">
        <v>0.28823443999999998</v>
      </c>
      <c r="L250" s="1">
        <v>9.5906989999999998E-2</v>
      </c>
      <c r="M250" s="1">
        <v>0.44729856000000001</v>
      </c>
      <c r="N250" s="1">
        <v>0.55270149999999996</v>
      </c>
      <c r="O250" s="1">
        <v>0.26591461999999999</v>
      </c>
      <c r="P250" s="1">
        <v>0.7340854</v>
      </c>
      <c r="Q250" s="4">
        <v>1</v>
      </c>
      <c r="R250" s="14">
        <v>1</v>
      </c>
      <c r="S250" s="14">
        <v>1</v>
      </c>
    </row>
    <row r="251" spans="1:19">
      <c r="A251" s="1">
        <v>1</v>
      </c>
      <c r="B251" s="1" t="s">
        <v>263</v>
      </c>
      <c r="C251" s="1">
        <v>2.8310351000000001E-2</v>
      </c>
      <c r="D251" s="1">
        <v>0.80874760000000001</v>
      </c>
      <c r="E251" s="1">
        <v>0.114397824</v>
      </c>
      <c r="F251" s="1">
        <v>0.78130644999999999</v>
      </c>
      <c r="G251" s="1">
        <v>7.9023759999999998E-2</v>
      </c>
      <c r="H251" s="1">
        <v>0.92097620000000002</v>
      </c>
      <c r="I251" s="1">
        <v>1.9469451999999999E-3</v>
      </c>
      <c r="J251" s="1">
        <v>0.99805310000000003</v>
      </c>
      <c r="K251" s="1">
        <v>7.784431E-2</v>
      </c>
      <c r="L251" s="1">
        <v>0.31122544000000002</v>
      </c>
      <c r="M251" s="1">
        <v>4.3871899999999998E-2</v>
      </c>
      <c r="N251" s="1">
        <v>0.95612810000000004</v>
      </c>
      <c r="O251" s="1">
        <v>3.6673422999999997E-2</v>
      </c>
      <c r="P251" s="1">
        <v>0.96332649999999997</v>
      </c>
      <c r="Q251" s="4">
        <v>1</v>
      </c>
      <c r="R251" s="13">
        <v>1</v>
      </c>
      <c r="S251" s="14">
        <v>1</v>
      </c>
    </row>
    <row r="252" spans="1:19">
      <c r="A252" s="1">
        <v>1</v>
      </c>
      <c r="B252" s="1" t="s">
        <v>264</v>
      </c>
      <c r="C252" s="1">
        <v>4.0572904E-2</v>
      </c>
      <c r="D252" s="1">
        <v>0.79496383999999998</v>
      </c>
      <c r="E252" s="1">
        <v>8.4539920000000005E-2</v>
      </c>
      <c r="F252" s="1">
        <v>0.78316569999999996</v>
      </c>
      <c r="G252" s="1">
        <v>4.4108737000000002E-2</v>
      </c>
      <c r="H252" s="1">
        <v>0.95589124999999997</v>
      </c>
      <c r="I252" s="1">
        <v>7.7339234000000003E-3</v>
      </c>
      <c r="J252" s="1">
        <v>0.99226599999999998</v>
      </c>
      <c r="K252" s="1">
        <v>3.1943082999999997E-2</v>
      </c>
      <c r="L252" s="1">
        <v>0.5710809</v>
      </c>
      <c r="M252" s="1">
        <v>9.0065759999999995E-2</v>
      </c>
      <c r="N252" s="1">
        <v>0.90993420000000003</v>
      </c>
      <c r="O252" s="1">
        <v>4.1411877E-2</v>
      </c>
      <c r="P252" s="1">
        <v>0.9585882</v>
      </c>
      <c r="Q252" s="4">
        <v>1</v>
      </c>
      <c r="R252" s="14">
        <v>1</v>
      </c>
      <c r="S252" s="14">
        <v>1</v>
      </c>
    </row>
    <row r="253" spans="1:19">
      <c r="A253" s="1">
        <v>1</v>
      </c>
      <c r="B253" s="1" t="s">
        <v>265</v>
      </c>
      <c r="C253" s="1">
        <v>1.23077715E-2</v>
      </c>
      <c r="D253" s="1">
        <v>0.80253375000000005</v>
      </c>
      <c r="E253" s="1">
        <v>0.13494312999999999</v>
      </c>
      <c r="F253" s="1">
        <v>0.78243339999999995</v>
      </c>
      <c r="G253" s="1">
        <v>3.4256796999999999E-2</v>
      </c>
      <c r="H253" s="1">
        <v>0.96574324</v>
      </c>
      <c r="I253" s="1">
        <v>2.4511115999999999E-3</v>
      </c>
      <c r="J253" s="1">
        <v>0.99754889999999996</v>
      </c>
      <c r="K253" s="1">
        <v>7.3658860000000007E-2</v>
      </c>
      <c r="L253" s="1">
        <v>0.38989912999999998</v>
      </c>
      <c r="M253" s="1">
        <v>0.12060622</v>
      </c>
      <c r="N253" s="1">
        <v>0.8793938</v>
      </c>
      <c r="O253" s="1">
        <v>5.2377578000000001E-2</v>
      </c>
      <c r="P253" s="1">
        <v>0.94762250000000003</v>
      </c>
      <c r="Q253" s="4">
        <v>1</v>
      </c>
      <c r="R253" s="14">
        <v>1</v>
      </c>
      <c r="S253" s="14">
        <v>1</v>
      </c>
    </row>
    <row r="254" spans="1:19">
      <c r="A254" s="1">
        <v>1</v>
      </c>
      <c r="B254" s="1" t="s">
        <v>266</v>
      </c>
      <c r="C254" s="1">
        <v>3.8509282999999998E-2</v>
      </c>
      <c r="D254" s="1">
        <v>0.79289419999999999</v>
      </c>
      <c r="E254" s="1">
        <v>0.15931651999999999</v>
      </c>
      <c r="F254" s="1">
        <v>0.74045444000000005</v>
      </c>
      <c r="G254" s="1">
        <v>1.0952307E-2</v>
      </c>
      <c r="H254" s="1">
        <v>0.98904769999999997</v>
      </c>
      <c r="I254" s="1">
        <v>4.3309014E-3</v>
      </c>
      <c r="J254" s="1">
        <v>0.99566909999999997</v>
      </c>
      <c r="K254" s="1">
        <v>0.21134786</v>
      </c>
      <c r="L254" s="1">
        <v>0.31774762000000001</v>
      </c>
      <c r="M254" s="1">
        <v>0.16218442</v>
      </c>
      <c r="N254" s="1">
        <v>0.83781550000000005</v>
      </c>
      <c r="O254" s="1">
        <v>8.0783054000000007E-2</v>
      </c>
      <c r="P254" s="1">
        <v>0.91921693000000004</v>
      </c>
      <c r="Q254" s="4">
        <v>1</v>
      </c>
      <c r="R254" s="13">
        <v>0</v>
      </c>
      <c r="S254" s="14">
        <v>1</v>
      </c>
    </row>
    <row r="255" spans="1:19">
      <c r="A255" s="1">
        <v>1</v>
      </c>
      <c r="B255" s="1" t="s">
        <v>267</v>
      </c>
      <c r="C255" s="1">
        <v>0.55616736</v>
      </c>
      <c r="D255" s="1">
        <v>0.58036774000000002</v>
      </c>
      <c r="E255" s="1">
        <v>0.69095397000000003</v>
      </c>
      <c r="F255" s="1">
        <v>0.34916311999999999</v>
      </c>
      <c r="G255" s="1">
        <v>0.34350740000000002</v>
      </c>
      <c r="H255" s="1">
        <v>0.65649252999999996</v>
      </c>
      <c r="I255" s="1">
        <v>0.36883837000000003</v>
      </c>
      <c r="J255" s="1">
        <v>0.63116163000000003</v>
      </c>
      <c r="K255" s="1">
        <v>0.14605539000000001</v>
      </c>
      <c r="L255" s="1">
        <v>0.54736240000000003</v>
      </c>
      <c r="M255" s="1">
        <v>3.936344E-2</v>
      </c>
      <c r="N255" s="1">
        <v>0.96063655999999997</v>
      </c>
      <c r="O255" s="1">
        <v>2.6735981999999998E-2</v>
      </c>
      <c r="P255" s="1">
        <v>0.97326400000000002</v>
      </c>
      <c r="Q255" s="4">
        <v>1</v>
      </c>
      <c r="R255" s="13">
        <v>1</v>
      </c>
      <c r="S255" s="14">
        <v>1</v>
      </c>
    </row>
    <row r="256" spans="1:19">
      <c r="A256" s="1">
        <v>1</v>
      </c>
      <c r="B256" s="1" t="s">
        <v>268</v>
      </c>
      <c r="C256" s="1">
        <v>3.2408162999999997E-2</v>
      </c>
      <c r="D256" s="1">
        <v>0.79995936000000001</v>
      </c>
      <c r="E256" s="1">
        <v>0.25926860000000002</v>
      </c>
      <c r="F256" s="1">
        <v>0.75826510000000003</v>
      </c>
      <c r="G256" s="1">
        <v>0.33941144000000001</v>
      </c>
      <c r="H256" s="1">
        <v>0.66058855999999999</v>
      </c>
      <c r="I256" s="1">
        <v>1.3799205E-2</v>
      </c>
      <c r="J256" s="1">
        <v>0.98620074999999996</v>
      </c>
      <c r="K256" s="1">
        <v>9.3530020000000005E-2</v>
      </c>
      <c r="L256" s="1">
        <v>0.41230630000000001</v>
      </c>
      <c r="M256" s="1">
        <v>4.2735207999999997E-2</v>
      </c>
      <c r="N256" s="1">
        <v>0.95726480000000003</v>
      </c>
      <c r="O256" s="1">
        <v>1.5951876E-2</v>
      </c>
      <c r="P256" s="1">
        <v>0.98404809999999998</v>
      </c>
      <c r="Q256" s="4">
        <v>1</v>
      </c>
      <c r="R256" s="14">
        <v>1</v>
      </c>
      <c r="S256" s="14">
        <v>1</v>
      </c>
    </row>
    <row r="257" spans="1:19">
      <c r="A257" s="1">
        <v>1</v>
      </c>
      <c r="B257" s="1" t="s">
        <v>269</v>
      </c>
      <c r="C257" s="1">
        <v>2.6988140000000001E-2</v>
      </c>
      <c r="D257" s="1">
        <v>0.81223179999999995</v>
      </c>
      <c r="E257" s="1">
        <v>0.12732357</v>
      </c>
      <c r="F257" s="1">
        <v>0.78693133999999998</v>
      </c>
      <c r="G257" s="1">
        <v>4.3567553000000002E-2</v>
      </c>
      <c r="H257" s="1">
        <v>0.95643246000000004</v>
      </c>
      <c r="I257" s="1">
        <v>2.7211715999999999E-3</v>
      </c>
      <c r="J257" s="1">
        <v>0.99727887000000004</v>
      </c>
      <c r="K257" s="1">
        <v>8.0911280000000002E-2</v>
      </c>
      <c r="L257" s="1">
        <v>0.42449071999999999</v>
      </c>
      <c r="M257" s="1">
        <v>8.7834179999999998E-2</v>
      </c>
      <c r="N257" s="1">
        <v>0.91216580000000003</v>
      </c>
      <c r="O257" s="1">
        <v>9.8338030000000007E-2</v>
      </c>
      <c r="P257" s="1">
        <v>0.90166199999999996</v>
      </c>
      <c r="Q257" s="4">
        <v>0</v>
      </c>
      <c r="R257" s="14">
        <v>1</v>
      </c>
      <c r="S257" s="14">
        <v>1</v>
      </c>
    </row>
    <row r="258" spans="1:19">
      <c r="A258" s="1">
        <v>1</v>
      </c>
      <c r="B258" s="1" t="s">
        <v>270</v>
      </c>
      <c r="C258" s="1">
        <v>4.144718E-2</v>
      </c>
      <c r="D258" s="1">
        <v>0.79919419999999997</v>
      </c>
      <c r="E258" s="1">
        <v>0.14767498000000001</v>
      </c>
      <c r="F258" s="1">
        <v>0.77917044999999996</v>
      </c>
      <c r="G258" s="1">
        <v>1.27073955E-2</v>
      </c>
      <c r="H258" s="1">
        <v>0.98729264999999999</v>
      </c>
      <c r="I258" s="1">
        <v>1.7356774000000001E-3</v>
      </c>
      <c r="J258" s="1">
        <v>0.99826440000000005</v>
      </c>
      <c r="K258" s="1">
        <v>7.3624714999999993E-2</v>
      </c>
      <c r="L258" s="1">
        <v>0.55004969999999997</v>
      </c>
      <c r="M258" s="1">
        <v>8.6360599999999996E-2</v>
      </c>
      <c r="N258" s="1">
        <v>0.91363939999999999</v>
      </c>
      <c r="O258" s="1">
        <v>1.8704592999999999E-2</v>
      </c>
      <c r="P258" s="1">
        <v>0.98129546999999995</v>
      </c>
      <c r="Q258" s="4">
        <v>1</v>
      </c>
      <c r="R258" s="14">
        <v>1</v>
      </c>
      <c r="S258" s="14">
        <v>1</v>
      </c>
    </row>
    <row r="259" spans="1:19">
      <c r="A259" s="1">
        <v>1</v>
      </c>
      <c r="B259" s="1" t="s">
        <v>271</v>
      </c>
      <c r="C259" s="1">
        <v>7.2868879999999997E-2</v>
      </c>
      <c r="D259" s="1">
        <v>0.80907819999999997</v>
      </c>
      <c r="E259" s="1">
        <v>1.9383419999999998E-2</v>
      </c>
      <c r="F259" s="1">
        <v>0.79161429999999999</v>
      </c>
      <c r="G259" s="1">
        <v>7.9722200000000003E-3</v>
      </c>
      <c r="H259" s="1">
        <v>0.99202780000000002</v>
      </c>
      <c r="I259" s="1">
        <v>3.4937449999999999E-3</v>
      </c>
      <c r="J259" s="1">
        <v>0.99650629999999996</v>
      </c>
      <c r="K259" s="1">
        <v>6.1541297000000002E-2</v>
      </c>
      <c r="L259" s="1">
        <v>0.50130445000000001</v>
      </c>
      <c r="M259" s="1">
        <v>0.11464774599999999</v>
      </c>
      <c r="N259" s="1">
        <v>0.88535224999999995</v>
      </c>
      <c r="O259" s="1">
        <v>7.0146896E-2</v>
      </c>
      <c r="P259" s="1">
        <v>0.92985309999999999</v>
      </c>
      <c r="Q259" s="4">
        <v>1</v>
      </c>
      <c r="R259" s="14">
        <v>1</v>
      </c>
      <c r="S259" s="14">
        <v>1</v>
      </c>
    </row>
    <row r="260" spans="1:19">
      <c r="A260" s="1">
        <v>1</v>
      </c>
      <c r="B260" s="1" t="s">
        <v>272</v>
      </c>
      <c r="C260" s="1">
        <v>4.2137960000000002E-2</v>
      </c>
      <c r="D260" s="1">
        <v>0.78950005999999995</v>
      </c>
      <c r="E260" s="1">
        <v>0.25816408000000002</v>
      </c>
      <c r="F260" s="1">
        <v>0.73468129999999998</v>
      </c>
      <c r="G260" s="1">
        <v>7.3340139999999998E-2</v>
      </c>
      <c r="H260" s="1">
        <v>0.92665989999999998</v>
      </c>
      <c r="I260" s="1">
        <v>3.2509428E-2</v>
      </c>
      <c r="J260" s="1">
        <v>0.96749059999999998</v>
      </c>
      <c r="K260" s="1">
        <v>0.1698025</v>
      </c>
      <c r="L260" s="1">
        <v>0.34313487999999998</v>
      </c>
      <c r="M260" s="1">
        <v>0.16601832</v>
      </c>
      <c r="N260" s="1">
        <v>0.83398170000000005</v>
      </c>
      <c r="O260" s="1">
        <v>0.25486439999999999</v>
      </c>
      <c r="P260" s="1">
        <v>0.74513554999999998</v>
      </c>
      <c r="Q260" s="4">
        <v>0</v>
      </c>
      <c r="R260" s="14">
        <v>1</v>
      </c>
      <c r="S260" s="14">
        <v>1</v>
      </c>
    </row>
    <row r="261" spans="1:19">
      <c r="A261" s="1">
        <v>1</v>
      </c>
      <c r="B261" s="1" t="s">
        <v>273</v>
      </c>
      <c r="C261" s="1">
        <v>6.8145170000000005E-2</v>
      </c>
      <c r="D261" s="1">
        <v>0.80177003000000002</v>
      </c>
      <c r="E261" s="1">
        <v>4.8310585000000003E-2</v>
      </c>
      <c r="F261" s="1">
        <v>0.79990256000000004</v>
      </c>
      <c r="G261" s="1">
        <v>4.7271173E-3</v>
      </c>
      <c r="H261" s="1">
        <v>0.99527292999999994</v>
      </c>
      <c r="I261" s="1">
        <v>1.6276591000000001E-3</v>
      </c>
      <c r="J261" s="1">
        <v>0.99837240000000005</v>
      </c>
      <c r="K261" s="1">
        <v>8.2776039999999995E-2</v>
      </c>
      <c r="L261" s="1">
        <v>0.30539063</v>
      </c>
      <c r="M261" s="1">
        <v>0.17943585000000001</v>
      </c>
      <c r="N261" s="1">
        <v>0.82056410000000002</v>
      </c>
      <c r="O261" s="1">
        <v>4.1858594999999998E-2</v>
      </c>
      <c r="P261" s="1">
        <v>0.95814129999999997</v>
      </c>
      <c r="Q261" s="4">
        <v>1</v>
      </c>
      <c r="R261" s="14">
        <v>1</v>
      </c>
      <c r="S261" s="14">
        <v>1</v>
      </c>
    </row>
    <row r="262" spans="1:19">
      <c r="A262" s="1">
        <v>1</v>
      </c>
      <c r="B262" s="1" t="s">
        <v>274</v>
      </c>
      <c r="C262" s="1">
        <v>3.9711688000000002E-2</v>
      </c>
      <c r="D262" s="1">
        <v>0.79142049999999997</v>
      </c>
      <c r="E262" s="1">
        <v>0.12479137999999999</v>
      </c>
      <c r="F262" s="1">
        <v>0.75860139999999998</v>
      </c>
      <c r="G262" s="1">
        <v>8.917286E-3</v>
      </c>
      <c r="H262" s="1">
        <v>0.99108267000000005</v>
      </c>
      <c r="I262" s="1">
        <v>1.9251547999999999E-4</v>
      </c>
      <c r="J262" s="1">
        <v>0.99980754000000005</v>
      </c>
      <c r="K262" s="1">
        <v>0.14107786</v>
      </c>
      <c r="L262" s="1">
        <v>0.19408703999999999</v>
      </c>
      <c r="M262" s="1">
        <v>0.48441820000000002</v>
      </c>
      <c r="N262" s="1">
        <v>0.51558179999999998</v>
      </c>
      <c r="O262" s="1">
        <v>0.49714696000000003</v>
      </c>
      <c r="P262" s="1">
        <v>0.50285303999999997</v>
      </c>
      <c r="Q262" s="4">
        <v>1</v>
      </c>
      <c r="R262" s="14">
        <v>1</v>
      </c>
      <c r="S262" s="14">
        <v>1</v>
      </c>
    </row>
    <row r="263" spans="1:19">
      <c r="A263" s="7">
        <v>1</v>
      </c>
      <c r="B263" s="7" t="s">
        <v>275</v>
      </c>
      <c r="C263" s="7">
        <v>0.76536539999999997</v>
      </c>
      <c r="D263" s="7">
        <v>0.21745076999999999</v>
      </c>
      <c r="E263" s="7">
        <v>0.78064009999999995</v>
      </c>
      <c r="F263" s="7">
        <v>0.23184273999999999</v>
      </c>
      <c r="G263" s="7">
        <v>0.79520650000000004</v>
      </c>
      <c r="H263" s="7">
        <v>0.20479349999999999</v>
      </c>
      <c r="I263" s="7">
        <v>0.79995419999999995</v>
      </c>
      <c r="J263" s="7">
        <v>0.20004586999999999</v>
      </c>
      <c r="K263" s="7">
        <v>0.41616740000000002</v>
      </c>
      <c r="L263" s="7">
        <v>0.28506666000000003</v>
      </c>
      <c r="M263" s="7">
        <v>0.55132084999999997</v>
      </c>
      <c r="N263" s="7">
        <v>0.44867911999999999</v>
      </c>
      <c r="O263" s="7">
        <v>0.76944159999999995</v>
      </c>
      <c r="P263" s="7">
        <v>0.23055835</v>
      </c>
      <c r="Q263" s="8">
        <v>1</v>
      </c>
      <c r="R263" s="15">
        <v>0</v>
      </c>
      <c r="S263" s="16">
        <v>1</v>
      </c>
    </row>
    <row r="264" spans="1:19">
      <c r="A264" s="1">
        <v>1</v>
      </c>
      <c r="B264" s="1" t="s">
        <v>276</v>
      </c>
      <c r="C264" s="1">
        <v>2.589311E-2</v>
      </c>
      <c r="D264" s="1">
        <v>0.81363255000000001</v>
      </c>
      <c r="E264" s="1">
        <v>0.11370636000000001</v>
      </c>
      <c r="F264" s="1">
        <v>0.79376460000000004</v>
      </c>
      <c r="G264" s="1">
        <v>5.6890312999999998E-2</v>
      </c>
      <c r="H264" s="1">
        <v>0.94310970000000005</v>
      </c>
      <c r="I264" s="1">
        <v>8.1942040000000001E-3</v>
      </c>
      <c r="J264" s="1">
        <v>0.99180579999999996</v>
      </c>
      <c r="K264" s="1">
        <v>6.2582455999999995E-2</v>
      </c>
      <c r="L264" s="1">
        <v>0.39891293999999999</v>
      </c>
      <c r="M264" s="1">
        <v>0.15487614</v>
      </c>
      <c r="N264" s="1">
        <v>0.84512379999999998</v>
      </c>
      <c r="O264" s="1">
        <v>9.3221670000000006E-2</v>
      </c>
      <c r="P264" s="1">
        <v>0.90677834000000002</v>
      </c>
      <c r="Q264" s="4">
        <v>1</v>
      </c>
      <c r="R264" s="14">
        <v>1</v>
      </c>
      <c r="S264" s="14">
        <v>1</v>
      </c>
    </row>
    <row r="265" spans="1:19">
      <c r="A265" s="1">
        <v>1</v>
      </c>
      <c r="B265" s="1" t="s">
        <v>277</v>
      </c>
      <c r="C265" s="1">
        <v>0.20164831</v>
      </c>
      <c r="D265" s="1">
        <v>0.79514545000000003</v>
      </c>
      <c r="E265" s="1">
        <v>5.9486980000000002E-2</v>
      </c>
      <c r="F265" s="1">
        <v>0.80035080000000003</v>
      </c>
      <c r="G265" s="1">
        <v>0.12949163</v>
      </c>
      <c r="H265" s="1">
        <v>0.87050839999999996</v>
      </c>
      <c r="I265" s="1">
        <v>4.7116887000000003E-2</v>
      </c>
      <c r="J265" s="1">
        <v>0.95288306</v>
      </c>
      <c r="K265" s="1">
        <v>7.8188900000000006E-2</v>
      </c>
      <c r="L265" s="1">
        <v>0.49436444000000002</v>
      </c>
      <c r="M265" s="1">
        <v>0.111479856</v>
      </c>
      <c r="N265" s="1">
        <v>0.88852019999999998</v>
      </c>
      <c r="O265" s="1">
        <v>0.16168373999999999</v>
      </c>
      <c r="P265" s="1">
        <v>0.83831619999999996</v>
      </c>
      <c r="Q265" s="4">
        <v>0</v>
      </c>
      <c r="R265" s="14">
        <v>1</v>
      </c>
      <c r="S265" s="14">
        <v>1</v>
      </c>
    </row>
    <row r="266" spans="1:19">
      <c r="A266" s="1">
        <v>1</v>
      </c>
      <c r="B266" s="1" t="s">
        <v>278</v>
      </c>
      <c r="C266" s="1">
        <v>2.7161886999999999E-2</v>
      </c>
      <c r="D266" s="1">
        <v>0.80660620000000005</v>
      </c>
      <c r="E266" s="1">
        <v>8.6392829999999993E-3</v>
      </c>
      <c r="F266" s="1">
        <v>0.79188009999999998</v>
      </c>
      <c r="G266" s="1">
        <v>1.2619267999999999E-2</v>
      </c>
      <c r="H266" s="1">
        <v>0.98738073999999998</v>
      </c>
      <c r="I266" s="1">
        <v>3.3218408000000002E-4</v>
      </c>
      <c r="J266" s="1">
        <v>0.99966790000000005</v>
      </c>
      <c r="K266" s="1">
        <v>8.7669259999999995E-3</v>
      </c>
      <c r="L266" s="1">
        <v>0.58959013000000005</v>
      </c>
      <c r="M266" s="1">
        <v>4.6516679999999998E-2</v>
      </c>
      <c r="N266" s="1">
        <v>0.95348334000000001</v>
      </c>
      <c r="O266" s="1">
        <v>1.4923326000000001E-2</v>
      </c>
      <c r="P266" s="1">
        <v>0.98507670000000003</v>
      </c>
      <c r="Q266" s="4">
        <v>1</v>
      </c>
      <c r="R266" s="14">
        <v>1</v>
      </c>
      <c r="S266" s="14">
        <v>1</v>
      </c>
    </row>
    <row r="267" spans="1:19">
      <c r="A267" s="7">
        <v>1</v>
      </c>
      <c r="B267" s="7" t="s">
        <v>279</v>
      </c>
      <c r="C267" s="7">
        <v>2.7495120000000001E-2</v>
      </c>
      <c r="D267" s="7">
        <v>0.79551590000000005</v>
      </c>
      <c r="E267" s="7">
        <v>0.13505719999999999</v>
      </c>
      <c r="F267" s="7">
        <v>0.78841030000000001</v>
      </c>
      <c r="G267" s="7">
        <v>0.12383787</v>
      </c>
      <c r="H267" s="7">
        <v>0.8761622</v>
      </c>
      <c r="I267" s="7">
        <v>0.1578329</v>
      </c>
      <c r="J267" s="7">
        <v>0.84216709999999995</v>
      </c>
      <c r="K267" s="7">
        <v>8.5300829999999994E-2</v>
      </c>
      <c r="L267" s="7">
        <v>0.27089990000000003</v>
      </c>
      <c r="M267" s="7">
        <v>0.30217776000000002</v>
      </c>
      <c r="N267" s="7">
        <v>0.69782219999999995</v>
      </c>
      <c r="O267" s="7">
        <v>0.14498553</v>
      </c>
      <c r="P267" s="7">
        <v>0.85501450000000001</v>
      </c>
      <c r="Q267" s="8">
        <v>1</v>
      </c>
      <c r="R267" s="16">
        <v>1</v>
      </c>
      <c r="S267" s="16">
        <v>1</v>
      </c>
    </row>
    <row r="268" spans="1:19">
      <c r="A268" s="1">
        <v>1</v>
      </c>
      <c r="B268" s="1" t="s">
        <v>280</v>
      </c>
      <c r="C268" s="1">
        <v>0.22867218</v>
      </c>
      <c r="D268" s="1">
        <v>0.76047589999999998</v>
      </c>
      <c r="E268" s="1">
        <v>0.45879694999999998</v>
      </c>
      <c r="F268" s="1">
        <v>0.67395689999999997</v>
      </c>
      <c r="G268" s="1">
        <v>0.39691100000000001</v>
      </c>
      <c r="H268" s="1">
        <v>0.60308899999999999</v>
      </c>
      <c r="I268" s="1">
        <v>0.18845161999999999</v>
      </c>
      <c r="J268" s="1">
        <v>0.81154839999999995</v>
      </c>
      <c r="K268" s="1">
        <v>4.5355838000000002E-2</v>
      </c>
      <c r="L268" s="1">
        <v>0.37085170000000001</v>
      </c>
      <c r="M268" s="1">
        <v>5.2394780000000002E-2</v>
      </c>
      <c r="N268" s="1">
        <v>0.94760524999999995</v>
      </c>
      <c r="O268" s="1">
        <v>4.8955039999999998E-2</v>
      </c>
      <c r="P268" s="1">
        <v>0.95104489999999997</v>
      </c>
      <c r="Q268" s="4">
        <v>1</v>
      </c>
      <c r="R268" s="14">
        <v>1</v>
      </c>
      <c r="S268" s="14">
        <v>1</v>
      </c>
    </row>
    <row r="269" spans="1:19">
      <c r="A269" s="1">
        <v>1</v>
      </c>
      <c r="B269" s="1" t="s">
        <v>281</v>
      </c>
      <c r="C269" s="1">
        <v>0.22299272000000001</v>
      </c>
      <c r="D269" s="1">
        <v>0.71560460000000004</v>
      </c>
      <c r="E269" s="1">
        <v>0.60013970000000005</v>
      </c>
      <c r="F269" s="1">
        <v>0.52562160000000002</v>
      </c>
      <c r="G269" s="1">
        <v>0.14952016000000001</v>
      </c>
      <c r="H269" s="1">
        <v>0.85047980000000001</v>
      </c>
      <c r="I269" s="1">
        <v>2.3056129000000002E-2</v>
      </c>
      <c r="J269" s="1">
        <v>0.97694389999999998</v>
      </c>
      <c r="K269" s="1">
        <v>4.3977889999999999E-2</v>
      </c>
      <c r="L269" s="1">
        <v>0.56335299999999999</v>
      </c>
      <c r="M269" s="1">
        <v>7.9032749999999995E-3</v>
      </c>
      <c r="N269" s="1">
        <v>0.99209665999999996</v>
      </c>
      <c r="O269" s="1">
        <v>4.5733801999999997E-2</v>
      </c>
      <c r="P269" s="1">
        <v>0.95426624999999998</v>
      </c>
      <c r="Q269" s="4">
        <v>1</v>
      </c>
      <c r="R269" s="14">
        <v>1</v>
      </c>
      <c r="S269" s="14">
        <v>1</v>
      </c>
    </row>
    <row r="270" spans="1:19">
      <c r="A270" s="1">
        <v>1</v>
      </c>
      <c r="B270" s="1" t="s">
        <v>282</v>
      </c>
      <c r="C270" s="1">
        <v>0.24465497999999999</v>
      </c>
      <c r="D270" s="1">
        <v>0.72207664999999999</v>
      </c>
      <c r="E270" s="1">
        <v>0.27312025000000001</v>
      </c>
      <c r="F270" s="1">
        <v>0.73578613999999998</v>
      </c>
      <c r="G270" s="1">
        <v>7.9711184000000004E-2</v>
      </c>
      <c r="H270" s="1">
        <v>0.92028880000000002</v>
      </c>
      <c r="I270" s="1">
        <v>0.19287582</v>
      </c>
      <c r="J270" s="1">
        <v>0.80712419999999996</v>
      </c>
      <c r="K270" s="1">
        <v>0.17124958000000001</v>
      </c>
      <c r="L270" s="1">
        <v>0.17642496999999999</v>
      </c>
      <c r="M270" s="1">
        <v>0.46499111999999998</v>
      </c>
      <c r="N270" s="1">
        <v>0.53500884999999998</v>
      </c>
      <c r="O270" s="1">
        <v>0.44114756999999999</v>
      </c>
      <c r="P270" s="1">
        <v>0.55885240000000003</v>
      </c>
      <c r="Q270" s="4">
        <v>1</v>
      </c>
      <c r="R270" s="14">
        <v>1</v>
      </c>
      <c r="S270" s="14">
        <v>1</v>
      </c>
    </row>
    <row r="271" spans="1:19">
      <c r="A271" s="1">
        <v>1</v>
      </c>
      <c r="B271" s="1" t="s">
        <v>283</v>
      </c>
      <c r="C271" s="1">
        <v>7.3509229999999995E-2</v>
      </c>
      <c r="D271" s="1">
        <v>0.79800945999999995</v>
      </c>
      <c r="E271" s="1">
        <v>0.22473465000000001</v>
      </c>
      <c r="F271" s="1">
        <v>0.75815290000000002</v>
      </c>
      <c r="G271" s="1">
        <v>3.5252869999999999E-2</v>
      </c>
      <c r="H271" s="1">
        <v>0.96474709999999997</v>
      </c>
      <c r="I271" s="1">
        <v>9.8915530000000008E-3</v>
      </c>
      <c r="J271" s="1">
        <v>0.99010849999999995</v>
      </c>
      <c r="K271" s="1">
        <v>0.19955513999999999</v>
      </c>
      <c r="L271" s="1">
        <v>0.30802515000000003</v>
      </c>
      <c r="M271" s="1">
        <v>0.10237538</v>
      </c>
      <c r="N271" s="1">
        <v>0.89762459999999999</v>
      </c>
      <c r="O271" s="1">
        <v>4.6409002999999997E-2</v>
      </c>
      <c r="P271" s="1">
        <v>0.95359090000000002</v>
      </c>
      <c r="Q271" s="4">
        <v>1</v>
      </c>
      <c r="R271" s="14">
        <v>1</v>
      </c>
      <c r="S271" s="14">
        <v>1</v>
      </c>
    </row>
    <row r="272" spans="1:19">
      <c r="A272" s="1">
        <v>1</v>
      </c>
      <c r="B272" s="1" t="s">
        <v>284</v>
      </c>
      <c r="C272" s="1">
        <v>8.607501E-3</v>
      </c>
      <c r="D272" s="1">
        <v>0.81249534999999995</v>
      </c>
      <c r="E272" s="1">
        <v>9.8033389999999995E-3</v>
      </c>
      <c r="F272" s="1">
        <v>0.78925869999999998</v>
      </c>
      <c r="G272" s="1">
        <v>1.1786614000000001E-2</v>
      </c>
      <c r="H272" s="1">
        <v>0.98821336000000004</v>
      </c>
      <c r="I272" s="1">
        <v>4.3033129999999996E-3</v>
      </c>
      <c r="J272" s="1">
        <v>0.99569666000000001</v>
      </c>
      <c r="K272" s="1">
        <v>0.100447156</v>
      </c>
      <c r="L272" s="1">
        <v>0.49020287000000001</v>
      </c>
      <c r="M272" s="1">
        <v>0.10816351</v>
      </c>
      <c r="N272" s="1">
        <v>0.89183650000000003</v>
      </c>
      <c r="O272" s="1">
        <v>6.5873870000000001E-2</v>
      </c>
      <c r="P272" s="1">
        <v>0.93412614000000005</v>
      </c>
      <c r="Q272" s="4">
        <v>1</v>
      </c>
      <c r="R272" s="14">
        <v>1</v>
      </c>
      <c r="S272" s="14">
        <v>1</v>
      </c>
    </row>
    <row r="273" spans="1:19">
      <c r="A273" s="1">
        <v>1</v>
      </c>
      <c r="B273" s="1" t="s">
        <v>285</v>
      </c>
      <c r="C273" s="1">
        <v>5.9160534000000001E-2</v>
      </c>
      <c r="D273" s="1">
        <v>0.79287284999999996</v>
      </c>
      <c r="E273" s="1">
        <v>1.7670697999999999E-2</v>
      </c>
      <c r="F273" s="1">
        <v>0.80644179999999999</v>
      </c>
      <c r="G273" s="1">
        <v>1.8027956000000001E-2</v>
      </c>
      <c r="H273" s="1">
        <v>0.98197204000000005</v>
      </c>
      <c r="I273" s="1">
        <v>9.1586635E-4</v>
      </c>
      <c r="J273" s="1">
        <v>0.99908410000000003</v>
      </c>
      <c r="K273" s="1">
        <v>6.1931937999999999E-2</v>
      </c>
      <c r="L273" s="1">
        <v>0.53708160000000005</v>
      </c>
      <c r="M273" s="1">
        <v>4.7744952E-2</v>
      </c>
      <c r="N273" s="1">
        <v>0.95225510000000002</v>
      </c>
      <c r="O273" s="1">
        <v>3.3778710000000003E-2</v>
      </c>
      <c r="P273" s="1">
        <v>0.96622132999999999</v>
      </c>
      <c r="Q273" s="4">
        <v>1</v>
      </c>
      <c r="R273" s="14">
        <v>1</v>
      </c>
      <c r="S273" s="14">
        <v>1</v>
      </c>
    </row>
    <row r="274" spans="1:19">
      <c r="A274" s="7">
        <v>1</v>
      </c>
      <c r="B274" s="7" t="s">
        <v>286</v>
      </c>
      <c r="C274" s="7">
        <v>0.12939127</v>
      </c>
      <c r="D274" s="7">
        <v>0.78808909999999999</v>
      </c>
      <c r="E274" s="7">
        <v>0.14462618999999999</v>
      </c>
      <c r="F274" s="7">
        <v>0.76220304000000005</v>
      </c>
      <c r="G274" s="7">
        <v>0.10875619</v>
      </c>
      <c r="H274" s="7">
        <v>0.89124380000000003</v>
      </c>
      <c r="I274" s="7">
        <v>4.4560469999999998E-2</v>
      </c>
      <c r="J274" s="7">
        <v>0.9554395</v>
      </c>
      <c r="K274" s="7">
        <v>4.5378706999999997E-2</v>
      </c>
      <c r="L274" s="7">
        <v>0.46355626</v>
      </c>
      <c r="M274" s="7">
        <v>0.115950055</v>
      </c>
      <c r="N274" s="7">
        <v>0.88404990000000006</v>
      </c>
      <c r="O274" s="7">
        <v>6.1506356999999998E-2</v>
      </c>
      <c r="P274" s="7">
        <v>0.93849360000000004</v>
      </c>
      <c r="Q274" s="8">
        <v>1</v>
      </c>
      <c r="R274" s="16">
        <v>1</v>
      </c>
      <c r="S274" s="16">
        <v>1</v>
      </c>
    </row>
    <row r="275" spans="1:19">
      <c r="A275" s="1">
        <v>1</v>
      </c>
      <c r="B275" s="5" t="s">
        <v>287</v>
      </c>
      <c r="C275" s="5">
        <v>2.6762296000000001E-2</v>
      </c>
      <c r="D275" s="5">
        <v>0.79750209999999999</v>
      </c>
      <c r="E275" s="5">
        <v>0.19588912999999999</v>
      </c>
      <c r="F275" s="5">
        <v>0.75681209999999999</v>
      </c>
      <c r="G275" s="5">
        <v>9.5592745000000007E-2</v>
      </c>
      <c r="H275" s="5">
        <v>0.90440726000000005</v>
      </c>
      <c r="I275" s="5">
        <v>3.1842344000000002E-2</v>
      </c>
      <c r="J275" s="5">
        <v>0.96815764999999998</v>
      </c>
      <c r="K275" s="5">
        <v>6.6571779999999997E-2</v>
      </c>
      <c r="L275" s="5">
        <v>0.26750143999999998</v>
      </c>
      <c r="M275" s="5">
        <v>0.55110079999999995</v>
      </c>
      <c r="N275" s="5">
        <v>0.44889923999999998</v>
      </c>
      <c r="O275" s="5">
        <v>0.3793339</v>
      </c>
      <c r="P275" s="5">
        <v>0.6206661</v>
      </c>
      <c r="Q275" s="4">
        <v>1</v>
      </c>
      <c r="R275" s="14">
        <v>1</v>
      </c>
      <c r="S275" s="14">
        <v>1</v>
      </c>
    </row>
    <row r="276" spans="1:19">
      <c r="A276" s="1">
        <v>1</v>
      </c>
      <c r="B276" s="1" t="s">
        <v>288</v>
      </c>
      <c r="C276" s="1">
        <v>0.13567565000000001</v>
      </c>
      <c r="D276" s="1">
        <v>0.77864646999999998</v>
      </c>
      <c r="E276" s="1">
        <v>9.5710956E-2</v>
      </c>
      <c r="F276" s="1">
        <v>0.78068309999999996</v>
      </c>
      <c r="G276" s="1">
        <v>6.3185149999999995E-2</v>
      </c>
      <c r="H276" s="1">
        <v>0.93681479999999995</v>
      </c>
      <c r="I276" s="1">
        <v>1.9912480999999999E-2</v>
      </c>
      <c r="J276" s="1">
        <v>0.98008746000000002</v>
      </c>
      <c r="K276" s="1">
        <v>0.35809737000000003</v>
      </c>
      <c r="L276" s="1">
        <v>2.7629826E-2</v>
      </c>
      <c r="M276" s="1">
        <v>0.59566945000000004</v>
      </c>
      <c r="N276" s="1">
        <v>0.40433055000000001</v>
      </c>
      <c r="O276" s="1">
        <v>0.47213509999999997</v>
      </c>
      <c r="P276" s="1">
        <v>0.52786493000000001</v>
      </c>
      <c r="Q276" s="4">
        <v>0</v>
      </c>
      <c r="R276" s="13">
        <v>0</v>
      </c>
      <c r="S276" s="14">
        <v>1</v>
      </c>
    </row>
    <row r="277" spans="1:19">
      <c r="A277" s="1">
        <v>1</v>
      </c>
      <c r="B277" s="1" t="s">
        <v>289</v>
      </c>
      <c r="C277" s="1">
        <v>5.9838827999999997E-2</v>
      </c>
      <c r="D277" s="1">
        <v>0.80387160000000002</v>
      </c>
      <c r="E277" s="1">
        <v>7.3899283999999996E-2</v>
      </c>
      <c r="F277" s="1">
        <v>0.79557323000000002</v>
      </c>
      <c r="G277" s="1">
        <v>1.0030057E-2</v>
      </c>
      <c r="H277" s="1">
        <v>0.98996989999999996</v>
      </c>
      <c r="I277" s="1">
        <v>1.839011E-3</v>
      </c>
      <c r="J277" s="1">
        <v>0.99816099999999996</v>
      </c>
      <c r="K277" s="1">
        <v>1.8169721999999999E-2</v>
      </c>
      <c r="L277" s="1">
        <v>0.35733446000000002</v>
      </c>
      <c r="M277" s="1">
        <v>7.6387460000000004E-2</v>
      </c>
      <c r="N277" s="1">
        <v>0.92361249999999995</v>
      </c>
      <c r="O277" s="1">
        <v>2.2437675000000001E-2</v>
      </c>
      <c r="P277" s="1">
        <v>0.9775623</v>
      </c>
      <c r="Q277" s="4">
        <v>1</v>
      </c>
      <c r="R277" s="14">
        <v>1</v>
      </c>
      <c r="S277" s="14">
        <v>1</v>
      </c>
    </row>
    <row r="278" spans="1:19">
      <c r="A278" s="1">
        <v>1</v>
      </c>
      <c r="B278" s="1" t="s">
        <v>290</v>
      </c>
      <c r="C278" s="1">
        <v>0.22409805999999999</v>
      </c>
      <c r="D278" s="1">
        <v>0.75488292999999995</v>
      </c>
      <c r="E278" s="1">
        <v>3.6995596999999998E-2</v>
      </c>
      <c r="F278" s="1">
        <v>0.78602004000000003</v>
      </c>
      <c r="G278" s="1">
        <v>2.9332297E-2</v>
      </c>
      <c r="H278" s="1">
        <v>0.97066766000000004</v>
      </c>
      <c r="I278" s="1">
        <v>4.2728795999999996E-3</v>
      </c>
      <c r="J278" s="1">
        <v>0.99572720000000003</v>
      </c>
      <c r="K278" s="1">
        <v>0.12004046</v>
      </c>
      <c r="L278" s="1">
        <v>0.38498968</v>
      </c>
      <c r="M278" s="1">
        <v>0.41854015</v>
      </c>
      <c r="N278" s="1">
        <v>0.58145979999999997</v>
      </c>
      <c r="O278" s="1">
        <v>0.28317624000000002</v>
      </c>
      <c r="P278" s="1">
        <v>0.71682376000000003</v>
      </c>
      <c r="Q278" s="4">
        <v>1</v>
      </c>
      <c r="R278" s="14">
        <v>1</v>
      </c>
      <c r="S278" s="14">
        <v>1</v>
      </c>
    </row>
    <row r="279" spans="1:19">
      <c r="Q279" s="4"/>
      <c r="R279" s="13"/>
      <c r="S279" s="14"/>
    </row>
    <row r="280" spans="1:19">
      <c r="A280" s="1" t="s">
        <v>291</v>
      </c>
      <c r="Q280" s="4"/>
      <c r="R280" s="13"/>
      <c r="S280" s="14"/>
    </row>
    <row r="281" spans="1:19">
      <c r="A281" s="1">
        <v>0</v>
      </c>
      <c r="B281" s="1" t="s">
        <v>292</v>
      </c>
      <c r="C281" s="1">
        <v>0.67908173999999999</v>
      </c>
      <c r="D281" s="1">
        <v>0.44853662999999999</v>
      </c>
      <c r="E281" s="1">
        <v>0.74705429999999995</v>
      </c>
      <c r="F281" s="1">
        <v>0.42220095000000002</v>
      </c>
      <c r="G281" s="1">
        <v>0.77760359999999995</v>
      </c>
      <c r="H281" s="1">
        <v>0.22239642000000001</v>
      </c>
      <c r="I281" s="1">
        <v>0.32677980000000001</v>
      </c>
      <c r="J281" s="1">
        <v>0.67322015999999996</v>
      </c>
      <c r="K281" s="1">
        <v>8.5374599999999995E-2</v>
      </c>
      <c r="L281" s="1">
        <v>0.48244654999999997</v>
      </c>
      <c r="M281" s="1">
        <v>4.3926816E-2</v>
      </c>
      <c r="N281" s="1">
        <v>0.95607315999999998</v>
      </c>
      <c r="O281" s="1">
        <v>0.12694672000000001</v>
      </c>
      <c r="P281" s="1">
        <v>0.87305330000000003</v>
      </c>
      <c r="Q281" s="4">
        <v>0</v>
      </c>
      <c r="R281" s="13">
        <v>0</v>
      </c>
      <c r="S281" s="14">
        <v>1</v>
      </c>
    </row>
    <row r="282" spans="1:19">
      <c r="A282" s="1">
        <v>0</v>
      </c>
      <c r="B282" s="1" t="s">
        <v>293</v>
      </c>
      <c r="C282" s="1">
        <v>0.79968505999999995</v>
      </c>
      <c r="D282" s="1">
        <v>0.13962698000000001</v>
      </c>
      <c r="E282" s="1">
        <v>0.80281186000000004</v>
      </c>
      <c r="F282" s="1">
        <v>0.19966584000000001</v>
      </c>
      <c r="G282" s="1">
        <v>0.98058239999999997</v>
      </c>
      <c r="H282" s="1">
        <v>1.9417628999999999E-2</v>
      </c>
      <c r="I282" s="1">
        <v>0.95014540000000003</v>
      </c>
      <c r="J282" s="1">
        <v>4.9854549999999997E-2</v>
      </c>
      <c r="K282" s="1">
        <v>0.22462146</v>
      </c>
      <c r="L282" s="1">
        <v>4.8909303000000001E-2</v>
      </c>
      <c r="M282" s="1">
        <v>0.70694040000000002</v>
      </c>
      <c r="N282" s="1">
        <v>0.29305956</v>
      </c>
      <c r="O282" s="1">
        <v>0.78685063</v>
      </c>
      <c r="P282" s="1">
        <v>0.21314937</v>
      </c>
      <c r="Q282" s="4">
        <v>0</v>
      </c>
      <c r="R282" s="13">
        <v>0</v>
      </c>
      <c r="S282" s="14">
        <v>0</v>
      </c>
    </row>
    <row r="283" spans="1:19">
      <c r="A283" s="1">
        <v>0</v>
      </c>
      <c r="B283" s="1" t="s">
        <v>294</v>
      </c>
      <c r="C283" s="1">
        <v>0.81549320000000003</v>
      </c>
      <c r="D283" s="1">
        <v>8.9151785000000008E-3</v>
      </c>
      <c r="E283" s="1">
        <v>0.79256179999999998</v>
      </c>
      <c r="F283" s="1">
        <v>9.3846395999999999E-2</v>
      </c>
      <c r="G283" s="1">
        <v>0.97958540000000005</v>
      </c>
      <c r="H283" s="1">
        <v>2.0414656E-2</v>
      </c>
      <c r="I283" s="1">
        <v>0.99155176</v>
      </c>
      <c r="J283" s="1">
        <v>8.4483195000000007E-3</v>
      </c>
      <c r="K283" s="1">
        <v>0.38302594000000001</v>
      </c>
      <c r="L283" s="1">
        <v>3.3020984000000003E-2</v>
      </c>
      <c r="M283" s="1">
        <v>0.70054110000000003</v>
      </c>
      <c r="N283" s="1">
        <v>0.29945892000000002</v>
      </c>
      <c r="O283" s="1">
        <v>0.8496821</v>
      </c>
      <c r="P283" s="1">
        <v>0.15031791999999999</v>
      </c>
      <c r="Q283" s="4">
        <v>0</v>
      </c>
      <c r="R283" s="13">
        <v>0</v>
      </c>
      <c r="S283" s="14">
        <v>0</v>
      </c>
    </row>
    <row r="284" spans="1:19">
      <c r="A284" s="1">
        <v>0</v>
      </c>
      <c r="B284" s="1" t="s">
        <v>295</v>
      </c>
      <c r="C284" s="1">
        <v>0.76084094999999996</v>
      </c>
      <c r="D284" s="1">
        <v>0.22512995</v>
      </c>
      <c r="E284" s="1">
        <v>0.71040015999999995</v>
      </c>
      <c r="F284" s="1">
        <v>0.42358659999999998</v>
      </c>
      <c r="G284" s="1">
        <v>0.65538525999999997</v>
      </c>
      <c r="H284" s="1">
        <v>0.34461473999999997</v>
      </c>
      <c r="I284" s="1">
        <v>0.80695974999999998</v>
      </c>
      <c r="J284" s="1">
        <v>0.1930402</v>
      </c>
      <c r="K284" s="1">
        <v>0.36396253000000001</v>
      </c>
      <c r="L284" s="1">
        <v>6.5643549999999995E-2</v>
      </c>
      <c r="M284" s="1">
        <v>0.74645930000000005</v>
      </c>
      <c r="N284" s="1">
        <v>0.25354065999999997</v>
      </c>
      <c r="O284" s="1">
        <v>0.96157587</v>
      </c>
      <c r="P284" s="1">
        <v>3.8424153000000003E-2</v>
      </c>
      <c r="Q284" s="4">
        <v>0</v>
      </c>
      <c r="R284" s="13">
        <v>0</v>
      </c>
      <c r="S284" s="14">
        <v>0</v>
      </c>
    </row>
    <row r="285" spans="1:19">
      <c r="A285" s="1">
        <v>0</v>
      </c>
      <c r="B285" s="1" t="s">
        <v>296</v>
      </c>
      <c r="C285" s="1">
        <v>0.65869635000000004</v>
      </c>
      <c r="D285" s="1">
        <v>0.47329092</v>
      </c>
      <c r="E285" s="1">
        <v>0.70052974999999995</v>
      </c>
      <c r="F285" s="1">
        <v>0.5003782</v>
      </c>
      <c r="G285" s="1">
        <v>0.71877440000000004</v>
      </c>
      <c r="H285" s="1">
        <v>0.28122560000000002</v>
      </c>
      <c r="I285" s="1">
        <v>0.88612009999999997</v>
      </c>
      <c r="J285" s="1">
        <v>0.11387991</v>
      </c>
      <c r="K285" s="1">
        <v>0.12237047</v>
      </c>
      <c r="L285" s="1">
        <v>4.2159393000000003E-2</v>
      </c>
      <c r="M285" s="1">
        <v>0.65962905000000005</v>
      </c>
      <c r="N285" s="1">
        <v>0.34037099999999998</v>
      </c>
      <c r="O285" s="1">
        <v>0.57125090000000001</v>
      </c>
      <c r="P285" s="1">
        <v>0.42874908</v>
      </c>
      <c r="Q285" s="4">
        <v>0</v>
      </c>
      <c r="R285" s="13">
        <v>0</v>
      </c>
      <c r="S285" s="14">
        <v>0</v>
      </c>
    </row>
    <row r="286" spans="1:19">
      <c r="A286" s="1">
        <v>0</v>
      </c>
      <c r="B286" s="1" t="s">
        <v>297</v>
      </c>
      <c r="C286" s="1">
        <v>6.7502950000000006E-2</v>
      </c>
      <c r="D286" s="1">
        <v>0.76735489999999995</v>
      </c>
      <c r="E286" s="1">
        <v>0.41654511999999999</v>
      </c>
      <c r="F286" s="1">
        <v>0.68140579999999995</v>
      </c>
      <c r="G286" s="1">
        <v>0.31667113000000002</v>
      </c>
      <c r="H286" s="1">
        <v>0.68332886999999998</v>
      </c>
      <c r="I286" s="1">
        <v>2.1275525999999999E-2</v>
      </c>
      <c r="J286" s="1">
        <v>0.97872440000000005</v>
      </c>
      <c r="K286" s="1">
        <v>0.10105096500000001</v>
      </c>
      <c r="L286" s="1">
        <v>0.3053109</v>
      </c>
      <c r="M286" s="1">
        <v>4.685313E-2</v>
      </c>
      <c r="N286" s="1">
        <v>0.95314692999999995</v>
      </c>
      <c r="O286" s="1">
        <v>4.2463559999999997E-2</v>
      </c>
      <c r="P286" s="1">
        <v>0.95753639999999995</v>
      </c>
      <c r="Q286" s="4">
        <v>1</v>
      </c>
      <c r="R286" s="13">
        <v>0</v>
      </c>
      <c r="S286" s="14">
        <v>0</v>
      </c>
    </row>
    <row r="287" spans="1:19">
      <c r="A287" s="1">
        <v>0</v>
      </c>
      <c r="B287" s="1" t="s">
        <v>298</v>
      </c>
      <c r="C287" s="1">
        <v>0.31506634</v>
      </c>
      <c r="D287" s="1">
        <v>0.67570319999999995</v>
      </c>
      <c r="E287" s="1">
        <v>0.66825789999999996</v>
      </c>
      <c r="F287" s="1">
        <v>0.51271515999999995</v>
      </c>
      <c r="G287" s="1">
        <v>0.60970029999999997</v>
      </c>
      <c r="H287" s="1">
        <v>0.39029970000000003</v>
      </c>
      <c r="I287" s="1">
        <v>0.10394278999999999</v>
      </c>
      <c r="J287" s="1">
        <v>0.8960572</v>
      </c>
      <c r="K287" s="1">
        <v>0.10714636</v>
      </c>
      <c r="L287" s="1">
        <v>9.5321619999999996E-2</v>
      </c>
      <c r="M287" s="1">
        <v>0.38678615999999999</v>
      </c>
      <c r="N287" s="1">
        <v>0.61321384000000001</v>
      </c>
      <c r="O287" s="1">
        <v>0.64801883999999998</v>
      </c>
      <c r="P287" s="1">
        <v>0.35198109999999999</v>
      </c>
      <c r="Q287" s="4">
        <v>0</v>
      </c>
      <c r="R287" s="13">
        <v>0</v>
      </c>
      <c r="S287" s="14">
        <v>0</v>
      </c>
    </row>
    <row r="288" spans="1:19">
      <c r="A288" s="1">
        <v>0</v>
      </c>
      <c r="B288" s="1" t="s">
        <v>299</v>
      </c>
      <c r="C288" s="1">
        <v>0.33301177999999998</v>
      </c>
      <c r="D288" s="1">
        <v>0.70282489999999997</v>
      </c>
      <c r="E288" s="1">
        <v>0.26685851999999999</v>
      </c>
      <c r="F288" s="1">
        <v>0.75668895000000003</v>
      </c>
      <c r="G288" s="1">
        <v>0.26458537999999998</v>
      </c>
      <c r="H288" s="1">
        <v>0.73541460000000003</v>
      </c>
      <c r="I288" s="1">
        <v>9.9074789999999996E-2</v>
      </c>
      <c r="J288" s="1">
        <v>0.90092516</v>
      </c>
      <c r="K288" s="1">
        <v>0.19705838000000001</v>
      </c>
      <c r="L288" s="1">
        <v>0.425784</v>
      </c>
      <c r="M288" s="1">
        <v>0.10786879000000001</v>
      </c>
      <c r="N288" s="1">
        <v>0.89213120000000001</v>
      </c>
      <c r="O288" s="1">
        <v>0.22761086</v>
      </c>
      <c r="P288" s="1">
        <v>0.7723892</v>
      </c>
      <c r="Q288" s="4">
        <v>0</v>
      </c>
      <c r="R288" s="13">
        <v>0</v>
      </c>
      <c r="S288" s="14">
        <v>0</v>
      </c>
    </row>
    <row r="289" spans="1:19">
      <c r="A289" s="1">
        <v>0</v>
      </c>
      <c r="B289" s="1" t="s">
        <v>300</v>
      </c>
      <c r="C289" s="1">
        <v>0.79716164</v>
      </c>
      <c r="D289" s="1">
        <v>9.1226840000000003E-2</v>
      </c>
      <c r="E289" s="1">
        <v>0.78383510000000001</v>
      </c>
      <c r="F289" s="1">
        <v>0.27123269999999999</v>
      </c>
      <c r="G289" s="1">
        <v>0.89058804999999996</v>
      </c>
      <c r="H289" s="1">
        <v>0.10941195500000001</v>
      </c>
      <c r="I289" s="1">
        <v>0.97098463999999995</v>
      </c>
      <c r="J289" s="1">
        <v>2.9015389999999999E-2</v>
      </c>
      <c r="K289" s="1">
        <v>0.24299841999999999</v>
      </c>
      <c r="L289" s="1">
        <v>3.8037493999999998E-2</v>
      </c>
      <c r="M289" s="1">
        <v>0.80786144999999998</v>
      </c>
      <c r="N289" s="1">
        <v>0.19213852000000001</v>
      </c>
      <c r="O289" s="1">
        <v>0.74870247000000001</v>
      </c>
      <c r="P289" s="1">
        <v>0.25129755999999998</v>
      </c>
      <c r="Q289" s="4">
        <v>0</v>
      </c>
      <c r="R289" s="13">
        <v>0</v>
      </c>
      <c r="S289" s="14">
        <v>1</v>
      </c>
    </row>
    <row r="290" spans="1:19">
      <c r="A290" s="1">
        <v>0</v>
      </c>
      <c r="B290" s="1" t="s">
        <v>301</v>
      </c>
      <c r="C290" s="1">
        <v>0.12604417000000001</v>
      </c>
      <c r="D290" s="1">
        <v>0.78191029999999995</v>
      </c>
      <c r="E290" s="1">
        <v>0.40005479999999999</v>
      </c>
      <c r="F290" s="1">
        <v>0.70669890000000002</v>
      </c>
      <c r="G290" s="1">
        <v>0.20691080000000001</v>
      </c>
      <c r="H290" s="1">
        <v>0.79308915000000002</v>
      </c>
      <c r="I290" s="1">
        <v>0.11780127999999999</v>
      </c>
      <c r="J290" s="1">
        <v>0.88219875000000003</v>
      </c>
      <c r="K290" s="1">
        <v>9.3165090000000006E-2</v>
      </c>
      <c r="L290" s="1">
        <v>0.17148736000000001</v>
      </c>
      <c r="M290" s="1">
        <v>0.2053422</v>
      </c>
      <c r="N290" s="1">
        <v>0.79465779999999997</v>
      </c>
      <c r="O290" s="1">
        <v>0.15259631000000001</v>
      </c>
      <c r="P290" s="1">
        <v>0.84740364999999995</v>
      </c>
      <c r="Q290" s="4">
        <v>1</v>
      </c>
      <c r="R290" s="13">
        <v>0</v>
      </c>
      <c r="S290" s="14">
        <v>0</v>
      </c>
    </row>
    <row r="291" spans="1:19">
      <c r="A291" s="1">
        <v>0</v>
      </c>
      <c r="B291" s="1" t="s">
        <v>302</v>
      </c>
      <c r="C291" s="1">
        <v>0.51985689999999996</v>
      </c>
      <c r="D291" s="1">
        <v>0.66213460000000002</v>
      </c>
      <c r="E291" s="1">
        <v>0.49901423</v>
      </c>
      <c r="F291" s="1">
        <v>0.6855289</v>
      </c>
      <c r="G291" s="1">
        <v>0.1804993</v>
      </c>
      <c r="H291" s="1">
        <v>0.81950069999999997</v>
      </c>
      <c r="I291" s="1">
        <v>0.28953983999999999</v>
      </c>
      <c r="J291" s="1">
        <v>0.71046010000000004</v>
      </c>
      <c r="K291" s="1">
        <v>0.21543815999999999</v>
      </c>
      <c r="L291" s="1">
        <v>0.48449130000000001</v>
      </c>
      <c r="M291" s="1">
        <v>0.22306570000000001</v>
      </c>
      <c r="N291" s="1">
        <v>0.77693429999999997</v>
      </c>
      <c r="O291" s="1">
        <v>0.15466578</v>
      </c>
      <c r="P291" s="1">
        <v>0.84533420000000004</v>
      </c>
      <c r="Q291" s="4">
        <v>0</v>
      </c>
      <c r="R291" s="13">
        <v>0</v>
      </c>
      <c r="S291" s="14">
        <v>0</v>
      </c>
    </row>
    <row r="292" spans="1:19">
      <c r="A292" s="7">
        <v>0</v>
      </c>
      <c r="B292" s="7" t="s">
        <v>303</v>
      </c>
      <c r="C292" s="7">
        <v>0.81733389999999995</v>
      </c>
      <c r="D292" s="7">
        <v>1.5111216E-2</v>
      </c>
      <c r="E292" s="7">
        <v>0.79827493000000005</v>
      </c>
      <c r="F292" s="7">
        <v>9.9783629999999998E-2</v>
      </c>
      <c r="G292" s="7">
        <v>0.97872099999999995</v>
      </c>
      <c r="H292" s="7">
        <v>2.1278957000000001E-2</v>
      </c>
      <c r="I292" s="7">
        <v>0.98924016999999997</v>
      </c>
      <c r="J292" s="7">
        <v>1.0759830499999999E-2</v>
      </c>
      <c r="K292" s="7">
        <v>0.38020408</v>
      </c>
      <c r="L292" s="7">
        <v>7.3735075999999998E-3</v>
      </c>
      <c r="M292" s="7">
        <v>0.76924669999999995</v>
      </c>
      <c r="N292" s="7">
        <v>0.23075329999999999</v>
      </c>
      <c r="O292" s="7">
        <v>0.68717850000000003</v>
      </c>
      <c r="P292" s="7">
        <v>0.31282145</v>
      </c>
      <c r="Q292" s="8">
        <v>1</v>
      </c>
      <c r="R292" s="16">
        <v>1</v>
      </c>
      <c r="S292" s="16">
        <v>1</v>
      </c>
    </row>
    <row r="293" spans="1:19">
      <c r="A293" s="1">
        <v>0</v>
      </c>
      <c r="B293" s="1" t="s">
        <v>304</v>
      </c>
      <c r="C293" s="1">
        <v>0.77942719999999999</v>
      </c>
      <c r="D293" s="1">
        <v>0.26666450000000003</v>
      </c>
      <c r="E293" s="1">
        <v>0.71807500000000002</v>
      </c>
      <c r="F293" s="1">
        <v>0.4896472</v>
      </c>
      <c r="G293" s="1">
        <v>0.73205620000000005</v>
      </c>
      <c r="H293" s="1">
        <v>0.26794380000000001</v>
      </c>
      <c r="I293" s="1">
        <v>0.81902280000000005</v>
      </c>
      <c r="J293" s="1">
        <v>0.18097727999999999</v>
      </c>
      <c r="K293" s="1">
        <v>0.27169636000000003</v>
      </c>
      <c r="L293" s="1">
        <v>0.29558432000000001</v>
      </c>
      <c r="M293" s="1">
        <v>0.56097969999999997</v>
      </c>
      <c r="N293" s="1">
        <v>0.43902027999999998</v>
      </c>
      <c r="O293" s="1">
        <v>0.56772864000000001</v>
      </c>
      <c r="P293" s="1">
        <v>0.43227135999999999</v>
      </c>
      <c r="Q293" s="4">
        <v>0</v>
      </c>
      <c r="R293" s="13">
        <v>0</v>
      </c>
      <c r="S293" s="14">
        <v>0</v>
      </c>
    </row>
    <row r="294" spans="1:19">
      <c r="A294" s="1">
        <v>0</v>
      </c>
      <c r="B294" s="1" t="s">
        <v>305</v>
      </c>
      <c r="C294" s="1">
        <v>0.78446439999999995</v>
      </c>
      <c r="D294" s="1">
        <v>0.18589447000000001</v>
      </c>
      <c r="E294" s="1">
        <v>0.77298239999999996</v>
      </c>
      <c r="F294" s="1">
        <v>0.23330540999999999</v>
      </c>
      <c r="G294" s="1">
        <v>0.86866730000000003</v>
      </c>
      <c r="H294" s="1">
        <v>0.1313327</v>
      </c>
      <c r="I294" s="1">
        <v>0.8773976</v>
      </c>
      <c r="J294" s="1">
        <v>0.12260245</v>
      </c>
      <c r="K294" s="1">
        <v>0.27848237999999997</v>
      </c>
      <c r="L294" s="1">
        <v>0.32121283</v>
      </c>
      <c r="M294" s="1">
        <v>0.34857382999999997</v>
      </c>
      <c r="N294" s="1">
        <v>0.65142619999999996</v>
      </c>
      <c r="O294" s="1">
        <v>0.54214759999999995</v>
      </c>
      <c r="P294" s="1">
        <v>0.45785239999999999</v>
      </c>
      <c r="Q294" s="4">
        <v>1</v>
      </c>
      <c r="R294" s="13">
        <v>0</v>
      </c>
      <c r="S294" s="14">
        <v>0</v>
      </c>
    </row>
    <row r="295" spans="1:19">
      <c r="A295" s="1">
        <v>0</v>
      </c>
      <c r="B295" s="1" t="s">
        <v>306</v>
      </c>
      <c r="C295" s="1">
        <v>0.61464189999999996</v>
      </c>
      <c r="D295" s="1">
        <v>0.58237225000000004</v>
      </c>
      <c r="E295" s="1">
        <v>0.76151764</v>
      </c>
      <c r="F295" s="1">
        <v>0.32699889999999998</v>
      </c>
      <c r="G295" s="1">
        <v>0.89623719999999996</v>
      </c>
      <c r="H295" s="1">
        <v>0.10376277</v>
      </c>
      <c r="I295" s="1">
        <v>0.87781065999999996</v>
      </c>
      <c r="J295" s="1">
        <v>0.12218937000000001</v>
      </c>
      <c r="K295" s="1">
        <v>0.22952504000000001</v>
      </c>
      <c r="L295" s="1">
        <v>3.9043806E-2</v>
      </c>
      <c r="M295" s="1">
        <v>0.59540563999999996</v>
      </c>
      <c r="N295" s="1">
        <v>0.40459433</v>
      </c>
      <c r="O295" s="1">
        <v>0.41132439999999998</v>
      </c>
      <c r="P295" s="1">
        <v>0.58867555999999999</v>
      </c>
      <c r="Q295" s="4">
        <v>0</v>
      </c>
      <c r="R295" s="13">
        <v>0</v>
      </c>
      <c r="S295" s="14">
        <v>0</v>
      </c>
    </row>
    <row r="296" spans="1:19">
      <c r="A296" s="1">
        <v>0</v>
      </c>
      <c r="B296" s="1" t="s">
        <v>307</v>
      </c>
      <c r="C296" s="1">
        <v>0.50907089999999999</v>
      </c>
      <c r="D296" s="1">
        <v>0.68376064000000003</v>
      </c>
      <c r="E296" s="1">
        <v>0.75870040000000005</v>
      </c>
      <c r="F296" s="1">
        <v>0.41266113999999998</v>
      </c>
      <c r="G296" s="1">
        <v>0.58932709999999999</v>
      </c>
      <c r="H296" s="1">
        <v>0.41067290000000001</v>
      </c>
      <c r="I296" s="1">
        <v>0.24085906000000001</v>
      </c>
      <c r="J296" s="1">
        <v>0.75914097000000003</v>
      </c>
      <c r="K296" s="1">
        <v>9.5903619999999995E-2</v>
      </c>
      <c r="L296" s="1">
        <v>0.25305462000000001</v>
      </c>
      <c r="M296" s="1">
        <v>0.29393535999999998</v>
      </c>
      <c r="N296" s="1">
        <v>0.70606464000000002</v>
      </c>
      <c r="O296" s="1">
        <v>0.17480311000000001</v>
      </c>
      <c r="P296" s="1">
        <v>0.82519686000000003</v>
      </c>
      <c r="Q296" s="4">
        <v>1</v>
      </c>
      <c r="R296" s="13">
        <v>0</v>
      </c>
      <c r="S296" s="14">
        <v>1</v>
      </c>
    </row>
    <row r="297" spans="1:19">
      <c r="A297" s="1">
        <v>0</v>
      </c>
      <c r="B297" s="5" t="s">
        <v>308</v>
      </c>
      <c r="C297" s="5">
        <v>0.80256486000000005</v>
      </c>
      <c r="D297" s="5">
        <v>1.4618367E-2</v>
      </c>
      <c r="E297" s="5">
        <v>0.79112559999999998</v>
      </c>
      <c r="F297" s="5">
        <v>0.1698257</v>
      </c>
      <c r="G297" s="5">
        <v>0.88838165999999996</v>
      </c>
      <c r="H297" s="5">
        <v>0.11161833</v>
      </c>
      <c r="I297" s="5">
        <v>0.98872674000000005</v>
      </c>
      <c r="J297" s="5">
        <v>1.1273261999999999E-2</v>
      </c>
      <c r="K297" s="5">
        <v>0.25576757999999999</v>
      </c>
      <c r="L297" s="5">
        <v>1.6675929999999999E-2</v>
      </c>
      <c r="M297" s="5">
        <v>0.68972765999999996</v>
      </c>
      <c r="N297" s="5">
        <v>0.31027233999999998</v>
      </c>
      <c r="O297" s="5">
        <v>0.74519639999999998</v>
      </c>
      <c r="P297" s="5">
        <v>0.25480360000000002</v>
      </c>
      <c r="Q297" s="4">
        <v>0</v>
      </c>
      <c r="R297" s="13">
        <v>0</v>
      </c>
      <c r="S297" s="14">
        <v>0</v>
      </c>
    </row>
    <row r="298" spans="1:19">
      <c r="A298" s="7">
        <v>0</v>
      </c>
      <c r="B298" s="7" t="s">
        <v>309</v>
      </c>
      <c r="C298" s="7">
        <v>0.62801397000000003</v>
      </c>
      <c r="D298" s="7">
        <v>0.51815604999999998</v>
      </c>
      <c r="E298" s="7">
        <v>0.60865709999999995</v>
      </c>
      <c r="F298" s="7">
        <v>0.58902060000000001</v>
      </c>
      <c r="G298" s="7">
        <v>0.33506366999999998</v>
      </c>
      <c r="H298" s="7">
        <v>0.66493630000000004</v>
      </c>
      <c r="I298" s="7">
        <v>0.73440709999999998</v>
      </c>
      <c r="J298" s="7">
        <v>0.26559286999999998</v>
      </c>
      <c r="K298" s="7">
        <v>0.17826833</v>
      </c>
      <c r="L298" s="7">
        <v>0.35378273999999998</v>
      </c>
      <c r="M298" s="7">
        <v>0.52445410000000003</v>
      </c>
      <c r="N298" s="7">
        <v>0.47554587999999998</v>
      </c>
      <c r="O298" s="7">
        <v>0.67816776000000001</v>
      </c>
      <c r="P298" s="7">
        <v>0.32183230000000002</v>
      </c>
      <c r="Q298" s="8">
        <v>1</v>
      </c>
      <c r="R298" s="16">
        <v>1</v>
      </c>
      <c r="S298" s="16">
        <v>1</v>
      </c>
    </row>
    <row r="299" spans="1:19">
      <c r="A299" s="1">
        <v>0</v>
      </c>
      <c r="B299" s="1" t="s">
        <v>310</v>
      </c>
      <c r="C299" s="1">
        <v>0.78712020000000005</v>
      </c>
      <c r="D299" s="1">
        <v>8.7692889999999996E-2</v>
      </c>
      <c r="E299" s="1">
        <v>0.79551274000000005</v>
      </c>
      <c r="F299" s="1">
        <v>0.16372444999999999</v>
      </c>
      <c r="G299" s="1">
        <v>0.9717808</v>
      </c>
      <c r="H299" s="1">
        <v>2.8219244000000001E-2</v>
      </c>
      <c r="I299" s="1">
        <v>0.9618255</v>
      </c>
      <c r="J299" s="1">
        <v>3.8174562000000002E-2</v>
      </c>
      <c r="K299" s="1">
        <v>0.25235096000000001</v>
      </c>
      <c r="L299" s="1">
        <v>0.12270389499999999</v>
      </c>
      <c r="M299" s="1">
        <v>0.69945380000000001</v>
      </c>
      <c r="N299" s="1">
        <v>0.30054626000000001</v>
      </c>
      <c r="O299" s="1">
        <v>0.88928750000000001</v>
      </c>
      <c r="P299" s="1">
        <v>0.11071251</v>
      </c>
      <c r="Q299" s="4">
        <v>0</v>
      </c>
      <c r="R299" s="13">
        <v>0</v>
      </c>
      <c r="S299" s="14">
        <v>0</v>
      </c>
    </row>
    <row r="300" spans="1:19">
      <c r="A300" s="1">
        <v>0</v>
      </c>
      <c r="B300" s="1" t="s">
        <v>311</v>
      </c>
      <c r="C300" s="1">
        <v>0.81131920000000002</v>
      </c>
      <c r="D300" s="1">
        <v>1.6462267999999999E-2</v>
      </c>
      <c r="E300" s="1">
        <v>0.80568090000000003</v>
      </c>
      <c r="F300" s="1">
        <v>8.8867255000000006E-2</v>
      </c>
      <c r="G300" s="1">
        <v>0.98626893999999998</v>
      </c>
      <c r="H300" s="1">
        <v>1.3731042000000001E-2</v>
      </c>
      <c r="I300" s="1">
        <v>0.98595739999999998</v>
      </c>
      <c r="J300" s="1">
        <v>1.4042658E-2</v>
      </c>
      <c r="K300" s="1">
        <v>0.20298079999999999</v>
      </c>
      <c r="L300" s="1">
        <v>0.18072722999999999</v>
      </c>
      <c r="M300" s="1">
        <v>0.67781590000000003</v>
      </c>
      <c r="N300" s="1">
        <v>0.32218405999999999</v>
      </c>
      <c r="O300" s="1">
        <v>0.90803902999999997</v>
      </c>
      <c r="P300" s="1">
        <v>9.1961003999999999E-2</v>
      </c>
      <c r="Q300" s="4">
        <v>0</v>
      </c>
      <c r="R300" s="13">
        <v>0</v>
      </c>
      <c r="S300" s="14">
        <v>0</v>
      </c>
    </row>
    <row r="301" spans="1:19">
      <c r="A301" s="1">
        <v>0</v>
      </c>
      <c r="B301" s="1" t="s">
        <v>312</v>
      </c>
      <c r="C301" s="1">
        <v>0.74960979999999999</v>
      </c>
      <c r="D301" s="1">
        <v>0.21355508000000001</v>
      </c>
      <c r="E301" s="1">
        <v>0.7172172</v>
      </c>
      <c r="F301" s="1">
        <v>0.38515916</v>
      </c>
      <c r="G301" s="1">
        <v>0.85966414000000002</v>
      </c>
      <c r="H301" s="1">
        <v>0.14033581000000001</v>
      </c>
      <c r="I301" s="1">
        <v>0.90002567</v>
      </c>
      <c r="J301" s="1">
        <v>9.9974333999999998E-2</v>
      </c>
      <c r="K301" s="1">
        <v>0.19740716</v>
      </c>
      <c r="L301" s="1">
        <v>8.3125660000000004E-3</v>
      </c>
      <c r="M301" s="1">
        <v>0.67724127000000001</v>
      </c>
      <c r="N301" s="1">
        <v>0.32275880000000001</v>
      </c>
      <c r="O301" s="1">
        <v>0.57503400000000005</v>
      </c>
      <c r="P301" s="1">
        <v>0.42496592</v>
      </c>
      <c r="Q301" s="4">
        <v>0</v>
      </c>
      <c r="R301" s="13">
        <v>0</v>
      </c>
      <c r="S301" s="14">
        <v>0</v>
      </c>
    </row>
    <row r="302" spans="1:19">
      <c r="A302" s="1">
        <v>0</v>
      </c>
      <c r="B302" s="1" t="s">
        <v>313</v>
      </c>
      <c r="C302" s="1">
        <v>0.50463349999999996</v>
      </c>
      <c r="D302" s="1">
        <v>0.66627409999999998</v>
      </c>
      <c r="E302" s="1">
        <v>0.73436254000000001</v>
      </c>
      <c r="F302" s="1">
        <v>0.39952559999999998</v>
      </c>
      <c r="G302" s="1">
        <v>0.47149356999999997</v>
      </c>
      <c r="H302" s="1">
        <v>0.52850646000000001</v>
      </c>
      <c r="I302" s="1">
        <v>0.15035227000000001</v>
      </c>
      <c r="J302" s="1">
        <v>0.84964775999999997</v>
      </c>
      <c r="K302" s="1">
        <v>0.16206480000000001</v>
      </c>
      <c r="L302" s="1">
        <v>2.9860793E-2</v>
      </c>
      <c r="M302" s="1">
        <v>0.6932606</v>
      </c>
      <c r="N302" s="1">
        <v>0.30673936000000002</v>
      </c>
      <c r="O302" s="1">
        <v>0.58309084</v>
      </c>
      <c r="P302" s="1">
        <v>0.41690916</v>
      </c>
      <c r="Q302" s="4">
        <v>0</v>
      </c>
      <c r="R302" s="13">
        <v>0</v>
      </c>
      <c r="S302" s="14">
        <v>0</v>
      </c>
    </row>
    <row r="303" spans="1:19">
      <c r="A303" s="1">
        <v>0</v>
      </c>
      <c r="B303" s="1" t="s">
        <v>314</v>
      </c>
      <c r="C303" s="1">
        <v>0.80901979999999996</v>
      </c>
      <c r="D303" s="1">
        <v>9.2431869999999999E-3</v>
      </c>
      <c r="E303" s="1">
        <v>0.79495859999999996</v>
      </c>
      <c r="F303" s="1">
        <v>0.14150096000000001</v>
      </c>
      <c r="G303" s="1">
        <v>0.90615809999999997</v>
      </c>
      <c r="H303" s="1">
        <v>9.3841960000000002E-2</v>
      </c>
      <c r="I303" s="1">
        <v>0.98543809999999998</v>
      </c>
      <c r="J303" s="1">
        <v>1.4561871000000001E-2</v>
      </c>
      <c r="K303" s="1">
        <v>0.23522425</v>
      </c>
      <c r="L303" s="1">
        <v>0.121208414</v>
      </c>
      <c r="M303" s="1">
        <v>0.79297720000000005</v>
      </c>
      <c r="N303" s="1">
        <v>0.20702276999999999</v>
      </c>
      <c r="O303" s="1">
        <v>0.92478435999999997</v>
      </c>
      <c r="P303" s="1">
        <v>7.5215615E-2</v>
      </c>
      <c r="Q303" s="4">
        <v>0</v>
      </c>
      <c r="R303" s="13">
        <v>0</v>
      </c>
      <c r="S303" s="14">
        <v>0</v>
      </c>
    </row>
    <row r="304" spans="1:19">
      <c r="A304" s="1">
        <v>0</v>
      </c>
      <c r="B304" s="1" t="s">
        <v>315</v>
      </c>
      <c r="C304" s="1">
        <v>0.80114067</v>
      </c>
      <c r="D304" s="1">
        <v>1.6284643000000001E-2</v>
      </c>
      <c r="E304" s="1">
        <v>0.80422026000000002</v>
      </c>
      <c r="F304" s="1">
        <v>6.5130233999999995E-2</v>
      </c>
      <c r="G304" s="1">
        <v>0.96607034999999997</v>
      </c>
      <c r="H304" s="1">
        <v>3.3929679999999997E-2</v>
      </c>
      <c r="I304" s="1">
        <v>0.99442744000000005</v>
      </c>
      <c r="J304" s="1">
        <v>5.5725159999999996E-3</v>
      </c>
      <c r="K304" s="1">
        <v>0.41974877999999999</v>
      </c>
      <c r="L304" s="1">
        <v>0.12643172999999999</v>
      </c>
      <c r="M304" s="1">
        <v>0.75983065000000005</v>
      </c>
      <c r="N304" s="1">
        <v>0.24016931999999999</v>
      </c>
      <c r="O304" s="1">
        <v>0.75732080000000002</v>
      </c>
      <c r="P304" s="1">
        <v>0.24267915000000001</v>
      </c>
      <c r="Q304" s="4">
        <v>0</v>
      </c>
      <c r="R304" s="13">
        <v>0</v>
      </c>
      <c r="S304" s="14">
        <v>0</v>
      </c>
    </row>
    <row r="305" spans="1:19">
      <c r="A305" s="1">
        <v>0</v>
      </c>
      <c r="B305" s="1" t="s">
        <v>316</v>
      </c>
      <c r="C305" s="1">
        <v>0.62552439999999998</v>
      </c>
      <c r="D305" s="1">
        <v>0.5548748</v>
      </c>
      <c r="E305" s="1">
        <v>0.33356841999999998</v>
      </c>
      <c r="F305" s="1">
        <v>0.7017236</v>
      </c>
      <c r="G305" s="1">
        <v>0.2789546</v>
      </c>
      <c r="H305" s="1">
        <v>0.72104539999999995</v>
      </c>
      <c r="I305" s="1">
        <v>0.47241255999999998</v>
      </c>
      <c r="J305" s="1">
        <v>0.52758740000000004</v>
      </c>
      <c r="K305" s="1">
        <v>0.13534789999999999</v>
      </c>
      <c r="L305" s="1">
        <v>0.29846346000000001</v>
      </c>
      <c r="M305" s="1">
        <v>0.32310787000000002</v>
      </c>
      <c r="N305" s="1">
        <v>0.67689215999999996</v>
      </c>
      <c r="O305" s="1">
        <v>0.23180892</v>
      </c>
      <c r="P305" s="1">
        <v>0.76819104000000005</v>
      </c>
      <c r="Q305" s="4">
        <v>0</v>
      </c>
      <c r="R305" s="13">
        <v>0</v>
      </c>
      <c r="S305" s="14">
        <v>0</v>
      </c>
    </row>
    <row r="306" spans="1:19">
      <c r="A306" s="1">
        <v>0</v>
      </c>
      <c r="B306" s="1" t="s">
        <v>317</v>
      </c>
      <c r="C306" s="1">
        <v>0.59680736000000001</v>
      </c>
      <c r="D306" s="1">
        <v>0.61370060000000004</v>
      </c>
      <c r="E306" s="1">
        <v>0.68586179999999997</v>
      </c>
      <c r="F306" s="1">
        <v>0.54662679999999997</v>
      </c>
      <c r="G306" s="1">
        <v>0.80003464000000002</v>
      </c>
      <c r="H306" s="1">
        <v>0.19996537</v>
      </c>
      <c r="I306" s="1">
        <v>0.29831827</v>
      </c>
      <c r="J306" s="1">
        <v>0.70168173</v>
      </c>
      <c r="K306" s="1">
        <v>0.19528417000000001</v>
      </c>
      <c r="L306" s="1">
        <v>0.18725462000000001</v>
      </c>
      <c r="M306" s="1">
        <v>0.13488153</v>
      </c>
      <c r="N306" s="1">
        <v>0.86511850000000001</v>
      </c>
      <c r="O306" s="1">
        <v>0.103449896</v>
      </c>
      <c r="P306" s="1">
        <v>0.89655010000000002</v>
      </c>
      <c r="Q306" s="4">
        <v>1</v>
      </c>
      <c r="R306" s="14">
        <v>1</v>
      </c>
      <c r="S306" s="14">
        <v>0</v>
      </c>
    </row>
    <row r="307" spans="1:19">
      <c r="A307" s="1">
        <v>0</v>
      </c>
      <c r="B307" s="1" t="s">
        <v>318</v>
      </c>
      <c r="C307" s="1">
        <v>0.37219091999999998</v>
      </c>
      <c r="D307" s="1">
        <v>0.73203284000000002</v>
      </c>
      <c r="E307" s="1">
        <v>0.68567944000000003</v>
      </c>
      <c r="F307" s="1">
        <v>0.45097658000000002</v>
      </c>
      <c r="G307" s="1">
        <v>0.87091600000000002</v>
      </c>
      <c r="H307" s="1">
        <v>0.12908399000000001</v>
      </c>
      <c r="I307" s="1">
        <v>3.1760767000000002E-2</v>
      </c>
      <c r="J307" s="1">
        <v>0.96823925</v>
      </c>
      <c r="K307" s="1">
        <v>7.4366210000000002E-2</v>
      </c>
      <c r="L307" s="1">
        <v>0.46200736999999997</v>
      </c>
      <c r="M307" s="1">
        <v>5.5838714999999997E-2</v>
      </c>
      <c r="N307" s="1">
        <v>0.94416129999999998</v>
      </c>
      <c r="O307" s="1">
        <v>3.4175089999999998E-2</v>
      </c>
      <c r="P307" s="1">
        <v>0.96582495999999995</v>
      </c>
      <c r="Q307" s="4">
        <v>1</v>
      </c>
      <c r="R307" s="14">
        <v>1</v>
      </c>
      <c r="S307" s="14">
        <v>1</v>
      </c>
    </row>
    <row r="308" spans="1:19">
      <c r="A308" s="1">
        <v>0</v>
      </c>
      <c r="B308" s="1" t="s">
        <v>319</v>
      </c>
      <c r="C308" s="1">
        <v>0.71543853999999996</v>
      </c>
      <c r="D308" s="1">
        <v>0.40601176</v>
      </c>
      <c r="E308" s="1">
        <v>0.73099230000000004</v>
      </c>
      <c r="F308" s="1">
        <v>0.40275893000000001</v>
      </c>
      <c r="G308" s="1">
        <v>0.74810980000000005</v>
      </c>
      <c r="H308" s="1">
        <v>0.25189020000000001</v>
      </c>
      <c r="I308" s="1">
        <v>0.56898992999999998</v>
      </c>
      <c r="J308" s="1">
        <v>0.43101003999999998</v>
      </c>
      <c r="K308" s="1">
        <v>5.4124909999999998E-2</v>
      </c>
      <c r="L308" s="1">
        <v>0.5259971</v>
      </c>
      <c r="M308" s="1">
        <v>0.12147163599999999</v>
      </c>
      <c r="N308" s="1">
        <v>0.87852836000000001</v>
      </c>
      <c r="O308" s="1">
        <v>6.6583939999999994E-2</v>
      </c>
      <c r="P308" s="1">
        <v>0.93341600000000002</v>
      </c>
      <c r="Q308" s="4">
        <v>1</v>
      </c>
      <c r="R308" s="13">
        <v>0</v>
      </c>
      <c r="S308" s="14">
        <v>1</v>
      </c>
    </row>
    <row r="309" spans="1:19">
      <c r="A309" s="7">
        <v>0</v>
      </c>
      <c r="B309" s="7" t="s">
        <v>320</v>
      </c>
      <c r="C309" s="7">
        <v>0.80554789999999998</v>
      </c>
      <c r="D309" s="7">
        <v>6.3876080000000002E-2</v>
      </c>
      <c r="E309" s="7">
        <v>0.79067589999999999</v>
      </c>
      <c r="F309" s="7">
        <v>0.28829159999999998</v>
      </c>
      <c r="G309" s="7">
        <v>0.76409519999999997</v>
      </c>
      <c r="H309" s="7">
        <v>0.23590480999999999</v>
      </c>
      <c r="I309" s="7">
        <v>0.91231229999999996</v>
      </c>
      <c r="J309" s="7">
        <v>8.7687699999999993E-2</v>
      </c>
      <c r="K309" s="7">
        <v>0.13726044000000001</v>
      </c>
      <c r="L309" s="7">
        <v>6.5277100000000005E-2</v>
      </c>
      <c r="M309" s="7">
        <v>0.71496499999999996</v>
      </c>
      <c r="N309" s="7">
        <v>0.28503497999999999</v>
      </c>
      <c r="O309" s="7">
        <v>0.36903435000000001</v>
      </c>
      <c r="P309" s="7">
        <v>0.63096569999999996</v>
      </c>
      <c r="Q309" s="8">
        <v>0</v>
      </c>
      <c r="R309" s="16">
        <v>0</v>
      </c>
      <c r="S309" s="16">
        <v>1</v>
      </c>
    </row>
    <row r="310" spans="1:19">
      <c r="A310" s="1">
        <v>0</v>
      </c>
      <c r="B310" s="1" t="s">
        <v>321</v>
      </c>
      <c r="C310" s="1">
        <v>0.72844255000000002</v>
      </c>
      <c r="D310" s="1">
        <v>0.28874832</v>
      </c>
      <c r="E310" s="1">
        <v>0.72496260000000001</v>
      </c>
      <c r="F310" s="1">
        <v>0.40584037000000001</v>
      </c>
      <c r="G310" s="1">
        <v>0.79898095000000002</v>
      </c>
      <c r="H310" s="1">
        <v>0.201019</v>
      </c>
      <c r="I310" s="1">
        <v>0.84301316999999998</v>
      </c>
      <c r="J310" s="1">
        <v>0.15698688999999999</v>
      </c>
      <c r="K310" s="1">
        <v>0.25731609999999999</v>
      </c>
      <c r="L310" s="1">
        <v>3.720656E-2</v>
      </c>
      <c r="M310" s="1">
        <v>0.60049839999999999</v>
      </c>
      <c r="N310" s="1">
        <v>0.39950160000000001</v>
      </c>
      <c r="O310" s="1">
        <v>0.64229952999999995</v>
      </c>
      <c r="P310" s="1">
        <v>0.35770049999999998</v>
      </c>
      <c r="Q310" s="4">
        <v>0</v>
      </c>
      <c r="R310" s="13">
        <v>0</v>
      </c>
      <c r="S310" s="14">
        <v>0</v>
      </c>
    </row>
    <row r="311" spans="1:19">
      <c r="A311" s="1">
        <v>0</v>
      </c>
      <c r="B311" s="1" t="s">
        <v>322</v>
      </c>
      <c r="C311" s="1">
        <v>0.72506415999999996</v>
      </c>
      <c r="D311" s="1">
        <v>0.44564930000000003</v>
      </c>
      <c r="E311" s="1">
        <v>0.79155070000000005</v>
      </c>
      <c r="F311" s="1">
        <v>0.21479537000000001</v>
      </c>
      <c r="G311" s="1">
        <v>0.92119479999999998</v>
      </c>
      <c r="H311" s="1">
        <v>7.8805159999999999E-2</v>
      </c>
      <c r="I311" s="1">
        <v>0.89696759999999998</v>
      </c>
      <c r="J311" s="1">
        <v>0.10303236</v>
      </c>
      <c r="K311" s="1">
        <v>0.2269352</v>
      </c>
      <c r="L311" s="1">
        <v>0.1583012</v>
      </c>
      <c r="M311" s="1">
        <v>0.31334796999999998</v>
      </c>
      <c r="N311" s="1">
        <v>0.68665200000000004</v>
      </c>
      <c r="O311" s="1">
        <v>0.41626000000000002</v>
      </c>
      <c r="P311" s="1">
        <v>0.58374000000000004</v>
      </c>
      <c r="Q311" s="4">
        <v>0</v>
      </c>
      <c r="R311" s="13">
        <v>0</v>
      </c>
      <c r="S311" s="14">
        <v>0</v>
      </c>
    </row>
    <row r="312" spans="1:19">
      <c r="A312" s="1">
        <v>0</v>
      </c>
      <c r="B312" s="1" t="s">
        <v>323</v>
      </c>
      <c r="C312" s="1">
        <v>0.73302822999999995</v>
      </c>
      <c r="D312" s="1">
        <v>0.41194619999999998</v>
      </c>
      <c r="E312" s="1">
        <v>0.75589114000000002</v>
      </c>
      <c r="F312" s="1">
        <v>0.34892040000000002</v>
      </c>
      <c r="G312" s="1">
        <v>0.84750859999999995</v>
      </c>
      <c r="H312" s="1">
        <v>0.15249135999999999</v>
      </c>
      <c r="I312" s="1">
        <v>0.78124919999999998</v>
      </c>
      <c r="J312" s="1">
        <v>0.21875075999999999</v>
      </c>
      <c r="K312" s="1">
        <v>9.531734E-2</v>
      </c>
      <c r="L312" s="1">
        <v>0.41309884000000002</v>
      </c>
      <c r="M312" s="1">
        <v>0.36583608000000001</v>
      </c>
      <c r="N312" s="1">
        <v>0.63416399999999995</v>
      </c>
      <c r="O312" s="1">
        <v>0.27639416</v>
      </c>
      <c r="P312" s="1">
        <v>0.72360590000000002</v>
      </c>
      <c r="Q312" s="4">
        <v>1</v>
      </c>
      <c r="R312" s="13">
        <v>1</v>
      </c>
      <c r="S312" s="14">
        <v>0</v>
      </c>
    </row>
    <row r="313" spans="1:19">
      <c r="A313" s="1">
        <v>0</v>
      </c>
      <c r="B313" s="1" t="s">
        <v>324</v>
      </c>
      <c r="C313" s="1">
        <v>0.55192863999999997</v>
      </c>
      <c r="D313" s="1">
        <v>0.646065</v>
      </c>
      <c r="E313" s="1">
        <v>0.59920969999999996</v>
      </c>
      <c r="F313" s="1">
        <v>0.54911100000000002</v>
      </c>
      <c r="G313" s="1">
        <v>0.19877423</v>
      </c>
      <c r="H313" s="1">
        <v>0.80122579999999999</v>
      </c>
      <c r="I313" s="1">
        <v>0.13960533999999999</v>
      </c>
      <c r="J313" s="1">
        <v>0.86039465999999998</v>
      </c>
      <c r="K313" s="1">
        <v>0.22875303</v>
      </c>
      <c r="L313" s="1">
        <v>0.42105251999999999</v>
      </c>
      <c r="M313" s="1">
        <v>0.1374291</v>
      </c>
      <c r="N313" s="1">
        <v>0.86257090000000003</v>
      </c>
      <c r="O313" s="1">
        <v>0.49935410000000002</v>
      </c>
      <c r="P313" s="1">
        <v>0.50064589999999998</v>
      </c>
      <c r="Q313" s="4">
        <v>0</v>
      </c>
      <c r="R313" s="13">
        <v>0</v>
      </c>
      <c r="S313" s="14">
        <v>0</v>
      </c>
    </row>
    <row r="314" spans="1:19">
      <c r="A314" s="1">
        <v>0</v>
      </c>
      <c r="B314" s="1" t="s">
        <v>325</v>
      </c>
      <c r="C314" s="1">
        <v>0.45695745999999998</v>
      </c>
      <c r="D314" s="1">
        <v>0.70139927000000002</v>
      </c>
      <c r="E314" s="1">
        <v>0.64116656999999999</v>
      </c>
      <c r="F314" s="1">
        <v>0.57264150000000003</v>
      </c>
      <c r="G314" s="1">
        <v>0.54685384000000004</v>
      </c>
      <c r="H314" s="1">
        <v>0.4531461</v>
      </c>
      <c r="I314" s="1">
        <v>0.11288761</v>
      </c>
      <c r="J314" s="1">
        <v>0.88711244</v>
      </c>
      <c r="K314" s="1">
        <v>6.9929174999999996E-2</v>
      </c>
      <c r="L314" s="1">
        <v>0.40359473000000001</v>
      </c>
      <c r="M314" s="1">
        <v>6.7906424000000007E-2</v>
      </c>
      <c r="N314" s="1">
        <v>0.93209355999999999</v>
      </c>
      <c r="O314" s="1">
        <v>7.9586219999999999E-2</v>
      </c>
      <c r="P314" s="1">
        <v>0.92041379999999995</v>
      </c>
      <c r="Q314" s="4">
        <v>0</v>
      </c>
      <c r="R314" s="13">
        <v>0</v>
      </c>
      <c r="S314" s="14">
        <v>0</v>
      </c>
    </row>
    <row r="315" spans="1:19">
      <c r="A315" s="1">
        <v>0</v>
      </c>
      <c r="B315" s="1" t="s">
        <v>326</v>
      </c>
      <c r="C315" s="1">
        <v>0.75548340000000003</v>
      </c>
      <c r="D315" s="1">
        <v>0.26737702000000002</v>
      </c>
      <c r="E315" s="1">
        <v>0.76899680000000004</v>
      </c>
      <c r="F315" s="1">
        <v>0.37642977</v>
      </c>
      <c r="G315" s="1">
        <v>0.87903385999999994</v>
      </c>
      <c r="H315" s="1">
        <v>0.120966144</v>
      </c>
      <c r="I315" s="1">
        <v>0.69369124999999998</v>
      </c>
      <c r="J315" s="1">
        <v>0.30630875000000002</v>
      </c>
      <c r="K315" s="1">
        <v>0.22992224999999999</v>
      </c>
      <c r="L315" s="1">
        <v>0.22340541999999999</v>
      </c>
      <c r="M315" s="1">
        <v>0.67850650000000001</v>
      </c>
      <c r="N315" s="1">
        <v>0.32149354000000002</v>
      </c>
      <c r="O315" s="1">
        <v>0.51453680000000002</v>
      </c>
      <c r="P315" s="1">
        <v>0.48546319999999998</v>
      </c>
      <c r="Q315" s="4">
        <v>0</v>
      </c>
      <c r="R315" s="13">
        <v>0</v>
      </c>
      <c r="S315" s="14">
        <v>0</v>
      </c>
    </row>
    <row r="316" spans="1:19">
      <c r="A316" s="1">
        <v>0</v>
      </c>
      <c r="B316" s="1" t="s">
        <v>327</v>
      </c>
      <c r="C316" s="1">
        <v>0.47101343000000001</v>
      </c>
      <c r="D316" s="1">
        <v>0.51809340000000004</v>
      </c>
      <c r="E316" s="1">
        <v>0.54758680000000004</v>
      </c>
      <c r="F316" s="1">
        <v>0.54409719999999995</v>
      </c>
      <c r="G316" s="1">
        <v>0.25448176</v>
      </c>
      <c r="H316" s="1">
        <v>0.74551820000000002</v>
      </c>
      <c r="I316" s="1">
        <v>0.60344450000000005</v>
      </c>
      <c r="J316" s="1">
        <v>0.39655550000000001</v>
      </c>
      <c r="K316" s="1">
        <v>0.22931389999999999</v>
      </c>
      <c r="L316" s="1">
        <v>0.41950959999999998</v>
      </c>
      <c r="M316" s="1">
        <v>0.15380347</v>
      </c>
      <c r="N316" s="1">
        <v>0.84619659999999997</v>
      </c>
      <c r="O316" s="1">
        <v>0.26260146000000001</v>
      </c>
      <c r="P316" s="1">
        <v>0.73739849999999996</v>
      </c>
      <c r="Q316" s="4">
        <v>0</v>
      </c>
      <c r="R316" s="13">
        <v>0</v>
      </c>
      <c r="S316" s="14">
        <v>0</v>
      </c>
    </row>
    <row r="317" spans="1:19">
      <c r="A317" s="1">
        <v>0</v>
      </c>
      <c r="B317" s="1" t="s">
        <v>328</v>
      </c>
      <c r="C317" s="1">
        <v>0.80939686</v>
      </c>
      <c r="D317" s="1">
        <v>7.1818660000000003E-3</v>
      </c>
      <c r="E317" s="1">
        <v>0.77232259999999997</v>
      </c>
      <c r="F317" s="1">
        <v>0.20683446999999999</v>
      </c>
      <c r="G317" s="1">
        <v>0.94182896999999999</v>
      </c>
      <c r="H317" s="1">
        <v>5.8171003999999998E-2</v>
      </c>
      <c r="I317" s="1">
        <v>0.98590239999999996</v>
      </c>
      <c r="J317" s="1">
        <v>1.4097517E-2</v>
      </c>
      <c r="K317" s="1">
        <v>0.22692397</v>
      </c>
      <c r="L317" s="1">
        <v>6.7290550000000005E-2</v>
      </c>
      <c r="M317" s="1">
        <v>0.64750445000000001</v>
      </c>
      <c r="N317" s="1">
        <v>0.35249550000000002</v>
      </c>
      <c r="O317" s="1">
        <v>0.58034783999999995</v>
      </c>
      <c r="P317" s="1">
        <v>0.41965213000000001</v>
      </c>
      <c r="Q317" s="4">
        <v>0</v>
      </c>
      <c r="R317" s="13">
        <v>0</v>
      </c>
      <c r="S317" s="14">
        <v>0</v>
      </c>
    </row>
    <row r="318" spans="1:19">
      <c r="A318" s="1">
        <v>0</v>
      </c>
      <c r="B318" s="1" t="s">
        <v>329</v>
      </c>
      <c r="C318" s="1">
        <v>0.79292183999999999</v>
      </c>
      <c r="D318" s="1">
        <v>3.8335238000000001E-2</v>
      </c>
      <c r="E318" s="1">
        <v>0.77661084999999996</v>
      </c>
      <c r="F318" s="1">
        <v>0.18477377</v>
      </c>
      <c r="G318" s="1">
        <v>0.92777730000000003</v>
      </c>
      <c r="H318" s="1">
        <v>7.2222750000000002E-2</v>
      </c>
      <c r="I318" s="1">
        <v>0.9861972</v>
      </c>
      <c r="J318" s="1">
        <v>1.3802826000000001E-2</v>
      </c>
      <c r="K318" s="1">
        <v>0.25622866</v>
      </c>
      <c r="L318" s="1">
        <v>5.3733087999999998E-2</v>
      </c>
      <c r="M318" s="1">
        <v>0.80200099999999996</v>
      </c>
      <c r="N318" s="1">
        <v>0.19799896</v>
      </c>
      <c r="O318" s="1">
        <v>0.78532429999999998</v>
      </c>
      <c r="P318" s="1">
        <v>0.2146757</v>
      </c>
      <c r="Q318" s="4">
        <v>0</v>
      </c>
      <c r="R318" s="13">
        <v>0</v>
      </c>
      <c r="S318" s="14">
        <v>0</v>
      </c>
    </row>
    <row r="319" spans="1:19">
      <c r="A319" s="1">
        <v>0</v>
      </c>
      <c r="B319" s="5" t="s">
        <v>330</v>
      </c>
      <c r="C319" s="5">
        <v>0.81138390000000005</v>
      </c>
      <c r="D319" s="5">
        <v>4.0973710000000003E-2</v>
      </c>
      <c r="E319" s="5">
        <v>0.79809319999999995</v>
      </c>
      <c r="F319" s="5">
        <v>0.11076237</v>
      </c>
      <c r="G319" s="5">
        <v>0.95379159999999996</v>
      </c>
      <c r="H319" s="5">
        <v>4.6208340000000001E-2</v>
      </c>
      <c r="I319" s="5">
        <v>0.87688500000000003</v>
      </c>
      <c r="J319" s="5">
        <v>0.12311496</v>
      </c>
      <c r="K319" s="5">
        <v>0.26734543</v>
      </c>
      <c r="L319" s="5">
        <v>0.15691063999999999</v>
      </c>
      <c r="M319" s="5">
        <v>0.55416259999999995</v>
      </c>
      <c r="N319" s="5">
        <v>0.44583739999999999</v>
      </c>
      <c r="O319" s="5">
        <v>0.50303359999999997</v>
      </c>
      <c r="P319" s="5">
        <v>0.49696642000000002</v>
      </c>
      <c r="Q319" s="4">
        <v>0</v>
      </c>
      <c r="R319" s="13">
        <v>0</v>
      </c>
      <c r="S319" s="14">
        <v>0</v>
      </c>
    </row>
    <row r="320" spans="1:19">
      <c r="A320" s="1">
        <v>0</v>
      </c>
      <c r="B320" s="1" t="s">
        <v>331</v>
      </c>
      <c r="C320" s="1">
        <v>0.81108250000000004</v>
      </c>
      <c r="D320" s="1">
        <v>5.0453315999999998E-2</v>
      </c>
      <c r="E320" s="1">
        <v>0.80296040000000002</v>
      </c>
      <c r="F320" s="1">
        <v>8.8903919999999997E-2</v>
      </c>
      <c r="G320" s="1">
        <v>0.97982320000000001</v>
      </c>
      <c r="H320" s="1">
        <v>2.0176847000000001E-2</v>
      </c>
      <c r="I320" s="1">
        <v>0.97948049999999998</v>
      </c>
      <c r="J320" s="1">
        <v>2.0519453999999999E-2</v>
      </c>
      <c r="K320" s="1">
        <v>0.31637674999999998</v>
      </c>
      <c r="L320" s="1">
        <v>0.21715122000000001</v>
      </c>
      <c r="M320" s="1">
        <v>0.72222819999999999</v>
      </c>
      <c r="N320" s="1">
        <v>0.27777180000000001</v>
      </c>
      <c r="O320" s="1">
        <v>0.69128769999999995</v>
      </c>
      <c r="P320" s="1">
        <v>0.30871232999999998</v>
      </c>
      <c r="Q320" s="4">
        <v>0</v>
      </c>
      <c r="R320" s="13">
        <v>0</v>
      </c>
      <c r="S320" s="14">
        <v>0</v>
      </c>
    </row>
    <row r="321" spans="1:19">
      <c r="A321" s="1">
        <v>0</v>
      </c>
      <c r="B321" s="1" t="s">
        <v>332</v>
      </c>
      <c r="C321" s="1">
        <v>0.68836609999999998</v>
      </c>
      <c r="D321" s="1">
        <v>0.43873936000000002</v>
      </c>
      <c r="E321" s="1">
        <v>0.74894039999999995</v>
      </c>
      <c r="F321" s="1">
        <v>0.39298256999999998</v>
      </c>
      <c r="G321" s="1">
        <v>0.82873523000000004</v>
      </c>
      <c r="H321" s="1">
        <v>0.17126474</v>
      </c>
      <c r="I321" s="1">
        <v>0.77942370000000005</v>
      </c>
      <c r="J321" s="1">
        <v>0.22057629000000001</v>
      </c>
      <c r="K321" s="1">
        <v>0.2523763</v>
      </c>
      <c r="L321" s="1">
        <v>5.7415582E-2</v>
      </c>
      <c r="M321" s="1">
        <v>0.66501359999999998</v>
      </c>
      <c r="N321" s="1">
        <v>0.33498640000000002</v>
      </c>
      <c r="O321" s="1">
        <v>0.70190686000000002</v>
      </c>
      <c r="P321" s="1">
        <v>0.29809317000000002</v>
      </c>
      <c r="Q321" s="4">
        <v>0</v>
      </c>
      <c r="R321" s="13">
        <v>0</v>
      </c>
      <c r="S321" s="14">
        <v>0</v>
      </c>
    </row>
    <row r="322" spans="1:19">
      <c r="A322" s="1">
        <v>0</v>
      </c>
      <c r="B322" s="1" t="s">
        <v>333</v>
      </c>
      <c r="C322" s="1">
        <v>0.75167375999999997</v>
      </c>
      <c r="D322" s="1">
        <v>0.31477495999999999</v>
      </c>
      <c r="E322" s="1">
        <v>0.78865149999999995</v>
      </c>
      <c r="F322" s="1">
        <v>0.27867845000000002</v>
      </c>
      <c r="G322" s="1">
        <v>0.62875040000000004</v>
      </c>
      <c r="H322" s="1">
        <v>0.37124955999999998</v>
      </c>
      <c r="I322" s="1">
        <v>0.83872429999999998</v>
      </c>
      <c r="J322" s="1">
        <v>0.16127569999999999</v>
      </c>
      <c r="K322" s="1">
        <v>0.39394546000000003</v>
      </c>
      <c r="L322" s="1">
        <v>0.15011999000000001</v>
      </c>
      <c r="M322" s="1">
        <v>0.611904</v>
      </c>
      <c r="N322" s="1">
        <v>0.38809602999999998</v>
      </c>
      <c r="O322" s="1">
        <v>0.60332596000000005</v>
      </c>
      <c r="P322" s="1">
        <v>0.39667400000000003</v>
      </c>
      <c r="Q322" s="4">
        <v>0</v>
      </c>
      <c r="R322" s="13">
        <v>0</v>
      </c>
      <c r="S322" s="14">
        <v>0</v>
      </c>
    </row>
    <row r="323" spans="1:19">
      <c r="A323" s="1">
        <v>0</v>
      </c>
      <c r="B323" s="1" t="s">
        <v>334</v>
      </c>
      <c r="C323" s="1">
        <v>0.74143314000000005</v>
      </c>
      <c r="D323" s="1">
        <v>0.20520910000000001</v>
      </c>
      <c r="E323" s="1">
        <v>0.79312729999999998</v>
      </c>
      <c r="F323" s="1">
        <v>0.15052368999999999</v>
      </c>
      <c r="G323" s="1">
        <v>0.95560193000000004</v>
      </c>
      <c r="H323" s="1">
        <v>4.4398119999999999E-2</v>
      </c>
      <c r="I323" s="1">
        <v>0.98921610000000004</v>
      </c>
      <c r="J323" s="1">
        <v>1.0783937E-2</v>
      </c>
      <c r="K323" s="1">
        <v>0.49174294000000002</v>
      </c>
      <c r="L323" s="1">
        <v>0.16236566999999999</v>
      </c>
      <c r="M323" s="1">
        <v>0.94094940000000005</v>
      </c>
      <c r="N323" s="1">
        <v>5.9050564E-2</v>
      </c>
      <c r="O323" s="1">
        <v>0.98147669999999998</v>
      </c>
      <c r="P323" s="1">
        <v>1.8523326E-2</v>
      </c>
      <c r="Q323" s="4">
        <v>0</v>
      </c>
      <c r="R323" s="13">
        <v>0</v>
      </c>
      <c r="S323" s="14">
        <v>0</v>
      </c>
    </row>
    <row r="324" spans="1:19">
      <c r="A324" s="1">
        <v>1</v>
      </c>
      <c r="B324" s="1" t="s">
        <v>335</v>
      </c>
      <c r="C324" s="1">
        <v>0.41988449999999999</v>
      </c>
      <c r="D324" s="1">
        <v>0.73109007000000004</v>
      </c>
      <c r="E324" s="1">
        <v>0.73560435000000002</v>
      </c>
      <c r="F324" s="1">
        <v>0.43651180000000001</v>
      </c>
      <c r="G324" s="1">
        <v>0.86761712999999996</v>
      </c>
      <c r="H324" s="1">
        <v>0.13238294</v>
      </c>
      <c r="I324" s="1">
        <v>8.1886134999999999E-2</v>
      </c>
      <c r="J324" s="1">
        <v>0.91811379999999998</v>
      </c>
      <c r="K324" s="1">
        <v>8.2862586000000002E-2</v>
      </c>
      <c r="L324" s="1">
        <v>0.33847153000000002</v>
      </c>
      <c r="M324" s="1">
        <v>6.7599339999999994E-2</v>
      </c>
      <c r="N324" s="1">
        <v>0.93240064</v>
      </c>
      <c r="O324" s="1">
        <v>3.447016E-2</v>
      </c>
      <c r="P324" s="1">
        <v>0.96552979999999999</v>
      </c>
      <c r="Q324" s="4">
        <v>1</v>
      </c>
      <c r="R324" s="14">
        <v>1</v>
      </c>
      <c r="S324" s="14">
        <v>1</v>
      </c>
    </row>
    <row r="325" spans="1:19">
      <c r="A325" s="1">
        <v>1</v>
      </c>
      <c r="B325" s="1" t="s">
        <v>336</v>
      </c>
      <c r="C325" s="1">
        <v>0.75229869999999999</v>
      </c>
      <c r="D325" s="1">
        <v>0.28702230000000001</v>
      </c>
      <c r="E325" s="1">
        <v>0.69518749999999996</v>
      </c>
      <c r="F325" s="1">
        <v>0.57475810000000005</v>
      </c>
      <c r="G325" s="1">
        <v>0.49839926000000001</v>
      </c>
      <c r="H325" s="1">
        <v>0.50160079999999996</v>
      </c>
      <c r="I325" s="1">
        <v>0.39498066999999998</v>
      </c>
      <c r="J325" s="1">
        <v>0.60501932999999997</v>
      </c>
      <c r="K325" s="1">
        <v>0.21823049999999999</v>
      </c>
      <c r="L325" s="1">
        <v>0.33432247999999998</v>
      </c>
      <c r="M325" s="1">
        <v>0.39303058000000002</v>
      </c>
      <c r="N325" s="1">
        <v>0.60696936000000001</v>
      </c>
      <c r="O325" s="1">
        <v>0.40290606000000001</v>
      </c>
      <c r="P325" s="1">
        <v>0.59709394000000005</v>
      </c>
      <c r="Q325" s="4">
        <v>0</v>
      </c>
      <c r="R325" s="13">
        <v>1</v>
      </c>
      <c r="S325" s="14">
        <v>1</v>
      </c>
    </row>
    <row r="326" spans="1:19">
      <c r="A326" s="1">
        <v>1</v>
      </c>
      <c r="B326" s="1" t="s">
        <v>337</v>
      </c>
      <c r="C326" s="1">
        <v>0.13149830000000001</v>
      </c>
      <c r="D326" s="1">
        <v>0.76459765000000002</v>
      </c>
      <c r="E326" s="1">
        <v>0.56070169999999997</v>
      </c>
      <c r="F326" s="1">
        <v>0.6856392</v>
      </c>
      <c r="G326" s="1">
        <v>0.22696992999999999</v>
      </c>
      <c r="H326" s="1">
        <v>0.77303003999999997</v>
      </c>
      <c r="I326" s="1">
        <v>7.4065930000000002E-2</v>
      </c>
      <c r="J326" s="1">
        <v>0.92593409999999998</v>
      </c>
      <c r="K326" s="1">
        <v>8.4387110000000001E-2</v>
      </c>
      <c r="L326" s="1">
        <v>0.42932734</v>
      </c>
      <c r="M326" s="1">
        <v>2.3615545000000002E-2</v>
      </c>
      <c r="N326" s="1">
        <v>0.97638446000000001</v>
      </c>
      <c r="O326" s="1">
        <v>1.5916096000000001E-2</v>
      </c>
      <c r="P326" s="1">
        <v>0.98408395000000004</v>
      </c>
      <c r="Q326" s="4">
        <v>1</v>
      </c>
      <c r="R326" s="14">
        <v>1</v>
      </c>
      <c r="S326" s="14">
        <v>1</v>
      </c>
    </row>
    <row r="327" spans="1:19">
      <c r="A327" s="1">
        <v>1</v>
      </c>
      <c r="B327" s="1" t="s">
        <v>338</v>
      </c>
      <c r="C327" s="1">
        <v>4.8529170000000003E-2</v>
      </c>
      <c r="D327" s="1">
        <v>0.80705499999999997</v>
      </c>
      <c r="E327" s="1">
        <v>0.28607503000000001</v>
      </c>
      <c r="F327" s="1">
        <v>0.76083780000000001</v>
      </c>
      <c r="G327" s="1">
        <v>0.12821494</v>
      </c>
      <c r="H327" s="1">
        <v>0.87178504000000001</v>
      </c>
      <c r="I327" s="1">
        <v>1.2002249E-2</v>
      </c>
      <c r="J327" s="1">
        <v>0.98799780000000004</v>
      </c>
      <c r="K327" s="1">
        <v>0.12066715</v>
      </c>
      <c r="L327" s="1">
        <v>0.23022671</v>
      </c>
      <c r="M327" s="1">
        <v>0.18991369999999999</v>
      </c>
      <c r="N327" s="1">
        <v>0.81008630000000004</v>
      </c>
      <c r="O327" s="1">
        <v>9.0354110000000001E-2</v>
      </c>
      <c r="P327" s="1">
        <v>0.90964590000000001</v>
      </c>
      <c r="Q327" s="4">
        <v>1</v>
      </c>
      <c r="R327" s="14">
        <v>1</v>
      </c>
      <c r="S327" s="14">
        <v>1</v>
      </c>
    </row>
    <row r="328" spans="1:19">
      <c r="A328" s="1">
        <v>1</v>
      </c>
      <c r="B328" s="1" t="s">
        <v>339</v>
      </c>
      <c r="C328" s="1">
        <v>0.40156417999999999</v>
      </c>
      <c r="D328" s="1">
        <v>0.71879289999999996</v>
      </c>
      <c r="E328" s="1">
        <v>0.46121040000000002</v>
      </c>
      <c r="F328" s="1">
        <v>0.71052059999999995</v>
      </c>
      <c r="G328" s="1">
        <v>0.4108328</v>
      </c>
      <c r="H328" s="1">
        <v>0.5891672</v>
      </c>
      <c r="I328" s="1">
        <v>6.4623349999999996E-2</v>
      </c>
      <c r="J328" s="1">
        <v>0.9353766</v>
      </c>
      <c r="K328" s="1">
        <v>3.1500958000000003E-2</v>
      </c>
      <c r="L328" s="1">
        <v>0.49624973999999999</v>
      </c>
      <c r="M328" s="1">
        <v>4.6430605999999999E-2</v>
      </c>
      <c r="N328" s="1">
        <v>0.95356934999999998</v>
      </c>
      <c r="O328" s="1">
        <v>3.7631629999999999E-2</v>
      </c>
      <c r="P328" s="1">
        <v>0.96236836999999997</v>
      </c>
      <c r="Q328" s="4">
        <v>1</v>
      </c>
      <c r="R328" s="14">
        <v>1</v>
      </c>
      <c r="S328" s="14">
        <v>1</v>
      </c>
    </row>
    <row r="329" spans="1:19">
      <c r="A329" s="1">
        <v>1</v>
      </c>
      <c r="B329" s="1" t="s">
        <v>340</v>
      </c>
      <c r="C329" s="1">
        <v>4.2852927000000002E-3</v>
      </c>
      <c r="D329" s="1">
        <v>0.80058450000000003</v>
      </c>
      <c r="E329" s="1">
        <v>1.1762551E-2</v>
      </c>
      <c r="F329" s="1">
        <v>0.79116916999999998</v>
      </c>
      <c r="G329" s="1">
        <v>1.4541906E-2</v>
      </c>
      <c r="H329" s="1">
        <v>0.98545813999999998</v>
      </c>
      <c r="I329" s="1">
        <v>9.7484690000000001E-4</v>
      </c>
      <c r="J329" s="1">
        <v>0.9990251</v>
      </c>
      <c r="K329" s="1">
        <v>9.1855674999999998E-2</v>
      </c>
      <c r="L329" s="1">
        <v>0.36718023</v>
      </c>
      <c r="M329" s="1">
        <v>0.10887138</v>
      </c>
      <c r="N329" s="1">
        <v>0.89112860000000005</v>
      </c>
      <c r="O329" s="1">
        <v>3.4654369999999997E-2</v>
      </c>
      <c r="P329" s="1">
        <v>0.96534560000000003</v>
      </c>
      <c r="Q329" s="4">
        <v>1</v>
      </c>
      <c r="R329" s="14">
        <v>1</v>
      </c>
      <c r="S329" s="14">
        <v>1</v>
      </c>
    </row>
    <row r="330" spans="1:19">
      <c r="A330" s="7">
        <v>1</v>
      </c>
      <c r="B330" s="7" t="s">
        <v>341</v>
      </c>
      <c r="C330" s="7">
        <v>0.50243526999999999</v>
      </c>
      <c r="D330" s="7">
        <v>0.68601285999999995</v>
      </c>
      <c r="E330" s="7">
        <v>0.42256397000000001</v>
      </c>
      <c r="F330" s="7">
        <v>0.7155861</v>
      </c>
      <c r="G330" s="7">
        <v>0.29331905000000003</v>
      </c>
      <c r="H330" s="7">
        <v>0.70668094999999997</v>
      </c>
      <c r="I330" s="7">
        <v>0.44564477000000002</v>
      </c>
      <c r="J330" s="7">
        <v>0.55435526000000002</v>
      </c>
      <c r="K330" s="7">
        <v>0.18990093</v>
      </c>
      <c r="L330" s="7">
        <v>0.27300092999999998</v>
      </c>
      <c r="M330" s="7">
        <v>0.29695135</v>
      </c>
      <c r="N330" s="7">
        <v>0.70304860000000002</v>
      </c>
      <c r="O330" s="7">
        <v>0.10015907</v>
      </c>
      <c r="P330" s="7">
        <v>0.89984094999999997</v>
      </c>
      <c r="Q330" s="8">
        <v>0</v>
      </c>
      <c r="R330" s="16">
        <v>1</v>
      </c>
      <c r="S330" s="16">
        <v>1</v>
      </c>
    </row>
    <row r="331" spans="1:19">
      <c r="A331" s="1">
        <v>1</v>
      </c>
      <c r="B331" s="1" t="s">
        <v>342</v>
      </c>
      <c r="C331" s="1">
        <v>0.18989499000000001</v>
      </c>
      <c r="D331" s="1">
        <v>0.75645269999999998</v>
      </c>
      <c r="E331" s="1">
        <v>0.13433422</v>
      </c>
      <c r="F331" s="1">
        <v>0.77523076999999996</v>
      </c>
      <c r="G331" s="1">
        <v>4.1888849999999998E-2</v>
      </c>
      <c r="H331" s="1">
        <v>0.95811117000000001</v>
      </c>
      <c r="I331" s="1">
        <v>1.8190041000000001E-2</v>
      </c>
      <c r="J331" s="1">
        <v>0.98180999999999996</v>
      </c>
      <c r="K331" s="1">
        <v>0.10692893000000001</v>
      </c>
      <c r="L331" s="1">
        <v>0.3345225</v>
      </c>
      <c r="M331" s="1">
        <v>0.43804714</v>
      </c>
      <c r="N331" s="1">
        <v>0.56195280000000003</v>
      </c>
      <c r="O331" s="1">
        <v>0.22154593</v>
      </c>
      <c r="P331" s="1">
        <v>0.77845399999999998</v>
      </c>
      <c r="Q331" s="4">
        <v>1</v>
      </c>
      <c r="R331" s="14">
        <v>1</v>
      </c>
      <c r="S331" s="14">
        <v>1</v>
      </c>
    </row>
    <row r="332" spans="1:19">
      <c r="A332" s="1">
        <v>1</v>
      </c>
      <c r="B332" s="1" t="s">
        <v>343</v>
      </c>
      <c r="C332" s="1">
        <v>0.52224590000000004</v>
      </c>
      <c r="D332" s="1">
        <v>0.65422539999999996</v>
      </c>
      <c r="E332" s="1">
        <v>0.2725361</v>
      </c>
      <c r="F332" s="1">
        <v>0.77214545000000001</v>
      </c>
      <c r="G332" s="1">
        <v>0.333088</v>
      </c>
      <c r="H332" s="1">
        <v>0.66691195999999997</v>
      </c>
      <c r="I332" s="1">
        <v>0.42968240000000002</v>
      </c>
      <c r="J332" s="1">
        <v>0.57031759999999998</v>
      </c>
      <c r="K332" s="1">
        <v>0.12349955</v>
      </c>
      <c r="L332" s="1">
        <v>0.22531309999999999</v>
      </c>
      <c r="M332" s="1">
        <v>0.30639594999999997</v>
      </c>
      <c r="N332" s="1">
        <v>0.69360405000000003</v>
      </c>
      <c r="O332" s="1">
        <v>0.23619865000000001</v>
      </c>
      <c r="P332" s="1">
        <v>0.76380134</v>
      </c>
      <c r="Q332" s="4">
        <v>0</v>
      </c>
      <c r="R332" s="14">
        <v>1</v>
      </c>
      <c r="S332" s="14">
        <v>1</v>
      </c>
    </row>
    <row r="333" spans="1:19">
      <c r="A333" s="1">
        <v>1</v>
      </c>
      <c r="B333" s="1" t="s">
        <v>344</v>
      </c>
      <c r="C333" s="1">
        <v>9.3230369999999993E-3</v>
      </c>
      <c r="D333" s="1">
        <v>0.79365169999999996</v>
      </c>
      <c r="E333" s="1">
        <v>6.3931199999999994E-2</v>
      </c>
      <c r="F333" s="1">
        <v>0.79403780000000002</v>
      </c>
      <c r="G333" s="1">
        <v>3.5363577E-2</v>
      </c>
      <c r="H333" s="1">
        <v>0.96463644999999998</v>
      </c>
      <c r="I333" s="1">
        <v>6.0033324999999998E-2</v>
      </c>
      <c r="J333" s="1">
        <v>0.93996674000000002</v>
      </c>
      <c r="K333" s="1">
        <v>0.29366451999999998</v>
      </c>
      <c r="L333" s="1">
        <v>0.30315816000000001</v>
      </c>
      <c r="M333" s="1">
        <v>0.13720523000000001</v>
      </c>
      <c r="N333" s="1">
        <v>0.86279470000000003</v>
      </c>
      <c r="O333" s="1">
        <v>5.79678E-2</v>
      </c>
      <c r="P333" s="1">
        <v>0.94203216000000001</v>
      </c>
      <c r="Q333" s="4">
        <v>1</v>
      </c>
      <c r="R333" s="14">
        <v>1</v>
      </c>
      <c r="S333" s="14">
        <v>1</v>
      </c>
    </row>
    <row r="334" spans="1:19">
      <c r="A334" s="7">
        <v>1</v>
      </c>
      <c r="B334" s="7" t="s">
        <v>345</v>
      </c>
      <c r="C334" s="7">
        <v>0.5018551</v>
      </c>
      <c r="D334" s="7">
        <v>0.6739655</v>
      </c>
      <c r="E334" s="7">
        <v>0.74181920000000001</v>
      </c>
      <c r="F334" s="7">
        <v>0.43695339999999999</v>
      </c>
      <c r="G334" s="7">
        <v>0.73825379999999996</v>
      </c>
      <c r="H334" s="7">
        <v>0.26174619999999998</v>
      </c>
      <c r="I334" s="7">
        <v>0.11601387000000001</v>
      </c>
      <c r="J334" s="7">
        <v>0.88398620000000006</v>
      </c>
      <c r="K334" s="7">
        <v>0.15678006</v>
      </c>
      <c r="L334" s="7">
        <v>0.39090910000000001</v>
      </c>
      <c r="M334" s="7">
        <v>0.27234507000000002</v>
      </c>
      <c r="N334" s="7">
        <v>0.72765500000000005</v>
      </c>
      <c r="O334" s="7">
        <v>0.25684564999999998</v>
      </c>
      <c r="P334" s="7">
        <v>0.74315439999999999</v>
      </c>
      <c r="Q334" s="8">
        <v>1</v>
      </c>
      <c r="R334" s="16">
        <v>1</v>
      </c>
      <c r="S334" s="16">
        <v>1</v>
      </c>
    </row>
    <row r="335" spans="1:19">
      <c r="A335" s="1">
        <v>1</v>
      </c>
      <c r="B335" s="1" t="s">
        <v>346</v>
      </c>
      <c r="C335" s="1">
        <v>0.35169445999999999</v>
      </c>
      <c r="D335" s="1">
        <v>0.69722812999999995</v>
      </c>
      <c r="E335" s="1">
        <v>0.30474143999999997</v>
      </c>
      <c r="F335" s="1">
        <v>0.75238996999999996</v>
      </c>
      <c r="G335" s="1">
        <v>0.15720141000000001</v>
      </c>
      <c r="H335" s="1">
        <v>0.84279859999999995</v>
      </c>
      <c r="I335" s="1">
        <v>4.3378945000000002E-2</v>
      </c>
      <c r="J335" s="1">
        <v>0.95662104999999997</v>
      </c>
      <c r="K335" s="1">
        <v>0.13140637999999999</v>
      </c>
      <c r="L335" s="1">
        <v>0.27143803</v>
      </c>
      <c r="M335" s="1">
        <v>7.2825669999999995E-2</v>
      </c>
      <c r="N335" s="1">
        <v>0.92717430000000001</v>
      </c>
      <c r="O335" s="1">
        <v>0.12549846000000001</v>
      </c>
      <c r="P335" s="1">
        <v>0.87450150000000004</v>
      </c>
      <c r="Q335" s="4">
        <v>1</v>
      </c>
      <c r="R335" s="14">
        <v>1</v>
      </c>
      <c r="S335" s="14">
        <v>1</v>
      </c>
    </row>
    <row r="336" spans="1:19">
      <c r="A336" s="1">
        <v>1</v>
      </c>
      <c r="B336" s="1" t="s">
        <v>347</v>
      </c>
      <c r="C336" s="1">
        <v>0.1031135</v>
      </c>
      <c r="D336" s="1">
        <v>0.78607607000000002</v>
      </c>
      <c r="E336" s="1">
        <v>0.31938654</v>
      </c>
      <c r="F336" s="1">
        <v>0.70749574999999998</v>
      </c>
      <c r="G336" s="1">
        <v>9.0943599999999999E-2</v>
      </c>
      <c r="H336" s="1">
        <v>0.90905639999999999</v>
      </c>
      <c r="I336" s="1">
        <v>3.7917380000000001E-2</v>
      </c>
      <c r="J336" s="1">
        <v>0.96208260000000001</v>
      </c>
      <c r="K336" s="1">
        <v>0.13023534</v>
      </c>
      <c r="L336" s="1">
        <v>0.41789221999999998</v>
      </c>
      <c r="M336" s="1">
        <v>7.3650530000000006E-2</v>
      </c>
      <c r="N336" s="1">
        <v>0.92634950000000005</v>
      </c>
      <c r="O336" s="1">
        <v>0.20812261000000001</v>
      </c>
      <c r="P336" s="1">
        <v>0.79187739999999995</v>
      </c>
      <c r="Q336" s="4">
        <v>1</v>
      </c>
      <c r="R336" s="14">
        <v>1</v>
      </c>
      <c r="S336" s="14">
        <v>1</v>
      </c>
    </row>
    <row r="337" spans="1:19">
      <c r="A337" s="1">
        <v>1</v>
      </c>
      <c r="B337" s="1" t="s">
        <v>348</v>
      </c>
      <c r="C337" s="1">
        <v>0.26661069999999998</v>
      </c>
      <c r="D337" s="1">
        <v>0.73207129999999998</v>
      </c>
      <c r="E337" s="1">
        <v>0.52007000000000003</v>
      </c>
      <c r="F337" s="1">
        <v>0.61547070000000004</v>
      </c>
      <c r="G337" s="1">
        <v>7.6883845000000006E-2</v>
      </c>
      <c r="H337" s="1">
        <v>0.92311620000000005</v>
      </c>
      <c r="I337" s="1">
        <v>1.3478772E-2</v>
      </c>
      <c r="J337" s="1">
        <v>0.98652123999999997</v>
      </c>
      <c r="K337" s="1">
        <v>4.168972E-2</v>
      </c>
      <c r="L337" s="1">
        <v>0.52560836</v>
      </c>
      <c r="M337" s="1">
        <v>1.23753315E-2</v>
      </c>
      <c r="N337" s="1">
        <v>0.98762464999999999</v>
      </c>
      <c r="O337" s="1">
        <v>2.7447388E-2</v>
      </c>
      <c r="P337" s="1">
        <v>0.97255265999999996</v>
      </c>
      <c r="Q337" s="4">
        <v>1</v>
      </c>
      <c r="R337" s="14">
        <v>1</v>
      </c>
      <c r="S337" s="14">
        <v>1</v>
      </c>
    </row>
    <row r="338" spans="1:19">
      <c r="A338" s="1">
        <v>1</v>
      </c>
      <c r="B338" s="1" t="s">
        <v>349</v>
      </c>
      <c r="C338" s="1">
        <v>0.15685542</v>
      </c>
      <c r="D338" s="1">
        <v>0.78372319999999995</v>
      </c>
      <c r="E338" s="1">
        <v>0.17660835</v>
      </c>
      <c r="F338" s="1">
        <v>0.75266</v>
      </c>
      <c r="G338" s="1">
        <v>0.12181053999999999</v>
      </c>
      <c r="H338" s="1">
        <v>0.87818943999999999</v>
      </c>
      <c r="I338" s="1">
        <v>2.7530333000000001E-2</v>
      </c>
      <c r="J338" s="1">
        <v>0.97246969999999999</v>
      </c>
      <c r="K338" s="1">
        <v>0.16810592999999999</v>
      </c>
      <c r="L338" s="1">
        <v>0.21647611</v>
      </c>
      <c r="M338" s="1">
        <v>0.23637295999999999</v>
      </c>
      <c r="N338" s="1">
        <v>0.76362704999999997</v>
      </c>
      <c r="O338" s="1">
        <v>8.3305359999999995E-2</v>
      </c>
      <c r="P338" s="1">
        <v>0.91669469999999997</v>
      </c>
      <c r="Q338" s="4">
        <v>0</v>
      </c>
      <c r="R338" s="13">
        <v>0</v>
      </c>
      <c r="S338" s="14">
        <v>0</v>
      </c>
    </row>
    <row r="339" spans="1:19">
      <c r="A339" s="1">
        <v>1</v>
      </c>
      <c r="B339" s="1" t="s">
        <v>350</v>
      </c>
      <c r="C339" s="1">
        <v>0.53538275000000002</v>
      </c>
      <c r="D339" s="1">
        <v>0.58941860000000001</v>
      </c>
      <c r="E339" s="1">
        <v>0.22953972</v>
      </c>
      <c r="F339" s="1">
        <v>0.74207115000000001</v>
      </c>
      <c r="G339" s="1">
        <v>0.27059719999999998</v>
      </c>
      <c r="H339" s="1">
        <v>0.72940284</v>
      </c>
      <c r="I339" s="1">
        <v>0.33231342000000003</v>
      </c>
      <c r="J339" s="1">
        <v>0.66768649999999996</v>
      </c>
      <c r="K339" s="1">
        <v>7.953942E-2</v>
      </c>
      <c r="L339" s="1">
        <v>0.52539380000000002</v>
      </c>
      <c r="M339" s="1">
        <v>0.49361769999999999</v>
      </c>
      <c r="N339" s="1">
        <v>0.50638229999999995</v>
      </c>
      <c r="O339" s="1">
        <v>0.44875660000000001</v>
      </c>
      <c r="P339" s="1">
        <v>0.55124335999999996</v>
      </c>
      <c r="Q339" s="4">
        <v>0</v>
      </c>
      <c r="R339" s="13">
        <v>0</v>
      </c>
      <c r="S339" s="14">
        <v>1</v>
      </c>
    </row>
    <row r="340" spans="1:19">
      <c r="A340" s="1">
        <v>1</v>
      </c>
      <c r="B340" s="1" t="s">
        <v>351</v>
      </c>
      <c r="C340" s="1">
        <v>0.67174319999999998</v>
      </c>
      <c r="D340" s="1">
        <v>0.458729</v>
      </c>
      <c r="E340" s="1">
        <v>0.31215903</v>
      </c>
      <c r="F340" s="1">
        <v>0.75344615999999998</v>
      </c>
      <c r="G340" s="1">
        <v>0.48821967999999999</v>
      </c>
      <c r="H340" s="1">
        <v>0.51178025999999999</v>
      </c>
      <c r="I340" s="1">
        <v>0.30038133</v>
      </c>
      <c r="J340" s="1">
        <v>0.69961863999999996</v>
      </c>
      <c r="K340" s="1">
        <v>0.35180782999999999</v>
      </c>
      <c r="L340" s="1">
        <v>0.17238563000000001</v>
      </c>
      <c r="M340" s="1">
        <v>0.63741254999999997</v>
      </c>
      <c r="N340" s="1">
        <v>0.36258744999999998</v>
      </c>
      <c r="O340" s="1">
        <v>0.42860853999999998</v>
      </c>
      <c r="P340" s="1">
        <v>0.57139145999999996</v>
      </c>
      <c r="Q340" s="4">
        <v>1</v>
      </c>
      <c r="R340" s="14">
        <v>1</v>
      </c>
      <c r="S340" s="14">
        <v>1</v>
      </c>
    </row>
    <row r="341" spans="1:19">
      <c r="A341" s="1">
        <v>1</v>
      </c>
      <c r="B341" s="5" t="s">
        <v>352</v>
      </c>
      <c r="C341" s="5">
        <v>0.52614399999999995</v>
      </c>
      <c r="D341" s="5">
        <v>0.68006915000000001</v>
      </c>
      <c r="E341" s="5">
        <v>0.24422373</v>
      </c>
      <c r="F341" s="5">
        <v>0.7587545</v>
      </c>
      <c r="G341" s="5">
        <v>0.46797242999999999</v>
      </c>
      <c r="H341" s="5">
        <v>0.53202753999999997</v>
      </c>
      <c r="I341" s="5">
        <v>0.3133206</v>
      </c>
      <c r="J341" s="5">
        <v>0.68667935999999996</v>
      </c>
      <c r="K341" s="5">
        <v>4.6618211999999999E-2</v>
      </c>
      <c r="L341" s="5">
        <v>0.26654679999999997</v>
      </c>
      <c r="M341" s="5">
        <v>0.63933589999999996</v>
      </c>
      <c r="N341" s="5">
        <v>0.36066419999999999</v>
      </c>
      <c r="O341" s="5">
        <v>0.5701387</v>
      </c>
      <c r="P341" s="5">
        <v>0.42986128000000001</v>
      </c>
      <c r="Q341" s="4">
        <v>1</v>
      </c>
      <c r="R341" s="13">
        <v>0</v>
      </c>
      <c r="S341" s="14">
        <v>1</v>
      </c>
    </row>
    <row r="342" spans="1:19">
      <c r="A342" s="7">
        <v>1</v>
      </c>
      <c r="B342" s="7" t="s">
        <v>353</v>
      </c>
      <c r="C342" s="7">
        <v>0.58341295000000004</v>
      </c>
      <c r="D342" s="7">
        <v>0.62003949999999997</v>
      </c>
      <c r="E342" s="7">
        <v>0.49772253999999999</v>
      </c>
      <c r="F342" s="7">
        <v>0.63884909999999995</v>
      </c>
      <c r="G342" s="7">
        <v>0.16766489000000001</v>
      </c>
      <c r="H342" s="7">
        <v>0.83233509999999999</v>
      </c>
      <c r="I342" s="7">
        <v>0.39848994999999998</v>
      </c>
      <c r="J342" s="7">
        <v>0.60151005000000002</v>
      </c>
      <c r="K342" s="7">
        <v>0.30636390000000002</v>
      </c>
      <c r="L342" s="7">
        <v>0.28035726999999999</v>
      </c>
      <c r="M342" s="7">
        <v>0.56071656999999997</v>
      </c>
      <c r="N342" s="7">
        <v>0.43928346000000001</v>
      </c>
      <c r="O342" s="7">
        <v>0.37098110000000001</v>
      </c>
      <c r="P342" s="7">
        <v>0.62901890000000005</v>
      </c>
      <c r="Q342" s="8">
        <v>1</v>
      </c>
      <c r="R342" s="16">
        <v>1</v>
      </c>
      <c r="S342" s="16">
        <v>1</v>
      </c>
    </row>
    <row r="343" spans="1:19">
      <c r="A343" s="1">
        <v>1</v>
      </c>
      <c r="B343" s="1" t="s">
        <v>354</v>
      </c>
      <c r="C343" s="1">
        <v>7.5661560000000003E-2</v>
      </c>
      <c r="D343" s="1">
        <v>0.81303703999999999</v>
      </c>
      <c r="E343" s="1">
        <v>3.988862E-2</v>
      </c>
      <c r="F343" s="1">
        <v>0.77685004000000002</v>
      </c>
      <c r="G343" s="1">
        <v>1.9775352E-2</v>
      </c>
      <c r="H343" s="1">
        <v>0.98022467000000002</v>
      </c>
      <c r="I343" s="1">
        <v>1.7426638000000001E-2</v>
      </c>
      <c r="J343" s="1">
        <v>0.98257333000000002</v>
      </c>
      <c r="K343" s="1">
        <v>5.9622750000000002E-2</v>
      </c>
      <c r="L343" s="1">
        <v>0.26526110000000003</v>
      </c>
      <c r="M343" s="1">
        <v>6.9505540000000005E-2</v>
      </c>
      <c r="N343" s="1">
        <v>0.9304945</v>
      </c>
      <c r="O343" s="1">
        <v>3.6051716999999997E-2</v>
      </c>
      <c r="P343" s="1">
        <v>0.96394829999999998</v>
      </c>
      <c r="Q343" s="4">
        <v>1</v>
      </c>
      <c r="R343" s="14">
        <v>1</v>
      </c>
      <c r="S343" s="14">
        <v>1</v>
      </c>
    </row>
    <row r="344" spans="1:19">
      <c r="A344" s="1">
        <v>1</v>
      </c>
      <c r="B344" s="1" t="s">
        <v>355</v>
      </c>
      <c r="C344" s="1">
        <v>8.9997750000000001E-2</v>
      </c>
      <c r="D344" s="1">
        <v>0.78763780000000005</v>
      </c>
      <c r="E344" s="1">
        <v>0.60380129999999999</v>
      </c>
      <c r="F344" s="1">
        <v>0.60663164000000003</v>
      </c>
      <c r="G344" s="1">
        <v>0.63176299999999996</v>
      </c>
      <c r="H344" s="1">
        <v>0.36823707999999999</v>
      </c>
      <c r="I344" s="1">
        <v>4.6258103000000002E-2</v>
      </c>
      <c r="J344" s="1">
        <v>0.95374185</v>
      </c>
      <c r="K344" s="1">
        <v>0.11319053</v>
      </c>
      <c r="L344" s="1">
        <v>0.44080964</v>
      </c>
      <c r="M344" s="1">
        <v>2.2629331999999999E-2</v>
      </c>
      <c r="N344" s="1">
        <v>0.97737059999999998</v>
      </c>
      <c r="O344" s="1">
        <v>8.0314696000000005E-2</v>
      </c>
      <c r="P344" s="1">
        <v>0.91968530000000004</v>
      </c>
      <c r="Q344" s="4">
        <v>1</v>
      </c>
      <c r="R344" s="14">
        <v>1</v>
      </c>
      <c r="S344" s="14">
        <v>1</v>
      </c>
    </row>
    <row r="345" spans="1:19">
      <c r="A345" s="1">
        <v>1</v>
      </c>
      <c r="B345" s="1" t="s">
        <v>356</v>
      </c>
      <c r="C345" s="1">
        <v>0.28489888000000002</v>
      </c>
      <c r="D345" s="1">
        <v>0.75678915000000002</v>
      </c>
      <c r="E345" s="1">
        <v>4.6102325999999999E-2</v>
      </c>
      <c r="F345" s="1">
        <v>0.79721934000000005</v>
      </c>
      <c r="G345" s="1">
        <v>4.3031760000000002E-2</v>
      </c>
      <c r="H345" s="1">
        <v>0.95696820000000005</v>
      </c>
      <c r="I345" s="1">
        <v>5.1764283000000001E-2</v>
      </c>
      <c r="J345" s="1">
        <v>0.94823570000000001</v>
      </c>
      <c r="K345" s="1">
        <v>0.23568800000000001</v>
      </c>
      <c r="L345" s="1">
        <v>0.38742270000000001</v>
      </c>
      <c r="M345" s="1">
        <v>0.27736541999999997</v>
      </c>
      <c r="N345" s="1">
        <v>0.72263454999999999</v>
      </c>
      <c r="O345" s="1">
        <v>9.7636500000000001E-2</v>
      </c>
      <c r="P345" s="1">
        <v>0.90236353999999996</v>
      </c>
      <c r="Q345" s="4">
        <v>0</v>
      </c>
      <c r="R345" s="13">
        <v>1</v>
      </c>
      <c r="S345" s="14">
        <v>1</v>
      </c>
    </row>
    <row r="346" spans="1:19">
      <c r="A346" s="7">
        <v>1</v>
      </c>
      <c r="B346" s="7" t="s">
        <v>357</v>
      </c>
      <c r="C346" s="7">
        <v>0.37862158000000001</v>
      </c>
      <c r="D346" s="7">
        <v>0.71062380000000003</v>
      </c>
      <c r="E346" s="7">
        <v>8.9995110000000003E-2</v>
      </c>
      <c r="F346" s="7">
        <v>0.78655980000000003</v>
      </c>
      <c r="G346" s="7">
        <v>2.8290336999999999E-2</v>
      </c>
      <c r="H346" s="7">
        <v>0.97170959999999995</v>
      </c>
      <c r="I346" s="7">
        <v>2.5988641999999999E-2</v>
      </c>
      <c r="J346" s="7">
        <v>0.97401139999999997</v>
      </c>
      <c r="K346" s="7">
        <v>0.29212934000000002</v>
      </c>
      <c r="L346" s="7">
        <v>0.29740172999999998</v>
      </c>
      <c r="M346" s="7">
        <v>0.63886887000000003</v>
      </c>
      <c r="N346" s="7">
        <v>0.36113109999999998</v>
      </c>
      <c r="O346" s="7">
        <v>0.9011692</v>
      </c>
      <c r="P346" s="7">
        <v>9.8830864000000004E-2</v>
      </c>
      <c r="Q346" s="8">
        <v>0</v>
      </c>
      <c r="R346" s="15">
        <v>0</v>
      </c>
      <c r="S346" s="16">
        <v>1</v>
      </c>
    </row>
    <row r="347" spans="1:19">
      <c r="A347" s="1">
        <v>1</v>
      </c>
      <c r="B347" s="1" t="s">
        <v>358</v>
      </c>
      <c r="C347" s="1">
        <v>0.70220669999999996</v>
      </c>
      <c r="D347" s="1">
        <v>0.40979314</v>
      </c>
      <c r="E347" s="1">
        <v>0.63336110000000001</v>
      </c>
      <c r="F347" s="1">
        <v>0.54824823</v>
      </c>
      <c r="G347" s="1">
        <v>0.65327626000000005</v>
      </c>
      <c r="H347" s="1">
        <v>0.34672370000000002</v>
      </c>
      <c r="I347" s="1">
        <v>0.90540134999999999</v>
      </c>
      <c r="J347" s="1">
        <v>9.4598665999999998E-2</v>
      </c>
      <c r="K347" s="1">
        <v>0.21884179000000001</v>
      </c>
      <c r="L347" s="1">
        <v>0.20607085999999999</v>
      </c>
      <c r="M347" s="1">
        <v>0.48198711999999999</v>
      </c>
      <c r="N347" s="1">
        <v>0.51801293999999998</v>
      </c>
      <c r="O347" s="1">
        <v>0.57580876000000003</v>
      </c>
      <c r="P347" s="1">
        <v>0.42419127000000001</v>
      </c>
      <c r="Q347" s="4">
        <v>1</v>
      </c>
      <c r="R347" s="14">
        <v>1</v>
      </c>
      <c r="S347" s="14">
        <v>1</v>
      </c>
    </row>
    <row r="348" spans="1:19">
      <c r="A348" s="1">
        <v>1</v>
      </c>
      <c r="B348" s="1" t="s">
        <v>359</v>
      </c>
      <c r="C348" s="1">
        <v>0.39237623999999999</v>
      </c>
      <c r="D348" s="1">
        <v>0.67169314999999996</v>
      </c>
      <c r="E348" s="1">
        <v>0.41580899999999998</v>
      </c>
      <c r="F348" s="1">
        <v>0.70014732999999996</v>
      </c>
      <c r="G348" s="1">
        <v>0.15158764</v>
      </c>
      <c r="H348" s="1">
        <v>0.84841239999999996</v>
      </c>
      <c r="I348" s="1">
        <v>6.9862859999999999E-2</v>
      </c>
      <c r="J348" s="1">
        <v>0.93013710000000005</v>
      </c>
      <c r="K348" s="1">
        <v>0.10480425</v>
      </c>
      <c r="L348" s="1">
        <v>0.49659716999999998</v>
      </c>
      <c r="M348" s="1">
        <v>0.19664659000000001</v>
      </c>
      <c r="N348" s="1">
        <v>0.80335336999999996</v>
      </c>
      <c r="O348" s="1">
        <v>9.6689603999999998E-2</v>
      </c>
      <c r="P348" s="1">
        <v>0.90331035999999998</v>
      </c>
      <c r="Q348" s="4">
        <v>1</v>
      </c>
      <c r="R348" s="14">
        <v>1</v>
      </c>
      <c r="S348" s="14">
        <v>1</v>
      </c>
    </row>
    <row r="349" spans="1:19">
      <c r="A349" s="1">
        <v>1</v>
      </c>
      <c r="B349" s="1" t="s">
        <v>360</v>
      </c>
      <c r="C349" s="1">
        <v>8.0145830000000001E-2</v>
      </c>
      <c r="D349" s="1">
        <v>0.77645724999999999</v>
      </c>
      <c r="E349" s="1">
        <v>1.3597496000000001E-2</v>
      </c>
      <c r="F349" s="1">
        <v>0.80765030000000004</v>
      </c>
      <c r="G349" s="1">
        <v>1.4336052E-2</v>
      </c>
      <c r="H349" s="1">
        <v>0.98566390000000004</v>
      </c>
      <c r="I349" s="1">
        <v>3.0145122E-2</v>
      </c>
      <c r="J349" s="1">
        <v>0.96985482999999995</v>
      </c>
      <c r="K349" s="1">
        <v>9.0750170000000005E-2</v>
      </c>
      <c r="L349" s="1">
        <v>0.45968123999999999</v>
      </c>
      <c r="M349" s="1">
        <v>0.30604723</v>
      </c>
      <c r="N349" s="1">
        <v>0.69395280000000004</v>
      </c>
      <c r="O349" s="1">
        <v>0.1045552</v>
      </c>
      <c r="P349" s="1">
        <v>0.89544486999999995</v>
      </c>
      <c r="Q349" s="4">
        <v>1</v>
      </c>
      <c r="R349" s="14">
        <v>1</v>
      </c>
      <c r="S349" s="14">
        <v>1</v>
      </c>
    </row>
    <row r="350" spans="1:19">
      <c r="A350" s="1">
        <v>1</v>
      </c>
      <c r="B350" s="1" t="s">
        <v>361</v>
      </c>
      <c r="C350" s="1">
        <v>8.3020709999999998E-2</v>
      </c>
      <c r="D350" s="1">
        <v>0.76509684</v>
      </c>
      <c r="E350" s="1">
        <v>0.23890913</v>
      </c>
      <c r="F350" s="1">
        <v>0.74430065999999995</v>
      </c>
      <c r="G350" s="1">
        <v>0.19861059</v>
      </c>
      <c r="H350" s="1">
        <v>0.80138946</v>
      </c>
      <c r="I350" s="1">
        <v>4.7904256999999999E-2</v>
      </c>
      <c r="J350" s="1">
        <v>0.95209575000000002</v>
      </c>
      <c r="K350" s="1">
        <v>2.8100422E-2</v>
      </c>
      <c r="L350" s="1">
        <v>0.34649825000000001</v>
      </c>
      <c r="M350" s="1">
        <v>7.5908229999999993E-2</v>
      </c>
      <c r="N350" s="1">
        <v>0.92409169999999996</v>
      </c>
      <c r="O350" s="1">
        <v>2.8453375999999999E-2</v>
      </c>
      <c r="P350" s="1">
        <v>0.97154664999999996</v>
      </c>
      <c r="Q350" s="4">
        <v>1</v>
      </c>
      <c r="R350" s="14">
        <v>1</v>
      </c>
      <c r="S350" s="14">
        <v>1</v>
      </c>
    </row>
    <row r="351" spans="1:19">
      <c r="A351" s="1">
        <v>1</v>
      </c>
      <c r="B351" s="1" t="s">
        <v>362</v>
      </c>
      <c r="C351" s="1">
        <v>2.3725350999999999E-2</v>
      </c>
      <c r="D351" s="1">
        <v>0.76516013999999999</v>
      </c>
      <c r="E351" s="1">
        <v>0.18295354</v>
      </c>
      <c r="F351" s="1">
        <v>0.73397559999999995</v>
      </c>
      <c r="G351" s="1">
        <v>3.8878336999999999E-2</v>
      </c>
      <c r="H351" s="1">
        <v>0.96112160000000002</v>
      </c>
      <c r="I351" s="1">
        <v>2.6135730999999999E-2</v>
      </c>
      <c r="J351" s="1">
        <v>0.97386430000000002</v>
      </c>
      <c r="K351" s="1">
        <v>6.6476314999999999E-3</v>
      </c>
      <c r="L351" s="1">
        <v>0.50351024</v>
      </c>
      <c r="M351" s="1">
        <v>0.13227174</v>
      </c>
      <c r="N351" s="1">
        <v>0.86772822999999999</v>
      </c>
      <c r="O351" s="1">
        <v>0.20431321999999999</v>
      </c>
      <c r="P351" s="1">
        <v>0.79568680000000003</v>
      </c>
      <c r="Q351" s="4">
        <v>1</v>
      </c>
      <c r="R351" s="14">
        <v>1</v>
      </c>
      <c r="S351" s="14">
        <v>1</v>
      </c>
    </row>
    <row r="352" spans="1:19">
      <c r="A352" s="1">
        <v>1</v>
      </c>
      <c r="B352" s="1" t="s">
        <v>363</v>
      </c>
      <c r="C352" s="1">
        <v>0.49382789999999999</v>
      </c>
      <c r="D352" s="1">
        <v>0.59282959999999996</v>
      </c>
      <c r="E352" s="1">
        <v>0.66561764000000001</v>
      </c>
      <c r="F352" s="1">
        <v>0.56169440000000004</v>
      </c>
      <c r="G352" s="1">
        <v>0.68033177</v>
      </c>
      <c r="H352" s="1">
        <v>0.31966820000000001</v>
      </c>
      <c r="I352" s="1">
        <v>0.76327820000000002</v>
      </c>
      <c r="J352" s="1">
        <v>0.23672182999999999</v>
      </c>
      <c r="K352" s="1">
        <v>0.35152090000000003</v>
      </c>
      <c r="L352" s="1">
        <v>0.29616037000000001</v>
      </c>
      <c r="M352" s="1">
        <v>0.58786136</v>
      </c>
      <c r="N352" s="1">
        <v>0.41213857999999998</v>
      </c>
      <c r="O352" s="1">
        <v>0.43204910000000002</v>
      </c>
      <c r="P352" s="1">
        <v>0.56795090000000004</v>
      </c>
      <c r="Q352" s="4">
        <v>0</v>
      </c>
      <c r="R352" s="13">
        <v>1</v>
      </c>
      <c r="S352" s="14">
        <v>1</v>
      </c>
    </row>
    <row r="353" spans="1:19">
      <c r="A353" s="1">
        <v>1</v>
      </c>
      <c r="B353" s="1" t="s">
        <v>364</v>
      </c>
      <c r="C353" s="1">
        <v>0.30581101999999999</v>
      </c>
      <c r="D353" s="1">
        <v>0.71184740000000002</v>
      </c>
      <c r="E353" s="1">
        <v>0.30786251999999997</v>
      </c>
      <c r="F353" s="1">
        <v>0.71654724999999997</v>
      </c>
      <c r="G353" s="1">
        <v>0.103231646</v>
      </c>
      <c r="H353" s="1">
        <v>0.89676840000000002</v>
      </c>
      <c r="I353" s="1">
        <v>0.10462378999999999</v>
      </c>
      <c r="J353" s="1">
        <v>0.89537619999999996</v>
      </c>
      <c r="K353" s="1">
        <v>0.10645967000000001</v>
      </c>
      <c r="L353" s="1">
        <v>0.35292005999999998</v>
      </c>
      <c r="M353" s="1">
        <v>0.24998176</v>
      </c>
      <c r="N353" s="1">
        <v>0.75001830000000003</v>
      </c>
      <c r="O353" s="1">
        <v>0.44233804999999998</v>
      </c>
      <c r="P353" s="1">
        <v>0.55766194999999996</v>
      </c>
      <c r="Q353" s="4">
        <v>1</v>
      </c>
      <c r="R353" s="14">
        <v>1</v>
      </c>
      <c r="S353" s="14">
        <v>1</v>
      </c>
    </row>
    <row r="354" spans="1:19">
      <c r="A354" s="1">
        <v>1</v>
      </c>
      <c r="B354" s="1" t="s">
        <v>365</v>
      </c>
      <c r="C354" s="1">
        <v>0.73733974000000002</v>
      </c>
      <c r="D354" s="1">
        <v>0.26426712000000002</v>
      </c>
      <c r="E354" s="1">
        <v>0.7501371</v>
      </c>
      <c r="F354" s="1">
        <v>0.31931472</v>
      </c>
      <c r="G354" s="1">
        <v>0.84508364999999996</v>
      </c>
      <c r="H354" s="1">
        <v>0.15491637999999999</v>
      </c>
      <c r="I354" s="1">
        <v>0.53638419999999998</v>
      </c>
      <c r="J354" s="1">
        <v>0.46361577999999998</v>
      </c>
      <c r="K354" s="1">
        <v>0.30241020000000002</v>
      </c>
      <c r="L354" s="1">
        <v>0.18306607</v>
      </c>
      <c r="M354" s="1">
        <v>0.42587217999999999</v>
      </c>
      <c r="N354" s="1">
        <v>0.57412779999999997</v>
      </c>
      <c r="O354" s="1">
        <v>0.51418640000000004</v>
      </c>
      <c r="P354" s="1">
        <v>0.48581362</v>
      </c>
      <c r="Q354" s="4">
        <v>0</v>
      </c>
      <c r="R354" s="14">
        <v>1</v>
      </c>
      <c r="S354" s="14">
        <v>1</v>
      </c>
    </row>
    <row r="355" spans="1:19">
      <c r="A355" s="1">
        <v>1</v>
      </c>
      <c r="B355" s="1" t="s">
        <v>366</v>
      </c>
      <c r="C355" s="1">
        <v>0.26367425999999999</v>
      </c>
      <c r="D355" s="1">
        <v>0.72206440000000005</v>
      </c>
      <c r="E355" s="1">
        <v>0.47829660000000002</v>
      </c>
      <c r="F355" s="1">
        <v>0.65466535000000003</v>
      </c>
      <c r="G355" s="1">
        <v>0.48411547999999999</v>
      </c>
      <c r="H355" s="1">
        <v>0.51588460000000003</v>
      </c>
      <c r="I355" s="1">
        <v>1.4422114E-2</v>
      </c>
      <c r="J355" s="1">
        <v>0.98557790000000001</v>
      </c>
      <c r="K355" s="1">
        <v>4.8686739999999999E-2</v>
      </c>
      <c r="L355" s="1">
        <v>0.36183090000000001</v>
      </c>
      <c r="M355" s="1">
        <v>7.6443629999999999E-2</v>
      </c>
      <c r="N355" s="1">
        <v>0.92355640000000006</v>
      </c>
      <c r="O355" s="1">
        <v>4.073914E-2</v>
      </c>
      <c r="P355" s="1">
        <v>0.95926089999999997</v>
      </c>
      <c r="Q355" s="4">
        <v>1</v>
      </c>
      <c r="R355" s="14">
        <v>1</v>
      </c>
      <c r="S355" s="14">
        <v>1</v>
      </c>
    </row>
    <row r="356" spans="1:19">
      <c r="A356" s="1">
        <v>1</v>
      </c>
      <c r="B356" s="1" t="s">
        <v>367</v>
      </c>
      <c r="C356" s="1">
        <v>7.0602453999999995E-2</v>
      </c>
      <c r="D356" s="1">
        <v>0.81912750000000001</v>
      </c>
      <c r="E356" s="1">
        <v>7.5997910000000002E-2</v>
      </c>
      <c r="F356" s="1">
        <v>0.79813296</v>
      </c>
      <c r="G356" s="1">
        <v>8.8566349999999999E-3</v>
      </c>
      <c r="H356" s="1">
        <v>0.99114334999999998</v>
      </c>
      <c r="I356" s="1">
        <v>6.5205510000000005E-4</v>
      </c>
      <c r="J356" s="1">
        <v>0.99934800000000001</v>
      </c>
      <c r="K356" s="1">
        <v>9.3768799999999999E-2</v>
      </c>
      <c r="L356" s="1">
        <v>0.46384249999999999</v>
      </c>
      <c r="M356" s="1">
        <v>4.4594094000000001E-2</v>
      </c>
      <c r="N356" s="1">
        <v>0.95540590000000003</v>
      </c>
      <c r="O356" s="1">
        <v>4.9058313999999999E-2</v>
      </c>
      <c r="P356" s="1">
        <v>0.95094160000000005</v>
      </c>
      <c r="Q356" s="4">
        <v>1</v>
      </c>
      <c r="R356" s="14">
        <v>1</v>
      </c>
      <c r="S356" s="14">
        <v>1</v>
      </c>
    </row>
    <row r="357" spans="1:19">
      <c r="A357" s="1">
        <v>1</v>
      </c>
      <c r="B357" s="1" t="s">
        <v>368</v>
      </c>
      <c r="C357" s="1">
        <v>0.53423710000000002</v>
      </c>
      <c r="D357" s="1">
        <v>0.63221799999999995</v>
      </c>
      <c r="E357" s="1">
        <v>0.59894144999999999</v>
      </c>
      <c r="F357" s="1">
        <v>0.5859297</v>
      </c>
      <c r="G357" s="1">
        <v>0.6272991</v>
      </c>
      <c r="H357" s="1">
        <v>0.3727009</v>
      </c>
      <c r="I357" s="1">
        <v>0.53789089999999995</v>
      </c>
      <c r="J357" s="1">
        <v>0.46210911999999998</v>
      </c>
      <c r="K357" s="1">
        <v>5.1430183999999997E-2</v>
      </c>
      <c r="L357" s="1">
        <v>0.36672105999999999</v>
      </c>
      <c r="M357" s="1">
        <v>0.24196243000000001</v>
      </c>
      <c r="N357" s="1">
        <v>0.75803757000000005</v>
      </c>
      <c r="O357" s="1">
        <v>7.8485750000000007E-2</v>
      </c>
      <c r="P357" s="1">
        <v>0.92151430000000001</v>
      </c>
      <c r="Q357" s="4">
        <v>1</v>
      </c>
      <c r="R357" s="14">
        <v>1</v>
      </c>
      <c r="S357" s="14">
        <v>1</v>
      </c>
    </row>
    <row r="358" spans="1:19">
      <c r="A358" s="1">
        <v>1</v>
      </c>
      <c r="B358" s="1" t="s">
        <v>369</v>
      </c>
      <c r="C358" s="1">
        <v>4.2474552999999998E-2</v>
      </c>
      <c r="D358" s="1">
        <v>0.78673709999999997</v>
      </c>
      <c r="E358" s="1">
        <v>0.33627146000000002</v>
      </c>
      <c r="F358" s="1">
        <v>0.71057650000000006</v>
      </c>
      <c r="G358" s="1">
        <v>0.10992536999999999</v>
      </c>
      <c r="H358" s="1">
        <v>0.89007460000000005</v>
      </c>
      <c r="I358" s="1">
        <v>5.9021096000000004E-4</v>
      </c>
      <c r="J358" s="1">
        <v>0.99940980000000001</v>
      </c>
      <c r="K358" s="1">
        <v>0.13629912999999999</v>
      </c>
      <c r="L358" s="1">
        <v>0.21838605</v>
      </c>
      <c r="M358" s="1">
        <v>7.7526263999999998E-2</v>
      </c>
      <c r="N358" s="1">
        <v>0.92247369999999995</v>
      </c>
      <c r="O358" s="1">
        <v>4.9120206E-2</v>
      </c>
      <c r="P358" s="1">
        <v>0.95087975000000002</v>
      </c>
      <c r="Q358" s="4">
        <v>1</v>
      </c>
      <c r="R358" s="14">
        <v>1</v>
      </c>
      <c r="S358" s="14">
        <v>1</v>
      </c>
    </row>
    <row r="359" spans="1:19">
      <c r="A359" s="1">
        <v>1</v>
      </c>
      <c r="B359" s="1" t="s">
        <v>370</v>
      </c>
      <c r="C359" s="1">
        <v>1.4121712999999999E-2</v>
      </c>
      <c r="D359" s="1">
        <v>0.77581113999999995</v>
      </c>
      <c r="E359" s="1">
        <v>0.21524404</v>
      </c>
      <c r="F359" s="1">
        <v>0.76600409999999997</v>
      </c>
      <c r="G359" s="1">
        <v>6.1275348E-2</v>
      </c>
      <c r="H359" s="1">
        <v>0.93872469999999997</v>
      </c>
      <c r="I359" s="1">
        <v>5.2535213000000002E-3</v>
      </c>
      <c r="J359" s="1">
        <v>0.99474649999999998</v>
      </c>
      <c r="K359" s="1">
        <v>8.7386005000000003E-2</v>
      </c>
      <c r="L359" s="1">
        <v>0.55919236000000005</v>
      </c>
      <c r="M359" s="1">
        <v>5.5776010000000001E-2</v>
      </c>
      <c r="N359" s="1">
        <v>0.94422399999999995</v>
      </c>
      <c r="O359" s="1">
        <v>3.1102919999999999E-2</v>
      </c>
      <c r="P359" s="1">
        <v>0.96889703999999999</v>
      </c>
      <c r="Q359" s="4">
        <v>1</v>
      </c>
      <c r="R359" s="14">
        <v>1</v>
      </c>
      <c r="S359" s="14">
        <v>1</v>
      </c>
    </row>
    <row r="360" spans="1:19">
      <c r="A360" s="1">
        <v>1</v>
      </c>
      <c r="B360" s="1" t="s">
        <v>371</v>
      </c>
      <c r="C360" s="1">
        <v>6.7123639999999998E-2</v>
      </c>
      <c r="D360" s="1">
        <v>0.77987980000000001</v>
      </c>
      <c r="E360" s="1">
        <v>8.0406135E-3</v>
      </c>
      <c r="F360" s="1">
        <v>0.80109249999999999</v>
      </c>
      <c r="G360" s="1">
        <v>1.6361948000000001E-2</v>
      </c>
      <c r="H360" s="1">
        <v>0.98363805000000004</v>
      </c>
      <c r="I360" s="1">
        <v>0.16095047000000001</v>
      </c>
      <c r="J360" s="1">
        <v>0.8390495</v>
      </c>
      <c r="K360" s="1">
        <v>5.7072047000000001E-2</v>
      </c>
      <c r="L360" s="1">
        <v>0.40182656</v>
      </c>
      <c r="M360" s="1">
        <v>0.58225375000000001</v>
      </c>
      <c r="N360" s="1">
        <v>0.41774624999999999</v>
      </c>
      <c r="O360" s="1">
        <v>0.630749</v>
      </c>
      <c r="P360" s="1">
        <v>0.36925103999999997</v>
      </c>
      <c r="Q360" s="4">
        <v>1</v>
      </c>
      <c r="R360" s="14">
        <v>1</v>
      </c>
      <c r="S360" s="14">
        <v>1</v>
      </c>
    </row>
    <row r="361" spans="1:19">
      <c r="A361" s="1">
        <v>1</v>
      </c>
      <c r="B361" s="1" t="s">
        <v>372</v>
      </c>
      <c r="C361" s="1">
        <v>6.3639070000000006E-2</v>
      </c>
      <c r="D361" s="1">
        <v>0.74785400000000002</v>
      </c>
      <c r="E361" s="1">
        <v>6.4324860000000003E-3</v>
      </c>
      <c r="F361" s="1">
        <v>0.80187297000000002</v>
      </c>
      <c r="G361" s="1">
        <v>4.2363519999999997E-3</v>
      </c>
      <c r="H361" s="1">
        <v>0.99576366000000005</v>
      </c>
      <c r="I361" s="1">
        <v>1.0672205E-3</v>
      </c>
      <c r="J361" s="1">
        <v>0.99893279999999995</v>
      </c>
      <c r="K361" s="1">
        <v>2.5879059999999999E-2</v>
      </c>
      <c r="L361" s="1">
        <v>0.5416995</v>
      </c>
      <c r="M361" s="1">
        <v>7.1458525999999994E-2</v>
      </c>
      <c r="N361" s="1">
        <v>0.92854150000000002</v>
      </c>
      <c r="O361" s="1">
        <v>3.6779831999999998E-2</v>
      </c>
      <c r="P361" s="1">
        <v>0.96322010000000002</v>
      </c>
      <c r="Q361" s="4">
        <v>0</v>
      </c>
      <c r="R361" s="13">
        <v>0</v>
      </c>
      <c r="S361" s="14">
        <v>1</v>
      </c>
    </row>
    <row r="362" spans="1:19">
      <c r="A362" s="1">
        <v>1</v>
      </c>
      <c r="B362" s="1" t="s">
        <v>373</v>
      </c>
      <c r="C362" s="1">
        <v>0.13326871000000001</v>
      </c>
      <c r="D362" s="1">
        <v>0.8125928</v>
      </c>
      <c r="E362" s="1">
        <v>3.3155512E-3</v>
      </c>
      <c r="F362" s="1">
        <v>0.80095594999999997</v>
      </c>
      <c r="G362" s="1">
        <v>9.0040120000000005E-3</v>
      </c>
      <c r="H362" s="1">
        <v>0.99099605999999996</v>
      </c>
      <c r="I362" s="1">
        <v>3.5617686999999998E-4</v>
      </c>
      <c r="J362" s="1">
        <v>0.99964379999999997</v>
      </c>
      <c r="K362" s="1">
        <v>0.10288586500000001</v>
      </c>
      <c r="L362" s="1">
        <v>0.31715098000000003</v>
      </c>
      <c r="M362" s="1">
        <v>0.16080694000000001</v>
      </c>
      <c r="N362" s="1">
        <v>0.83919305</v>
      </c>
      <c r="O362" s="1">
        <v>6.4956516000000006E-2</v>
      </c>
      <c r="P362" s="1">
        <v>0.93504350000000003</v>
      </c>
      <c r="Q362" s="4">
        <v>1</v>
      </c>
      <c r="R362" s="14">
        <v>1</v>
      </c>
      <c r="S362" s="14">
        <v>1</v>
      </c>
    </row>
    <row r="363" spans="1:19">
      <c r="A363" s="1">
        <v>1</v>
      </c>
      <c r="B363" s="1" t="s">
        <v>374</v>
      </c>
      <c r="C363" s="1">
        <v>0.43749025000000002</v>
      </c>
      <c r="D363" s="1">
        <v>0.71625050000000001</v>
      </c>
      <c r="E363" s="1">
        <v>0.58842779999999995</v>
      </c>
      <c r="F363" s="1">
        <v>0.65700203000000001</v>
      </c>
      <c r="G363" s="1">
        <v>0.29317441999999999</v>
      </c>
      <c r="H363" s="1">
        <v>0.70682555000000002</v>
      </c>
      <c r="I363" s="1">
        <v>0.30399510000000002</v>
      </c>
      <c r="J363" s="1">
        <v>0.69600490000000004</v>
      </c>
      <c r="K363" s="1">
        <v>0.25954577000000001</v>
      </c>
      <c r="L363" s="1">
        <v>0.15938359999999999</v>
      </c>
      <c r="M363" s="1">
        <v>0.37287807000000001</v>
      </c>
      <c r="N363" s="1">
        <v>0.62712199999999996</v>
      </c>
      <c r="O363" s="1">
        <v>0.15920688</v>
      </c>
      <c r="P363" s="1">
        <v>0.84079313</v>
      </c>
      <c r="Q363" s="4">
        <v>1</v>
      </c>
      <c r="R363" s="14">
        <v>1</v>
      </c>
      <c r="S363" s="14">
        <v>1</v>
      </c>
    </row>
    <row r="364" spans="1:19">
      <c r="A364" s="1">
        <v>1</v>
      </c>
      <c r="B364" s="1" t="s">
        <v>375</v>
      </c>
      <c r="C364" s="1">
        <v>0.32626355000000001</v>
      </c>
      <c r="D364" s="1">
        <v>0.73629886</v>
      </c>
      <c r="E364" s="1">
        <v>0.3274746</v>
      </c>
      <c r="F364" s="1">
        <v>0.74670386</v>
      </c>
      <c r="G364" s="1">
        <v>0.12949949999999999</v>
      </c>
      <c r="H364" s="1">
        <v>0.87050050000000001</v>
      </c>
      <c r="I364" s="1">
        <v>0.11826476</v>
      </c>
      <c r="J364" s="1">
        <v>0.88173526999999996</v>
      </c>
      <c r="K364" s="1">
        <v>0.24918738000000001</v>
      </c>
      <c r="L364" s="1">
        <v>0.20437658</v>
      </c>
      <c r="M364" s="1">
        <v>0.34966594000000001</v>
      </c>
      <c r="N364" s="1">
        <v>0.65033406000000005</v>
      </c>
      <c r="O364" s="1">
        <v>0.48743215000000001</v>
      </c>
      <c r="P364" s="1">
        <v>0.51256780000000002</v>
      </c>
      <c r="Q364" s="4">
        <v>1</v>
      </c>
      <c r="R364" s="13">
        <v>1</v>
      </c>
      <c r="S364" s="14">
        <v>1</v>
      </c>
    </row>
    <row r="365" spans="1:19">
      <c r="A365" s="1">
        <v>1</v>
      </c>
      <c r="B365" s="1" t="s">
        <v>376</v>
      </c>
      <c r="C365" s="1">
        <v>0.19876147999999999</v>
      </c>
      <c r="D365" s="1">
        <v>0.81311009999999995</v>
      </c>
      <c r="E365" s="1">
        <v>1.3044554999999999E-2</v>
      </c>
      <c r="F365" s="1">
        <v>0.804925</v>
      </c>
      <c r="G365" s="1">
        <v>2.1843049000000001E-3</v>
      </c>
      <c r="H365" s="1">
        <v>0.99781569999999997</v>
      </c>
      <c r="I365" s="1">
        <v>2.3706395000000001E-3</v>
      </c>
      <c r="J365" s="1">
        <v>0.99762934000000003</v>
      </c>
      <c r="K365" s="1">
        <v>3.9611210000000001E-2</v>
      </c>
      <c r="L365" s="1">
        <v>0.39864549999999999</v>
      </c>
      <c r="M365" s="1">
        <v>1.9988095000000001E-2</v>
      </c>
      <c r="N365" s="1">
        <v>0.98001194000000003</v>
      </c>
      <c r="O365" s="1">
        <v>2.4479386999999998E-2</v>
      </c>
      <c r="P365" s="1">
        <v>0.97552059999999996</v>
      </c>
      <c r="Q365" s="4">
        <v>1</v>
      </c>
      <c r="R365" s="14">
        <v>1</v>
      </c>
      <c r="S365" s="14">
        <v>1</v>
      </c>
    </row>
    <row r="366" spans="1:19">
      <c r="A366" s="1">
        <v>1</v>
      </c>
      <c r="B366" s="1" t="s">
        <v>377</v>
      </c>
      <c r="C366" s="1">
        <v>0.14294082</v>
      </c>
      <c r="D366" s="1">
        <v>0.76327610000000001</v>
      </c>
      <c r="E366" s="1">
        <v>0.2055324</v>
      </c>
      <c r="F366" s="1">
        <v>0.78613805999999997</v>
      </c>
      <c r="G366" s="1">
        <v>0.21815970000000001</v>
      </c>
      <c r="H366" s="1">
        <v>0.78184025999999995</v>
      </c>
      <c r="I366" s="1">
        <v>1.5941644000000001E-2</v>
      </c>
      <c r="J366" s="1">
        <v>0.98405830000000005</v>
      </c>
      <c r="K366" s="1">
        <v>0.24430013</v>
      </c>
      <c r="L366" s="1">
        <v>0.32260444999999999</v>
      </c>
      <c r="M366" s="1">
        <v>0.16629367</v>
      </c>
      <c r="N366" s="1">
        <v>0.83370630000000001</v>
      </c>
      <c r="O366" s="1">
        <v>0.11574995</v>
      </c>
      <c r="P366" s="1">
        <v>0.88425003999999996</v>
      </c>
      <c r="Q366" s="4">
        <v>1</v>
      </c>
      <c r="R366" s="14">
        <v>1</v>
      </c>
      <c r="S366" s="14">
        <v>1</v>
      </c>
    </row>
    <row r="367" spans="1:19">
      <c r="A367" s="1">
        <v>1</v>
      </c>
      <c r="B367" s="1" t="s">
        <v>378</v>
      </c>
      <c r="C367" s="1">
        <v>3.1899467000000001E-2</v>
      </c>
      <c r="D367" s="1">
        <v>0.81152389999999996</v>
      </c>
      <c r="E367" s="1">
        <v>1.49576925E-2</v>
      </c>
      <c r="F367" s="1">
        <v>0.80718310000000004</v>
      </c>
      <c r="G367" s="1">
        <v>3.7446048000000003E-2</v>
      </c>
      <c r="H367" s="1">
        <v>0.96255400000000002</v>
      </c>
      <c r="I367" s="1">
        <v>1.1680441E-2</v>
      </c>
      <c r="J367" s="1">
        <v>0.98831950000000002</v>
      </c>
      <c r="K367" s="1">
        <v>7.6239749999999995E-2</v>
      </c>
      <c r="L367" s="1">
        <v>0.44182247000000002</v>
      </c>
      <c r="M367" s="1">
        <v>2.0981316E-2</v>
      </c>
      <c r="N367" s="1">
        <v>0.97901870000000002</v>
      </c>
      <c r="O367" s="1">
        <v>1.1965816000000001E-2</v>
      </c>
      <c r="P367" s="1">
        <v>0.98803419999999997</v>
      </c>
      <c r="Q367" s="4">
        <v>1</v>
      </c>
      <c r="R367" s="14">
        <v>1</v>
      </c>
      <c r="S367" s="14">
        <v>1</v>
      </c>
    </row>
    <row r="368" spans="1:19">
      <c r="A368" s="1">
        <v>1</v>
      </c>
      <c r="B368" s="1" t="s">
        <v>379</v>
      </c>
      <c r="C368" s="1">
        <v>0.30086136000000002</v>
      </c>
      <c r="D368" s="1">
        <v>0.73504806</v>
      </c>
      <c r="E368" s="1">
        <v>0.19109103</v>
      </c>
      <c r="F368" s="1">
        <v>0.74719924000000004</v>
      </c>
      <c r="G368" s="1">
        <v>2.8689412000000001E-2</v>
      </c>
      <c r="H368" s="1">
        <v>0.97131056000000005</v>
      </c>
      <c r="I368" s="1">
        <v>1.6030757E-2</v>
      </c>
      <c r="J368" s="1">
        <v>0.98396919999999999</v>
      </c>
      <c r="K368" s="1">
        <v>4.4385872999999999E-2</v>
      </c>
      <c r="L368" s="1">
        <v>0.45349013999999999</v>
      </c>
      <c r="M368" s="1">
        <v>8.5401069999999996E-2</v>
      </c>
      <c r="N368" s="1">
        <v>0.91459893999999997</v>
      </c>
      <c r="O368" s="1">
        <v>6.279498E-2</v>
      </c>
      <c r="P368" s="1">
        <v>0.93720499999999995</v>
      </c>
      <c r="Q368" s="4">
        <v>1</v>
      </c>
      <c r="R368" s="13">
        <v>0</v>
      </c>
      <c r="S368" s="14">
        <v>1</v>
      </c>
    </row>
    <row r="369" spans="1:19">
      <c r="A369" s="1">
        <v>1</v>
      </c>
      <c r="B369" s="1" t="s">
        <v>380</v>
      </c>
      <c r="C369" s="1">
        <v>0.34066087</v>
      </c>
      <c r="D369" s="1">
        <v>0.68208190000000002</v>
      </c>
      <c r="E369" s="1">
        <v>0.41949029999999998</v>
      </c>
      <c r="F369" s="1">
        <v>0.68325806</v>
      </c>
      <c r="G369" s="1">
        <v>3.9107759999999998E-2</v>
      </c>
      <c r="H369" s="1">
        <v>0.96089219999999997</v>
      </c>
      <c r="I369" s="1">
        <v>4.6646483000000002E-2</v>
      </c>
      <c r="J369" s="1">
        <v>0.95335349999999996</v>
      </c>
      <c r="K369" s="1">
        <v>7.8690819999999995E-2</v>
      </c>
      <c r="L369" s="1">
        <v>0.32951605</v>
      </c>
      <c r="M369" s="1">
        <v>5.8541179999999998E-2</v>
      </c>
      <c r="N369" s="1">
        <v>0.94145880000000004</v>
      </c>
      <c r="O369" s="1">
        <v>0.22877786999999999</v>
      </c>
      <c r="P369" s="1">
        <v>0.77122219999999997</v>
      </c>
      <c r="Q369" s="4">
        <v>1</v>
      </c>
      <c r="R369" s="14">
        <v>1</v>
      </c>
      <c r="S369" s="14">
        <v>1</v>
      </c>
    </row>
    <row r="370" spans="1:19">
      <c r="Q370" s="4"/>
      <c r="R370" s="13"/>
      <c r="S370" s="14"/>
    </row>
    <row r="371" spans="1:19">
      <c r="A371" s="1" t="s">
        <v>381</v>
      </c>
      <c r="Q371" s="4"/>
      <c r="R371" s="14"/>
      <c r="S371" s="14"/>
    </row>
    <row r="372" spans="1:19">
      <c r="A372" s="1">
        <v>0</v>
      </c>
      <c r="B372" s="1" t="s">
        <v>382</v>
      </c>
      <c r="C372" s="1">
        <v>0.66726859999999999</v>
      </c>
      <c r="D372" s="1">
        <v>0.44204104</v>
      </c>
      <c r="E372" s="1">
        <v>0.6337701</v>
      </c>
      <c r="F372" s="1">
        <v>0.61328375000000002</v>
      </c>
      <c r="G372" s="1">
        <v>0.6468294</v>
      </c>
      <c r="H372" s="1">
        <v>0.3531706</v>
      </c>
      <c r="I372" s="1">
        <v>0.74369483999999997</v>
      </c>
      <c r="J372" s="1">
        <v>0.25630512999999999</v>
      </c>
      <c r="K372" s="1">
        <v>0.10320451</v>
      </c>
      <c r="L372" s="1">
        <v>0.38334504000000003</v>
      </c>
      <c r="M372" s="1">
        <v>0.29152670000000003</v>
      </c>
      <c r="N372" s="1">
        <v>0.70847329999999997</v>
      </c>
      <c r="O372" s="1">
        <v>0.48149619999999999</v>
      </c>
      <c r="P372" s="1">
        <v>0.51850384000000005</v>
      </c>
      <c r="Q372" s="4">
        <v>0</v>
      </c>
      <c r="R372" s="13">
        <v>0</v>
      </c>
      <c r="S372" s="14">
        <v>0</v>
      </c>
    </row>
    <row r="373" spans="1:19">
      <c r="A373" s="1">
        <v>0</v>
      </c>
      <c r="B373" s="1" t="s">
        <v>383</v>
      </c>
      <c r="C373" s="1">
        <v>0.51531570000000004</v>
      </c>
      <c r="D373" s="1">
        <v>0.6675333</v>
      </c>
      <c r="E373" s="1">
        <v>0.47045416000000001</v>
      </c>
      <c r="F373" s="1">
        <v>0.70206630000000003</v>
      </c>
      <c r="G373" s="1">
        <v>0.57143164000000002</v>
      </c>
      <c r="H373" s="1">
        <v>0.42856840000000002</v>
      </c>
      <c r="I373" s="1">
        <v>0.49349767</v>
      </c>
      <c r="J373" s="1">
        <v>0.50650229999999996</v>
      </c>
      <c r="K373" s="1">
        <v>0.19279666000000001</v>
      </c>
      <c r="L373" s="1">
        <v>0.33081677999999998</v>
      </c>
      <c r="M373" s="1">
        <v>0.35250629999999999</v>
      </c>
      <c r="N373" s="1">
        <v>0.64749365999999997</v>
      </c>
      <c r="O373" s="1">
        <v>0.37327608000000001</v>
      </c>
      <c r="P373" s="1">
        <v>0.6267239</v>
      </c>
      <c r="Q373" s="4">
        <v>0</v>
      </c>
      <c r="R373" s="13">
        <v>0</v>
      </c>
      <c r="S373" s="14">
        <v>0</v>
      </c>
    </row>
    <row r="374" spans="1:19">
      <c r="A374" s="1">
        <v>0</v>
      </c>
      <c r="B374" s="1" t="s">
        <v>384</v>
      </c>
      <c r="C374" s="1">
        <v>0.27111414</v>
      </c>
      <c r="D374" s="1">
        <v>0.72846586000000002</v>
      </c>
      <c r="E374" s="1">
        <v>0.24095844</v>
      </c>
      <c r="F374" s="1">
        <v>0.77831660000000003</v>
      </c>
      <c r="G374" s="1">
        <v>0.20389922999999999</v>
      </c>
      <c r="H374" s="1">
        <v>0.79610080000000005</v>
      </c>
      <c r="I374" s="1">
        <v>0.12347285</v>
      </c>
      <c r="J374" s="1">
        <v>0.8765271</v>
      </c>
      <c r="K374" s="1">
        <v>5.9618856999999997E-2</v>
      </c>
      <c r="L374" s="1">
        <v>0.33377846999999999</v>
      </c>
      <c r="M374" s="1">
        <v>0.18123817</v>
      </c>
      <c r="N374" s="1">
        <v>0.81876179999999998</v>
      </c>
      <c r="O374" s="1">
        <v>0.18011168999999999</v>
      </c>
      <c r="P374" s="1">
        <v>0.81988835000000004</v>
      </c>
      <c r="Q374" s="4">
        <v>0</v>
      </c>
      <c r="R374" s="14">
        <v>1</v>
      </c>
      <c r="S374" s="14">
        <v>1</v>
      </c>
    </row>
    <row r="375" spans="1:19">
      <c r="A375" s="1">
        <v>0</v>
      </c>
      <c r="B375" s="1" t="s">
        <v>385</v>
      </c>
      <c r="C375" s="1">
        <v>0.76135074999999997</v>
      </c>
      <c r="D375" s="1">
        <v>0.19292976000000001</v>
      </c>
      <c r="E375" s="1">
        <v>0.77000433000000001</v>
      </c>
      <c r="F375" s="1">
        <v>0.26005193999999998</v>
      </c>
      <c r="G375" s="1">
        <v>0.82602376</v>
      </c>
      <c r="H375" s="1">
        <v>0.1739763</v>
      </c>
      <c r="I375" s="1">
        <v>0.84935110000000003</v>
      </c>
      <c r="J375" s="1">
        <v>0.15064885</v>
      </c>
      <c r="K375" s="1">
        <v>0.19935252000000001</v>
      </c>
      <c r="L375" s="1">
        <v>0.15648201</v>
      </c>
      <c r="M375" s="1">
        <v>0.62765526999999999</v>
      </c>
      <c r="N375" s="1">
        <v>0.37234473000000001</v>
      </c>
      <c r="O375" s="1">
        <v>0.63316459999999997</v>
      </c>
      <c r="P375" s="1">
        <v>0.36683542000000002</v>
      </c>
      <c r="Q375" s="4">
        <v>0</v>
      </c>
      <c r="R375" s="13">
        <v>0</v>
      </c>
      <c r="S375" s="14">
        <v>0</v>
      </c>
    </row>
    <row r="376" spans="1:19">
      <c r="A376" s="1">
        <v>0</v>
      </c>
      <c r="B376" s="1" t="s">
        <v>386</v>
      </c>
      <c r="C376" s="1">
        <v>0.41368042999999999</v>
      </c>
      <c r="D376" s="1">
        <v>0.64306116000000002</v>
      </c>
      <c r="E376" s="1">
        <v>0.71587350000000005</v>
      </c>
      <c r="F376" s="1">
        <v>0.53470189999999995</v>
      </c>
      <c r="G376" s="1">
        <v>0.66905194999999995</v>
      </c>
      <c r="H376" s="1">
        <v>0.33094804999999999</v>
      </c>
      <c r="I376" s="1">
        <v>0.11319873499999999</v>
      </c>
      <c r="J376" s="1">
        <v>0.88680130000000001</v>
      </c>
      <c r="K376" s="1">
        <v>0.15587888999999999</v>
      </c>
      <c r="L376" s="1">
        <v>0.36043245000000002</v>
      </c>
      <c r="M376" s="1">
        <v>5.4367255000000003E-2</v>
      </c>
      <c r="N376" s="1">
        <v>0.94563275999999996</v>
      </c>
      <c r="O376" s="1">
        <v>2.9581706999999999E-2</v>
      </c>
      <c r="P376" s="1">
        <v>0.97041829999999996</v>
      </c>
      <c r="Q376" s="4">
        <v>1</v>
      </c>
      <c r="R376" s="14">
        <v>1</v>
      </c>
      <c r="S376" s="14">
        <v>0</v>
      </c>
    </row>
    <row r="377" spans="1:19">
      <c r="A377" s="1">
        <v>0</v>
      </c>
      <c r="B377" s="1" t="s">
        <v>387</v>
      </c>
      <c r="C377" s="1">
        <v>0.8133977</v>
      </c>
      <c r="D377" s="1">
        <v>3.8573634000000002E-2</v>
      </c>
      <c r="E377" s="1">
        <v>0.80032000000000003</v>
      </c>
      <c r="F377" s="1">
        <v>9.0633279999999997E-2</v>
      </c>
      <c r="G377" s="1">
        <v>0.98276410000000003</v>
      </c>
      <c r="H377" s="1">
        <v>1.7235877E-2</v>
      </c>
      <c r="I377" s="1">
        <v>0.99061865000000004</v>
      </c>
      <c r="J377" s="1">
        <v>9.3814350000000005E-3</v>
      </c>
      <c r="K377" s="1">
        <v>0.35616399999999998</v>
      </c>
      <c r="L377" s="1">
        <v>4.5116343000000003E-2</v>
      </c>
      <c r="M377" s="1">
        <v>0.79171734999999999</v>
      </c>
      <c r="N377" s="1">
        <v>0.20828269999999999</v>
      </c>
      <c r="O377" s="1">
        <v>0.82314925999999999</v>
      </c>
      <c r="P377" s="1">
        <v>0.17685071999999999</v>
      </c>
      <c r="Q377" s="4">
        <v>0</v>
      </c>
      <c r="R377" s="13">
        <v>0</v>
      </c>
      <c r="S377" s="14">
        <v>0</v>
      </c>
    </row>
    <row r="378" spans="1:19">
      <c r="A378" s="1">
        <v>0</v>
      </c>
      <c r="B378" s="1" t="s">
        <v>388</v>
      </c>
      <c r="C378" s="1">
        <v>0.79138779999999997</v>
      </c>
      <c r="D378" s="1">
        <v>5.3997605999999997E-2</v>
      </c>
      <c r="E378" s="1">
        <v>0.77206032999999996</v>
      </c>
      <c r="F378" s="1">
        <v>0.29233900000000002</v>
      </c>
      <c r="G378" s="1">
        <v>0.91089374000000001</v>
      </c>
      <c r="H378" s="1">
        <v>8.9106240000000003E-2</v>
      </c>
      <c r="I378" s="1">
        <v>0.98249834999999996</v>
      </c>
      <c r="J378" s="1">
        <v>1.7501650000000001E-2</v>
      </c>
      <c r="K378" s="1">
        <v>0.19606802000000001</v>
      </c>
      <c r="L378" s="1">
        <v>0.15757588</v>
      </c>
      <c r="M378" s="1">
        <v>0.82167226000000004</v>
      </c>
      <c r="N378" s="1">
        <v>0.17832781</v>
      </c>
      <c r="O378" s="1">
        <v>0.89755773999999999</v>
      </c>
      <c r="P378" s="1">
        <v>0.10244223</v>
      </c>
      <c r="Q378" s="4">
        <v>0</v>
      </c>
      <c r="R378" s="13">
        <v>0</v>
      </c>
      <c r="S378" s="14">
        <v>0</v>
      </c>
    </row>
    <row r="379" spans="1:19">
      <c r="A379" s="1">
        <v>0</v>
      </c>
      <c r="B379" s="1" t="s">
        <v>389</v>
      </c>
      <c r="C379" s="1">
        <v>0.69612235</v>
      </c>
      <c r="D379" s="1">
        <v>0.38931048000000001</v>
      </c>
      <c r="E379" s="1">
        <v>0.796933</v>
      </c>
      <c r="F379" s="1">
        <v>0.17135653000000001</v>
      </c>
      <c r="G379" s="1">
        <v>0.88785833000000003</v>
      </c>
      <c r="H379" s="1">
        <v>0.11214166</v>
      </c>
      <c r="I379" s="1">
        <v>0.91452829999999996</v>
      </c>
      <c r="J379" s="1">
        <v>8.5471619999999998E-2</v>
      </c>
      <c r="K379" s="1">
        <v>0.17534815000000001</v>
      </c>
      <c r="L379" s="1">
        <v>0.11968073</v>
      </c>
      <c r="M379" s="1">
        <v>0.49042590000000003</v>
      </c>
      <c r="N379" s="1">
        <v>0.50957410000000003</v>
      </c>
      <c r="O379" s="1">
        <v>0.72896139999999998</v>
      </c>
      <c r="P379" s="1">
        <v>0.27103855999999998</v>
      </c>
      <c r="Q379" s="4">
        <v>0</v>
      </c>
      <c r="R379" s="13">
        <v>0</v>
      </c>
      <c r="S379" s="14">
        <v>0</v>
      </c>
    </row>
    <row r="380" spans="1:19">
      <c r="A380" s="1">
        <v>0</v>
      </c>
      <c r="B380" s="1" t="s">
        <v>390</v>
      </c>
      <c r="C380" s="1">
        <v>0.43457859999999998</v>
      </c>
      <c r="D380" s="1">
        <v>0.68564725000000004</v>
      </c>
      <c r="E380" s="1">
        <v>0.58769879999999997</v>
      </c>
      <c r="F380" s="1">
        <v>0.6559161</v>
      </c>
      <c r="G380" s="1">
        <v>0.41690670000000002</v>
      </c>
      <c r="H380" s="1">
        <v>0.58309330000000004</v>
      </c>
      <c r="I380" s="1">
        <v>0.24097521999999999</v>
      </c>
      <c r="J380" s="1">
        <v>0.75902473999999998</v>
      </c>
      <c r="K380" s="1">
        <v>0.17383415999999999</v>
      </c>
      <c r="L380" s="1">
        <v>0.16739968999999999</v>
      </c>
      <c r="M380" s="1">
        <v>0.60111535000000005</v>
      </c>
      <c r="N380" s="1">
        <v>0.39888465000000001</v>
      </c>
      <c r="O380" s="1">
        <v>0.63690245000000001</v>
      </c>
      <c r="P380" s="1">
        <v>0.36309752000000001</v>
      </c>
      <c r="Q380" s="4">
        <v>0</v>
      </c>
      <c r="R380" s="13">
        <v>0</v>
      </c>
      <c r="S380" s="14">
        <v>0</v>
      </c>
    </row>
    <row r="381" spans="1:19">
      <c r="A381" s="1">
        <v>0</v>
      </c>
      <c r="B381" s="1" t="s">
        <v>391</v>
      </c>
      <c r="C381" s="1">
        <v>0.6824751</v>
      </c>
      <c r="D381" s="1">
        <v>0.42800169999999998</v>
      </c>
      <c r="E381" s="1">
        <v>0.78851943999999996</v>
      </c>
      <c r="F381" s="1">
        <v>0.21407846999999999</v>
      </c>
      <c r="G381" s="1">
        <v>0.82899696</v>
      </c>
      <c r="H381" s="1">
        <v>0.17100304</v>
      </c>
      <c r="I381" s="1">
        <v>0.95441509999999996</v>
      </c>
      <c r="J381" s="1">
        <v>4.5584949999999999E-2</v>
      </c>
      <c r="K381" s="1">
        <v>0.43914144999999999</v>
      </c>
      <c r="L381" s="1">
        <v>0.10145471</v>
      </c>
      <c r="M381" s="1">
        <v>0.71380509999999997</v>
      </c>
      <c r="N381" s="1">
        <v>0.28619492000000002</v>
      </c>
      <c r="O381" s="1">
        <v>0.82953953999999996</v>
      </c>
      <c r="P381" s="1">
        <v>0.17046048999999999</v>
      </c>
      <c r="Q381" s="4">
        <v>0</v>
      </c>
      <c r="R381" s="13">
        <v>0</v>
      </c>
      <c r="S381" s="14">
        <v>0</v>
      </c>
    </row>
    <row r="382" spans="1:19">
      <c r="A382" s="1">
        <v>0</v>
      </c>
      <c r="B382" s="1" t="s">
        <v>392</v>
      </c>
      <c r="C382" s="1">
        <v>0.80667966999999996</v>
      </c>
      <c r="D382" s="1">
        <v>6.7419599999999996E-2</v>
      </c>
      <c r="E382" s="1">
        <v>0.77743673000000002</v>
      </c>
      <c r="F382" s="1">
        <v>0.23676164</v>
      </c>
      <c r="G382" s="1">
        <v>0.76663559999999997</v>
      </c>
      <c r="H382" s="1">
        <v>0.23336441999999999</v>
      </c>
      <c r="I382" s="1">
        <v>0.90735984000000003</v>
      </c>
      <c r="J382" s="1">
        <v>9.2640150000000004E-2</v>
      </c>
      <c r="K382" s="1">
        <v>0.32627620000000002</v>
      </c>
      <c r="L382" s="1">
        <v>4.1665630000000002E-2</v>
      </c>
      <c r="M382" s="1">
        <v>0.89340459999999999</v>
      </c>
      <c r="N382" s="1">
        <v>0.10659542</v>
      </c>
      <c r="O382" s="1">
        <v>0.87978719999999999</v>
      </c>
      <c r="P382" s="1">
        <v>0.12021279</v>
      </c>
      <c r="Q382" s="4">
        <v>0</v>
      </c>
      <c r="R382" s="13">
        <v>0</v>
      </c>
      <c r="S382" s="14">
        <v>0</v>
      </c>
    </row>
    <row r="383" spans="1:19">
      <c r="A383" s="1">
        <v>0</v>
      </c>
      <c r="B383" s="1" t="s">
        <v>393</v>
      </c>
      <c r="C383" s="1">
        <v>0.65778786</v>
      </c>
      <c r="D383" s="1">
        <v>0.43237664999999997</v>
      </c>
      <c r="E383" s="1">
        <v>0.77981920000000005</v>
      </c>
      <c r="F383" s="1">
        <v>0.216865</v>
      </c>
      <c r="G383" s="1">
        <v>0.90579100000000001</v>
      </c>
      <c r="H383" s="1">
        <v>9.4209000000000001E-2</v>
      </c>
      <c r="I383" s="1">
        <v>0.84879165999999995</v>
      </c>
      <c r="J383" s="1">
        <v>0.15120828</v>
      </c>
      <c r="K383" s="1">
        <v>0.25788862000000001</v>
      </c>
      <c r="L383" s="1">
        <v>0.12183255</v>
      </c>
      <c r="M383" s="1">
        <v>0.22442469000000001</v>
      </c>
      <c r="N383" s="1">
        <v>0.77557533999999995</v>
      </c>
      <c r="O383" s="1">
        <v>0.10224497</v>
      </c>
      <c r="P383" s="1">
        <v>0.89775510000000003</v>
      </c>
      <c r="Q383" s="4">
        <v>1</v>
      </c>
      <c r="R383" s="13">
        <v>0</v>
      </c>
      <c r="S383" s="14">
        <v>0</v>
      </c>
    </row>
    <row r="384" spans="1:19">
      <c r="A384" s="7">
        <v>0</v>
      </c>
      <c r="B384" s="7" t="s">
        <v>394</v>
      </c>
      <c r="C384" s="7">
        <v>0.80657833999999995</v>
      </c>
      <c r="D384" s="7">
        <v>4.7603199999999998E-2</v>
      </c>
      <c r="E384" s="7">
        <v>0.78980433999999999</v>
      </c>
      <c r="F384" s="7">
        <v>0.13119987</v>
      </c>
      <c r="G384" s="7">
        <v>0.95014286000000003</v>
      </c>
      <c r="H384" s="7">
        <v>4.9857102E-2</v>
      </c>
      <c r="I384" s="7">
        <v>0.98193675000000002</v>
      </c>
      <c r="J384" s="7">
        <v>1.8063292000000002E-2</v>
      </c>
      <c r="K384" s="7">
        <v>0.45687803999999999</v>
      </c>
      <c r="L384" s="7">
        <v>0.14012589</v>
      </c>
      <c r="M384" s="7">
        <v>0.88755759999999995</v>
      </c>
      <c r="N384" s="7">
        <v>0.11244239</v>
      </c>
      <c r="O384" s="7">
        <v>0.94471156999999994</v>
      </c>
      <c r="P384" s="7">
        <v>5.528843E-2</v>
      </c>
      <c r="Q384" s="8">
        <v>0</v>
      </c>
      <c r="R384" s="15">
        <v>0</v>
      </c>
      <c r="S384" s="16">
        <v>0</v>
      </c>
    </row>
    <row r="385" spans="1:19">
      <c r="A385" s="1">
        <v>0</v>
      </c>
      <c r="B385" s="1" t="s">
        <v>395</v>
      </c>
      <c r="C385" s="1">
        <v>0.74412780000000001</v>
      </c>
      <c r="D385" s="1">
        <v>0.36148979999999997</v>
      </c>
      <c r="E385" s="1">
        <v>0.56131715000000004</v>
      </c>
      <c r="F385" s="1">
        <v>0.67945440000000001</v>
      </c>
      <c r="G385" s="1">
        <v>0.19728422000000001</v>
      </c>
      <c r="H385" s="1">
        <v>0.80271579999999998</v>
      </c>
      <c r="I385" s="1">
        <v>0.7580829</v>
      </c>
      <c r="J385" s="1">
        <v>0.2419171</v>
      </c>
      <c r="K385" s="1">
        <v>0.18224245</v>
      </c>
      <c r="L385" s="1">
        <v>0.29112705999999999</v>
      </c>
      <c r="M385" s="1">
        <v>0.28682992000000002</v>
      </c>
      <c r="N385" s="1">
        <v>0.71317005</v>
      </c>
      <c r="O385" s="1">
        <v>0.54684500000000003</v>
      </c>
      <c r="P385" s="1">
        <v>0.45315497999999999</v>
      </c>
      <c r="Q385" s="4">
        <v>1</v>
      </c>
      <c r="R385" s="14">
        <v>1</v>
      </c>
      <c r="S385" s="14">
        <v>0</v>
      </c>
    </row>
    <row r="386" spans="1:19">
      <c r="A386" s="1">
        <v>0</v>
      </c>
      <c r="B386" s="1" t="s">
        <v>396</v>
      </c>
      <c r="C386" s="1">
        <v>0.75202893999999998</v>
      </c>
      <c r="D386" s="1">
        <v>0.34470925000000002</v>
      </c>
      <c r="E386" s="1">
        <v>0.78595864999999998</v>
      </c>
      <c r="F386" s="1">
        <v>0.28524905</v>
      </c>
      <c r="G386" s="1">
        <v>0.9589839</v>
      </c>
      <c r="H386" s="1">
        <v>4.1016116999999998E-2</v>
      </c>
      <c r="I386" s="1">
        <v>0.85529109999999997</v>
      </c>
      <c r="J386" s="1">
        <v>0.14470893000000001</v>
      </c>
      <c r="K386" s="1">
        <v>9.7759890000000002E-2</v>
      </c>
      <c r="L386" s="1">
        <v>0.39065107999999998</v>
      </c>
      <c r="M386" s="1">
        <v>0.22551963</v>
      </c>
      <c r="N386" s="1">
        <v>0.77448039999999996</v>
      </c>
      <c r="O386" s="1">
        <v>0.46593714000000003</v>
      </c>
      <c r="P386" s="1">
        <v>0.53406279999999995</v>
      </c>
      <c r="Q386" s="4">
        <v>0</v>
      </c>
      <c r="R386" s="13">
        <v>0</v>
      </c>
      <c r="S386" s="14">
        <v>0</v>
      </c>
    </row>
    <row r="387" spans="1:19">
      <c r="A387" s="1">
        <v>0</v>
      </c>
      <c r="B387" s="1" t="s">
        <v>397</v>
      </c>
      <c r="C387" s="1">
        <v>0.64256049999999998</v>
      </c>
      <c r="D387" s="1">
        <v>0.55502459999999998</v>
      </c>
      <c r="E387" s="1">
        <v>0.63682240000000001</v>
      </c>
      <c r="F387" s="1">
        <v>0.62726307000000003</v>
      </c>
      <c r="G387" s="1">
        <v>0.57892220000000005</v>
      </c>
      <c r="H387" s="1">
        <v>0.42107784999999998</v>
      </c>
      <c r="I387" s="1">
        <v>0.82293205999999997</v>
      </c>
      <c r="J387" s="1">
        <v>0.17706796999999999</v>
      </c>
      <c r="K387" s="1">
        <v>0.26706487000000001</v>
      </c>
      <c r="L387" s="1">
        <v>0.18562000000000001</v>
      </c>
      <c r="M387" s="1">
        <v>0.68469875999999996</v>
      </c>
      <c r="N387" s="1">
        <v>0.31530127000000002</v>
      </c>
      <c r="O387" s="1">
        <v>0.69434786000000004</v>
      </c>
      <c r="P387" s="1">
        <v>0.30565214000000002</v>
      </c>
      <c r="Q387" s="4">
        <v>0</v>
      </c>
      <c r="R387" s="13">
        <v>0</v>
      </c>
      <c r="S387" s="14">
        <v>0</v>
      </c>
    </row>
    <row r="388" spans="1:19">
      <c r="A388" s="1">
        <v>0</v>
      </c>
      <c r="B388" s="1" t="s">
        <v>398</v>
      </c>
      <c r="C388" s="1">
        <v>0.79897046000000005</v>
      </c>
      <c r="D388" s="1">
        <v>0.13701224000000001</v>
      </c>
      <c r="E388" s="1">
        <v>0.78022519999999995</v>
      </c>
      <c r="F388" s="1">
        <v>0.19451366</v>
      </c>
      <c r="G388" s="1">
        <v>0.95779749999999997</v>
      </c>
      <c r="H388" s="1">
        <v>4.2202472999999997E-2</v>
      </c>
      <c r="I388" s="1">
        <v>0.9542178</v>
      </c>
      <c r="J388" s="1">
        <v>4.5782134000000002E-2</v>
      </c>
      <c r="K388" s="1">
        <v>0.30114952</v>
      </c>
      <c r="L388" s="1">
        <v>5.3136866999999997E-2</v>
      </c>
      <c r="M388" s="1">
        <v>0.63290659999999999</v>
      </c>
      <c r="N388" s="1">
        <v>0.36709340000000001</v>
      </c>
      <c r="O388" s="1">
        <v>0.76794379999999995</v>
      </c>
      <c r="P388" s="1">
        <v>0.23205622000000001</v>
      </c>
      <c r="Q388" s="4">
        <v>0</v>
      </c>
      <c r="R388" s="13">
        <v>0</v>
      </c>
      <c r="S388" s="14">
        <v>0</v>
      </c>
    </row>
    <row r="389" spans="1:19">
      <c r="A389" s="1">
        <v>0</v>
      </c>
      <c r="B389" s="1" t="s">
        <v>399</v>
      </c>
      <c r="C389" s="1">
        <v>0.6876622</v>
      </c>
      <c r="D389" s="1">
        <v>0.40570650000000003</v>
      </c>
      <c r="E389" s="1">
        <v>0.76282159999999999</v>
      </c>
      <c r="F389" s="1">
        <v>0.18508753</v>
      </c>
      <c r="G389" s="1">
        <v>0.92160224999999996</v>
      </c>
      <c r="H389" s="1">
        <v>7.8397705999999998E-2</v>
      </c>
      <c r="I389" s="1">
        <v>0.94295733999999998</v>
      </c>
      <c r="J389" s="1">
        <v>5.7042625E-2</v>
      </c>
      <c r="K389" s="1">
        <v>0.34909624</v>
      </c>
      <c r="L389" s="1">
        <v>2.3234634000000001E-2</v>
      </c>
      <c r="M389" s="1">
        <v>0.89055174999999998</v>
      </c>
      <c r="N389" s="1">
        <v>0.109448306</v>
      </c>
      <c r="O389" s="1">
        <v>0.88361259999999997</v>
      </c>
      <c r="P389" s="1">
        <v>0.11638742000000001</v>
      </c>
      <c r="Q389" s="4">
        <v>0</v>
      </c>
      <c r="R389" s="13">
        <v>0</v>
      </c>
      <c r="S389" s="14">
        <v>0</v>
      </c>
    </row>
    <row r="390" spans="1:19">
      <c r="A390" s="1">
        <v>0</v>
      </c>
      <c r="B390" s="1" t="s">
        <v>400</v>
      </c>
      <c r="C390" s="1">
        <v>0.77972733999999999</v>
      </c>
      <c r="D390" s="1">
        <v>9.2368803999999999E-2</v>
      </c>
      <c r="E390" s="1">
        <v>0.79409589999999997</v>
      </c>
      <c r="F390" s="1">
        <v>8.5036379999999995E-2</v>
      </c>
      <c r="G390" s="1">
        <v>0.98136109999999999</v>
      </c>
      <c r="H390" s="1">
        <v>1.8638846000000001E-2</v>
      </c>
      <c r="I390" s="1">
        <v>0.97815260000000004</v>
      </c>
      <c r="J390" s="1">
        <v>2.1847467999999998E-2</v>
      </c>
      <c r="K390" s="1">
        <v>0.25617932999999998</v>
      </c>
      <c r="L390" s="1">
        <v>0.16535076000000001</v>
      </c>
      <c r="M390" s="1">
        <v>0.69199189999999999</v>
      </c>
      <c r="N390" s="1">
        <v>0.30800803999999998</v>
      </c>
      <c r="O390" s="1">
        <v>0.76052063999999997</v>
      </c>
      <c r="P390" s="1">
        <v>0.23947932</v>
      </c>
      <c r="Q390" s="4">
        <v>0</v>
      </c>
      <c r="R390" s="13">
        <v>0</v>
      </c>
      <c r="S390" s="14">
        <v>0</v>
      </c>
    </row>
    <row r="391" spans="1:19">
      <c r="A391" s="1">
        <v>0</v>
      </c>
      <c r="B391" s="1" t="s">
        <v>401</v>
      </c>
      <c r="C391" s="1">
        <v>0.70250690000000005</v>
      </c>
      <c r="D391" s="1">
        <v>0.28922427000000001</v>
      </c>
      <c r="E391" s="1">
        <v>0.78657686999999998</v>
      </c>
      <c r="F391" s="1">
        <v>0.13663422</v>
      </c>
      <c r="G391" s="1">
        <v>0.95034209999999997</v>
      </c>
      <c r="H391" s="1">
        <v>4.9657925999999998E-2</v>
      </c>
      <c r="I391" s="1">
        <v>0.84639096000000003</v>
      </c>
      <c r="J391" s="1">
        <v>0.15360898000000001</v>
      </c>
      <c r="K391" s="1">
        <v>0.14240876999999999</v>
      </c>
      <c r="L391" s="1">
        <v>0.31733816999999997</v>
      </c>
      <c r="M391" s="1">
        <v>7.1258500000000002E-2</v>
      </c>
      <c r="N391" s="1">
        <v>0.9287415</v>
      </c>
      <c r="O391" s="1">
        <v>5.7653660000000002E-2</v>
      </c>
      <c r="P391" s="1">
        <v>0.94234633000000001</v>
      </c>
      <c r="Q391" s="4">
        <v>0</v>
      </c>
      <c r="R391" s="13">
        <v>0</v>
      </c>
      <c r="S391" s="14">
        <v>0</v>
      </c>
    </row>
    <row r="392" spans="1:19">
      <c r="A392" s="1">
        <v>0</v>
      </c>
      <c r="B392" s="1" t="s">
        <v>402</v>
      </c>
      <c r="C392" s="1">
        <v>0.72162459999999995</v>
      </c>
      <c r="D392" s="1">
        <v>0.44892520000000002</v>
      </c>
      <c r="E392" s="1">
        <v>0.74339140000000004</v>
      </c>
      <c r="F392" s="1">
        <v>0.43223571999999999</v>
      </c>
      <c r="G392" s="1">
        <v>0.72565619999999997</v>
      </c>
      <c r="H392" s="1">
        <v>0.27434382000000002</v>
      </c>
      <c r="I392" s="1">
        <v>0.87907670000000004</v>
      </c>
      <c r="J392" s="1">
        <v>0.12092326</v>
      </c>
      <c r="K392" s="1">
        <v>0.40111740000000001</v>
      </c>
      <c r="L392" s="1">
        <v>3.8307122999999998E-2</v>
      </c>
      <c r="M392" s="1">
        <v>0.8381864</v>
      </c>
      <c r="N392" s="1">
        <v>0.16181366</v>
      </c>
      <c r="O392" s="1">
        <v>0.94882409999999995</v>
      </c>
      <c r="P392" s="1">
        <v>5.1175874000000003E-2</v>
      </c>
      <c r="Q392" s="4">
        <v>1</v>
      </c>
      <c r="R392" s="13">
        <v>0</v>
      </c>
      <c r="S392" s="14">
        <v>0</v>
      </c>
    </row>
    <row r="393" spans="1:19">
      <c r="A393" s="1">
        <v>0</v>
      </c>
      <c r="B393" s="1" t="s">
        <v>403</v>
      </c>
      <c r="C393" s="1">
        <v>0.45608084999999998</v>
      </c>
      <c r="D393" s="1">
        <v>0.66660070000000005</v>
      </c>
      <c r="E393" s="1">
        <v>0.68340210000000001</v>
      </c>
      <c r="F393" s="1">
        <v>0.5063917</v>
      </c>
      <c r="G393" s="1">
        <v>0.76823174999999999</v>
      </c>
      <c r="H393" s="1">
        <v>0.23176832</v>
      </c>
      <c r="I393" s="1">
        <v>0.10569856</v>
      </c>
      <c r="J393" s="1">
        <v>0.89430140000000002</v>
      </c>
      <c r="K393" s="1">
        <v>9.5337669999999999E-2</v>
      </c>
      <c r="L393" s="1">
        <v>0.32210672000000001</v>
      </c>
      <c r="M393" s="1">
        <v>2.8831933000000001E-2</v>
      </c>
      <c r="N393" s="1">
        <v>0.97116809999999998</v>
      </c>
      <c r="O393" s="1">
        <v>3.6324736000000003E-2</v>
      </c>
      <c r="P393" s="1">
        <v>0.96367526000000003</v>
      </c>
      <c r="Q393" s="4">
        <v>0</v>
      </c>
      <c r="R393" s="13">
        <v>0</v>
      </c>
      <c r="S393" s="14">
        <v>0</v>
      </c>
    </row>
    <row r="394" spans="1:19">
      <c r="A394" s="1">
        <v>0</v>
      </c>
      <c r="B394" s="1" t="s">
        <v>404</v>
      </c>
      <c r="C394" s="1">
        <v>0.39801737999999998</v>
      </c>
      <c r="D394" s="1">
        <v>0.7004589</v>
      </c>
      <c r="E394" s="1">
        <v>0.49976979999999999</v>
      </c>
      <c r="F394" s="1">
        <v>0.73678440000000001</v>
      </c>
      <c r="G394" s="1">
        <v>0.33778363</v>
      </c>
      <c r="H394" s="1">
        <v>0.66221629999999998</v>
      </c>
      <c r="I394" s="1">
        <v>0.20968310000000001</v>
      </c>
      <c r="J394" s="1">
        <v>0.79031689999999999</v>
      </c>
      <c r="K394" s="1">
        <v>0.19265977000000001</v>
      </c>
      <c r="L394" s="1">
        <v>0.29267952000000003</v>
      </c>
      <c r="M394" s="1">
        <v>0.38021347</v>
      </c>
      <c r="N394" s="1">
        <v>0.61978655999999999</v>
      </c>
      <c r="O394" s="1">
        <v>0.29672696999999998</v>
      </c>
      <c r="P394" s="1">
        <v>0.70327306000000001</v>
      </c>
      <c r="Q394" s="4">
        <v>0</v>
      </c>
      <c r="R394" s="13">
        <v>0</v>
      </c>
      <c r="S394" s="14">
        <v>0</v>
      </c>
    </row>
    <row r="395" spans="1:19">
      <c r="A395" s="1">
        <v>0</v>
      </c>
      <c r="B395" s="1" t="s">
        <v>405</v>
      </c>
      <c r="C395" s="1">
        <v>0.33235288000000002</v>
      </c>
      <c r="D395" s="1">
        <v>0.73917820000000001</v>
      </c>
      <c r="E395" s="1">
        <v>0.19362488</v>
      </c>
      <c r="F395" s="1">
        <v>0.78459144000000003</v>
      </c>
      <c r="G395" s="1">
        <v>4.2672712000000002E-2</v>
      </c>
      <c r="H395" s="1">
        <v>0.95732724999999996</v>
      </c>
      <c r="I395" s="1">
        <v>0.23843587999999999</v>
      </c>
      <c r="J395" s="1">
        <v>0.76156409999999997</v>
      </c>
      <c r="K395" s="1">
        <v>0.15873165</v>
      </c>
      <c r="L395" s="1">
        <v>0.35118523000000001</v>
      </c>
      <c r="M395" s="1">
        <v>0.16695651</v>
      </c>
      <c r="N395" s="1">
        <v>0.83304350000000005</v>
      </c>
      <c r="O395" s="1">
        <v>0.12716946000000001</v>
      </c>
      <c r="P395" s="1">
        <v>0.87283049999999995</v>
      </c>
      <c r="Q395" s="4">
        <v>1</v>
      </c>
      <c r="R395" s="14">
        <v>1</v>
      </c>
      <c r="S395" s="14">
        <v>0</v>
      </c>
    </row>
    <row r="396" spans="1:19">
      <c r="A396" s="1">
        <v>0</v>
      </c>
      <c r="B396" s="1" t="s">
        <v>406</v>
      </c>
      <c r="C396" s="1">
        <v>0.80145560000000005</v>
      </c>
      <c r="D396" s="1">
        <v>7.9537869999999997E-2</v>
      </c>
      <c r="E396" s="1">
        <v>0.79106843000000004</v>
      </c>
      <c r="F396" s="1">
        <v>0.26805996999999998</v>
      </c>
      <c r="G396" s="1">
        <v>0.81530875000000003</v>
      </c>
      <c r="H396" s="1">
        <v>0.18469128000000001</v>
      </c>
      <c r="I396" s="1">
        <v>0.97443150000000001</v>
      </c>
      <c r="J396" s="1">
        <v>2.5568484999999998E-2</v>
      </c>
      <c r="K396" s="1">
        <v>0.17962869000000001</v>
      </c>
      <c r="L396" s="1">
        <v>0.12481711</v>
      </c>
      <c r="M396" s="1">
        <v>0.75542956999999999</v>
      </c>
      <c r="N396" s="1">
        <v>0.24457039999999999</v>
      </c>
      <c r="O396" s="1">
        <v>0.86947269999999999</v>
      </c>
      <c r="P396" s="1">
        <v>0.13052734999999999</v>
      </c>
      <c r="Q396" s="4">
        <v>0</v>
      </c>
      <c r="R396" s="13">
        <v>0</v>
      </c>
      <c r="S396" s="14">
        <v>0</v>
      </c>
    </row>
    <row r="397" spans="1:19">
      <c r="A397" s="1">
        <v>0</v>
      </c>
      <c r="B397" s="1" t="s">
        <v>407</v>
      </c>
      <c r="C397" s="1">
        <v>0.75913876000000002</v>
      </c>
      <c r="D397" s="1">
        <v>0.28083086000000002</v>
      </c>
      <c r="E397" s="1">
        <v>0.7231417</v>
      </c>
      <c r="F397" s="1">
        <v>0.42966944000000001</v>
      </c>
      <c r="G397" s="1">
        <v>0.7977554</v>
      </c>
      <c r="H397" s="1">
        <v>0.20224455999999999</v>
      </c>
      <c r="I397" s="1">
        <v>0.94467086</v>
      </c>
      <c r="J397" s="1">
        <v>5.5329163000000001E-2</v>
      </c>
      <c r="K397" s="1">
        <v>0.31830913</v>
      </c>
      <c r="L397" s="1">
        <v>5.9599317999999998E-2</v>
      </c>
      <c r="M397" s="1">
        <v>0.74097199999999996</v>
      </c>
      <c r="N397" s="1">
        <v>0.25902805000000001</v>
      </c>
      <c r="O397" s="1">
        <v>0.88853174000000001</v>
      </c>
      <c r="P397" s="1">
        <v>0.11146822000000001</v>
      </c>
      <c r="Q397" s="4">
        <v>0</v>
      </c>
      <c r="R397" s="13">
        <v>0</v>
      </c>
      <c r="S397" s="14">
        <v>0</v>
      </c>
    </row>
    <row r="398" spans="1:19">
      <c r="A398" s="1">
        <v>0</v>
      </c>
      <c r="B398" s="1" t="s">
        <v>408</v>
      </c>
      <c r="C398" s="1">
        <v>0.73130393000000005</v>
      </c>
      <c r="D398" s="1">
        <v>0.32504270000000002</v>
      </c>
      <c r="E398" s="1">
        <v>0.73984510000000003</v>
      </c>
      <c r="F398" s="1">
        <v>0.44076110000000002</v>
      </c>
      <c r="G398" s="1">
        <v>0.63734495999999996</v>
      </c>
      <c r="H398" s="1">
        <v>0.36265503999999998</v>
      </c>
      <c r="I398" s="1">
        <v>0.84153193000000004</v>
      </c>
      <c r="J398" s="1">
        <v>0.15846805</v>
      </c>
      <c r="K398" s="1">
        <v>0.29029222999999998</v>
      </c>
      <c r="L398" s="1">
        <v>1.9553132000000001E-2</v>
      </c>
      <c r="M398" s="1">
        <v>0.8867874</v>
      </c>
      <c r="N398" s="1">
        <v>0.11321262</v>
      </c>
      <c r="O398" s="1">
        <v>0.91136269999999997</v>
      </c>
      <c r="P398" s="1">
        <v>8.8637339999999995E-2</v>
      </c>
      <c r="Q398" s="4">
        <v>0</v>
      </c>
      <c r="R398" s="13">
        <v>0</v>
      </c>
      <c r="S398" s="14">
        <v>0</v>
      </c>
    </row>
    <row r="399" spans="1:19">
      <c r="A399" s="1">
        <v>0</v>
      </c>
      <c r="B399" s="1" t="s">
        <v>409</v>
      </c>
      <c r="C399" s="1">
        <v>0.72832490000000005</v>
      </c>
      <c r="D399" s="1">
        <v>0.33688843000000002</v>
      </c>
      <c r="E399" s="1">
        <v>0.71660422999999995</v>
      </c>
      <c r="F399" s="1">
        <v>0.45853939999999999</v>
      </c>
      <c r="G399" s="1">
        <v>0.75176569999999998</v>
      </c>
      <c r="H399" s="1">
        <v>0.24823423999999999</v>
      </c>
      <c r="I399" s="1">
        <v>0.70679990000000004</v>
      </c>
      <c r="J399" s="1">
        <v>0.29320007999999997</v>
      </c>
      <c r="K399" s="1">
        <v>0.23083033</v>
      </c>
      <c r="L399" s="1">
        <v>0.21895455999999999</v>
      </c>
      <c r="M399" s="1">
        <v>0.48155534</v>
      </c>
      <c r="N399" s="1">
        <v>0.51844466</v>
      </c>
      <c r="O399" s="1">
        <v>0.38094702000000003</v>
      </c>
      <c r="P399" s="1">
        <v>0.61905295000000005</v>
      </c>
      <c r="Q399" s="4">
        <v>0</v>
      </c>
      <c r="R399" s="13">
        <v>0</v>
      </c>
      <c r="S399" s="14">
        <v>0</v>
      </c>
    </row>
    <row r="400" spans="1:19">
      <c r="A400" s="1">
        <v>0</v>
      </c>
      <c r="B400" s="1" t="s">
        <v>410</v>
      </c>
      <c r="C400" s="1">
        <v>0.75610869999999997</v>
      </c>
      <c r="D400" s="1">
        <v>0.27196512</v>
      </c>
      <c r="E400" s="1">
        <v>0.75262105000000001</v>
      </c>
      <c r="F400" s="1">
        <v>0.41217014000000002</v>
      </c>
      <c r="G400" s="1">
        <v>0.64686184999999996</v>
      </c>
      <c r="H400" s="1">
        <v>0.35313812</v>
      </c>
      <c r="I400" s="1">
        <v>0.90157909999999997</v>
      </c>
      <c r="J400" s="1">
        <v>9.8420949999999993E-2</v>
      </c>
      <c r="K400" s="1">
        <v>0.25273493000000002</v>
      </c>
      <c r="L400" s="1">
        <v>0.118861996</v>
      </c>
      <c r="M400" s="1">
        <v>0.63508540000000002</v>
      </c>
      <c r="N400" s="1">
        <v>0.36491466</v>
      </c>
      <c r="O400" s="1">
        <v>0.78658669999999997</v>
      </c>
      <c r="P400" s="1">
        <v>0.21341330999999999</v>
      </c>
      <c r="Q400" s="4">
        <v>0</v>
      </c>
      <c r="R400" s="13">
        <v>0</v>
      </c>
      <c r="S400" s="14">
        <v>0</v>
      </c>
    </row>
    <row r="401" spans="1:19">
      <c r="A401" s="1">
        <v>0</v>
      </c>
      <c r="B401" s="1" t="s">
        <v>411</v>
      </c>
      <c r="C401" s="1">
        <v>0.59888410000000003</v>
      </c>
      <c r="D401" s="1">
        <v>0.49188261999999999</v>
      </c>
      <c r="E401" s="1">
        <v>0.63041705000000003</v>
      </c>
      <c r="F401" s="1">
        <v>0.50611717000000001</v>
      </c>
      <c r="G401" s="1">
        <v>0.77396463999999998</v>
      </c>
      <c r="H401" s="1">
        <v>0.2260354</v>
      </c>
      <c r="I401" s="1">
        <v>0.68056660000000002</v>
      </c>
      <c r="J401" s="1">
        <v>0.31943342000000002</v>
      </c>
      <c r="K401" s="1">
        <v>3.9473294999999999E-2</v>
      </c>
      <c r="L401" s="1">
        <v>0.50588316</v>
      </c>
      <c r="M401" s="1">
        <v>8.5874950000000005E-2</v>
      </c>
      <c r="N401" s="1">
        <v>0.91412499999999997</v>
      </c>
      <c r="O401" s="1">
        <v>3.0681869000000001E-2</v>
      </c>
      <c r="P401" s="1">
        <v>0.96931814999999999</v>
      </c>
      <c r="Q401" s="4">
        <v>1</v>
      </c>
      <c r="R401" s="13">
        <v>0</v>
      </c>
      <c r="S401" s="14">
        <v>0</v>
      </c>
    </row>
    <row r="402" spans="1:19">
      <c r="A402" s="1">
        <v>0</v>
      </c>
      <c r="B402" s="1" t="s">
        <v>412</v>
      </c>
      <c r="C402" s="1">
        <v>0.61380619999999997</v>
      </c>
      <c r="D402" s="1">
        <v>0.54875320000000005</v>
      </c>
      <c r="E402" s="1">
        <v>0.71404639999999997</v>
      </c>
      <c r="F402" s="1">
        <v>0.38399909999999998</v>
      </c>
      <c r="G402" s="1">
        <v>0.83147510000000002</v>
      </c>
      <c r="H402" s="1">
        <v>0.16852495000000001</v>
      </c>
      <c r="I402" s="1">
        <v>0.67091040000000002</v>
      </c>
      <c r="J402" s="1">
        <v>0.32908952000000002</v>
      </c>
      <c r="K402" s="1">
        <v>0.18516526</v>
      </c>
      <c r="L402" s="1">
        <v>0.36204049999999999</v>
      </c>
      <c r="M402" s="1">
        <v>0.10349852599999999</v>
      </c>
      <c r="N402" s="1">
        <v>0.8965014</v>
      </c>
      <c r="O402" s="1">
        <v>0.30403516000000003</v>
      </c>
      <c r="P402" s="1">
        <v>0.69596480000000005</v>
      </c>
      <c r="Q402" s="4">
        <v>0</v>
      </c>
      <c r="R402" s="14">
        <v>1</v>
      </c>
      <c r="S402" s="14">
        <v>1</v>
      </c>
    </row>
    <row r="403" spans="1:19">
      <c r="A403" s="1">
        <v>0</v>
      </c>
      <c r="B403" s="1" t="s">
        <v>413</v>
      </c>
      <c r="C403" s="1">
        <v>0.75857490000000005</v>
      </c>
      <c r="D403" s="1">
        <v>0.18028690999999999</v>
      </c>
      <c r="E403" s="1">
        <v>0.75626040000000005</v>
      </c>
      <c r="F403" s="1">
        <v>0.32111810000000002</v>
      </c>
      <c r="G403" s="1">
        <v>0.91061479999999995</v>
      </c>
      <c r="H403" s="1">
        <v>8.9385199999999998E-2</v>
      </c>
      <c r="I403" s="1">
        <v>0.97387314000000003</v>
      </c>
      <c r="J403" s="1">
        <v>2.6126934000000001E-2</v>
      </c>
      <c r="K403" s="1">
        <v>0.22053196</v>
      </c>
      <c r="L403" s="1">
        <v>0.19575176999999999</v>
      </c>
      <c r="M403" s="1">
        <v>0.53677940000000002</v>
      </c>
      <c r="N403" s="1">
        <v>0.46322059999999998</v>
      </c>
      <c r="O403" s="1">
        <v>0.68389522999999997</v>
      </c>
      <c r="P403" s="1">
        <v>0.31610483</v>
      </c>
      <c r="Q403" s="4">
        <v>0</v>
      </c>
      <c r="R403" s="14">
        <v>1</v>
      </c>
      <c r="S403" s="14">
        <v>0</v>
      </c>
    </row>
    <row r="404" spans="1:19">
      <c r="A404" s="1">
        <v>0</v>
      </c>
      <c r="B404" s="1" t="s">
        <v>414</v>
      </c>
      <c r="C404" s="1">
        <v>0.28242433</v>
      </c>
      <c r="D404" s="1">
        <v>0.77188723999999997</v>
      </c>
      <c r="E404" s="1">
        <v>0.33715435999999999</v>
      </c>
      <c r="F404" s="1">
        <v>0.72887939999999996</v>
      </c>
      <c r="G404" s="1">
        <v>6.8696740000000006E-2</v>
      </c>
      <c r="H404" s="1">
        <v>0.93130325999999997</v>
      </c>
      <c r="I404" s="1">
        <v>0.12052642</v>
      </c>
      <c r="J404" s="1">
        <v>0.87947357000000004</v>
      </c>
      <c r="K404" s="1">
        <v>5.6308740000000003E-2</v>
      </c>
      <c r="L404" s="1">
        <v>0.40720099999999998</v>
      </c>
      <c r="M404" s="1">
        <v>0.18427067999999999</v>
      </c>
      <c r="N404" s="1">
        <v>0.81572929999999999</v>
      </c>
      <c r="O404" s="1">
        <v>0.1581032</v>
      </c>
      <c r="P404" s="1">
        <v>0.84189683000000004</v>
      </c>
      <c r="Q404" s="4">
        <v>1</v>
      </c>
      <c r="R404" s="13">
        <v>0</v>
      </c>
      <c r="S404" s="14">
        <v>0</v>
      </c>
    </row>
    <row r="405" spans="1:19">
      <c r="A405" s="1">
        <v>0</v>
      </c>
      <c r="B405" s="1" t="s">
        <v>415</v>
      </c>
      <c r="C405" s="1">
        <v>0.72868239999999995</v>
      </c>
      <c r="D405" s="1">
        <v>0.32898749999999999</v>
      </c>
      <c r="E405" s="1">
        <v>0.78031010000000001</v>
      </c>
      <c r="F405" s="1">
        <v>0.17616232000000001</v>
      </c>
      <c r="G405" s="1">
        <v>0.91131960000000001</v>
      </c>
      <c r="H405" s="1">
        <v>8.8680305000000001E-2</v>
      </c>
      <c r="I405" s="1">
        <v>0.9215411</v>
      </c>
      <c r="J405" s="1">
        <v>7.8458899999999998E-2</v>
      </c>
      <c r="K405" s="1">
        <v>0.13305037</v>
      </c>
      <c r="L405" s="1">
        <v>4.4932756999999997E-2</v>
      </c>
      <c r="M405" s="1">
        <v>0.88951354999999999</v>
      </c>
      <c r="N405" s="1">
        <v>0.11048648</v>
      </c>
      <c r="O405" s="1">
        <v>0.82610229999999996</v>
      </c>
      <c r="P405" s="1">
        <v>0.17389767</v>
      </c>
      <c r="Q405" s="4">
        <v>0</v>
      </c>
      <c r="R405" s="13">
        <v>0</v>
      </c>
      <c r="S405" s="14">
        <v>0</v>
      </c>
    </row>
    <row r="406" spans="1:19">
      <c r="A406" s="1">
        <v>0</v>
      </c>
      <c r="B406" s="1" t="s">
        <v>416</v>
      </c>
      <c r="C406" s="1">
        <v>0.73523159999999999</v>
      </c>
      <c r="D406" s="1">
        <v>0.36143323999999999</v>
      </c>
      <c r="E406" s="1">
        <v>0.77268970000000003</v>
      </c>
      <c r="F406" s="1">
        <v>0.33454507999999999</v>
      </c>
      <c r="G406" s="1">
        <v>0.77125790000000005</v>
      </c>
      <c r="H406" s="1">
        <v>0.22874206</v>
      </c>
      <c r="I406" s="1">
        <v>0.79545949999999999</v>
      </c>
      <c r="J406" s="1">
        <v>0.20454048</v>
      </c>
      <c r="K406" s="1">
        <v>0.39896458000000001</v>
      </c>
      <c r="L406" s="1">
        <v>0.14540910000000001</v>
      </c>
      <c r="M406" s="1">
        <v>0.69542800000000005</v>
      </c>
      <c r="N406" s="1">
        <v>0.30457202</v>
      </c>
      <c r="O406" s="1">
        <v>0.55464769999999997</v>
      </c>
      <c r="P406" s="1">
        <v>0.44535235000000001</v>
      </c>
      <c r="Q406" s="4">
        <v>0</v>
      </c>
      <c r="R406" s="13">
        <v>0</v>
      </c>
      <c r="S406" s="14">
        <v>0</v>
      </c>
    </row>
    <row r="407" spans="1:19">
      <c r="A407" s="1">
        <v>0</v>
      </c>
      <c r="B407" s="1" t="s">
        <v>417</v>
      </c>
      <c r="C407" s="1">
        <v>0.29323431999999999</v>
      </c>
      <c r="D407" s="1">
        <v>0.73533919999999997</v>
      </c>
      <c r="E407" s="1">
        <v>0.59414809999999996</v>
      </c>
      <c r="F407" s="1">
        <v>0.62378602999999999</v>
      </c>
      <c r="G407" s="1">
        <v>0.34302043999999998</v>
      </c>
      <c r="H407" s="1">
        <v>0.65697956000000002</v>
      </c>
      <c r="I407" s="1">
        <v>0.16036955</v>
      </c>
      <c r="J407" s="1">
        <v>0.83963049999999995</v>
      </c>
      <c r="K407" s="1">
        <v>0.12809967999999999</v>
      </c>
      <c r="L407" s="1">
        <v>0.25971872000000001</v>
      </c>
      <c r="M407" s="1">
        <v>8.7954000000000004E-2</v>
      </c>
      <c r="N407" s="1">
        <v>0.91204600000000002</v>
      </c>
      <c r="O407" s="1">
        <v>4.4094517999999999E-2</v>
      </c>
      <c r="P407" s="1">
        <v>0.95590549999999996</v>
      </c>
      <c r="Q407" s="4">
        <v>0</v>
      </c>
      <c r="R407" s="13">
        <v>0</v>
      </c>
      <c r="S407" s="14">
        <v>0</v>
      </c>
    </row>
    <row r="408" spans="1:19">
      <c r="A408" s="1">
        <v>0</v>
      </c>
      <c r="B408" s="1" t="s">
        <v>418</v>
      </c>
      <c r="C408" s="1">
        <v>0.54545730000000003</v>
      </c>
      <c r="D408" s="1">
        <v>0.60576350000000001</v>
      </c>
      <c r="E408" s="1">
        <v>0.66325855</v>
      </c>
      <c r="F408" s="1">
        <v>0.5010289</v>
      </c>
      <c r="G408" s="1">
        <v>0.70205249999999997</v>
      </c>
      <c r="H408" s="1">
        <v>0.29794753000000002</v>
      </c>
      <c r="I408" s="1">
        <v>0.72542936000000002</v>
      </c>
      <c r="J408" s="1">
        <v>0.2745707</v>
      </c>
      <c r="K408" s="1">
        <v>0.23286950000000001</v>
      </c>
      <c r="L408" s="1">
        <v>0.24178109</v>
      </c>
      <c r="M408" s="1">
        <v>0.57660330000000004</v>
      </c>
      <c r="N408" s="1">
        <v>0.42339668000000003</v>
      </c>
      <c r="O408" s="1">
        <v>0.22231646999999999</v>
      </c>
      <c r="P408" s="1">
        <v>0.77768356000000005</v>
      </c>
      <c r="Q408" s="4">
        <v>0</v>
      </c>
      <c r="R408" s="13">
        <v>0</v>
      </c>
      <c r="S408" s="14">
        <v>0</v>
      </c>
    </row>
    <row r="409" spans="1:19">
      <c r="A409" s="1">
        <v>0</v>
      </c>
      <c r="B409" s="1" t="s">
        <v>419</v>
      </c>
      <c r="C409" s="1">
        <v>0.66610239999999998</v>
      </c>
      <c r="D409" s="1">
        <v>0.51767739999999995</v>
      </c>
      <c r="E409" s="1">
        <v>0.77616536999999997</v>
      </c>
      <c r="F409" s="1">
        <v>0.28570973999999999</v>
      </c>
      <c r="G409" s="1">
        <v>0.87130255000000001</v>
      </c>
      <c r="H409" s="1">
        <v>0.12869744999999999</v>
      </c>
      <c r="I409" s="1">
        <v>0.46460669999999998</v>
      </c>
      <c r="J409" s="1">
        <v>0.53539329999999996</v>
      </c>
      <c r="K409" s="1">
        <v>0.2348401</v>
      </c>
      <c r="L409" s="1">
        <v>0.22242503999999999</v>
      </c>
      <c r="M409" s="1">
        <v>0.44314626000000001</v>
      </c>
      <c r="N409" s="1">
        <v>0.55685379999999995</v>
      </c>
      <c r="O409" s="1">
        <v>0.2185066</v>
      </c>
      <c r="P409" s="1">
        <v>0.7814934</v>
      </c>
      <c r="Q409" s="4">
        <v>1</v>
      </c>
      <c r="R409" s="13">
        <v>1</v>
      </c>
      <c r="S409" s="14">
        <v>1</v>
      </c>
    </row>
    <row r="410" spans="1:19">
      <c r="A410" s="1">
        <v>0</v>
      </c>
      <c r="B410" s="1" t="s">
        <v>420</v>
      </c>
      <c r="C410" s="1">
        <v>0.78356355</v>
      </c>
      <c r="D410" s="1">
        <v>8.0614329999999998E-2</v>
      </c>
      <c r="E410" s="1">
        <v>0.72355239999999998</v>
      </c>
      <c r="F410" s="1">
        <v>0.34954067999999999</v>
      </c>
      <c r="G410" s="1">
        <v>0.80241629999999997</v>
      </c>
      <c r="H410" s="1">
        <v>0.19758365999999999</v>
      </c>
      <c r="I410" s="1">
        <v>0.94111012999999999</v>
      </c>
      <c r="J410" s="1">
        <v>5.8889895999999997E-2</v>
      </c>
      <c r="K410" s="1">
        <v>0.14705542999999999</v>
      </c>
      <c r="L410" s="1">
        <v>0.21273753000000001</v>
      </c>
      <c r="M410" s="1">
        <v>0.75539780000000001</v>
      </c>
      <c r="N410" s="1">
        <v>0.24460222000000001</v>
      </c>
      <c r="O410" s="1">
        <v>0.79989295999999999</v>
      </c>
      <c r="P410" s="1">
        <v>0.20010701</v>
      </c>
      <c r="Q410" s="4">
        <v>0</v>
      </c>
      <c r="R410" s="13">
        <v>0</v>
      </c>
      <c r="S410" s="14">
        <v>0</v>
      </c>
    </row>
    <row r="411" spans="1:19">
      <c r="A411" s="1">
        <v>0</v>
      </c>
      <c r="B411" s="1" t="s">
        <v>421</v>
      </c>
      <c r="C411" s="1">
        <v>0.74347470000000004</v>
      </c>
      <c r="D411" s="1">
        <v>0.38370162000000002</v>
      </c>
      <c r="E411" s="1">
        <v>0.78435785000000002</v>
      </c>
      <c r="F411" s="1">
        <v>0.18631990000000001</v>
      </c>
      <c r="G411" s="1">
        <v>0.90736680000000003</v>
      </c>
      <c r="H411" s="1">
        <v>9.2633195000000002E-2</v>
      </c>
      <c r="I411" s="1">
        <v>0.85766595999999995</v>
      </c>
      <c r="J411" s="1">
        <v>0.14233406000000001</v>
      </c>
      <c r="K411" s="1">
        <v>0.30834679999999998</v>
      </c>
      <c r="L411" s="1">
        <v>9.2862399999999998E-2</v>
      </c>
      <c r="M411" s="1">
        <v>0.75541320000000001</v>
      </c>
      <c r="N411" s="1">
        <v>0.24458684</v>
      </c>
      <c r="O411" s="1">
        <v>0.64480689999999996</v>
      </c>
      <c r="P411" s="1">
        <v>0.35519302000000003</v>
      </c>
      <c r="Q411" s="4">
        <v>0</v>
      </c>
      <c r="R411" s="13">
        <v>0</v>
      </c>
      <c r="S411" s="14">
        <v>0</v>
      </c>
    </row>
    <row r="412" spans="1:19">
      <c r="A412" s="1">
        <v>0</v>
      </c>
      <c r="B412" s="1" t="s">
        <v>422</v>
      </c>
      <c r="C412" s="1">
        <v>0.81469610000000003</v>
      </c>
      <c r="D412" s="1">
        <v>3.9671574000000001E-2</v>
      </c>
      <c r="E412" s="1">
        <v>0.7906936</v>
      </c>
      <c r="F412" s="1">
        <v>0.16401679999999999</v>
      </c>
      <c r="G412" s="1">
        <v>0.90159696</v>
      </c>
      <c r="H412" s="1">
        <v>9.8402959999999998E-2</v>
      </c>
      <c r="I412" s="1">
        <v>0.92333679999999996</v>
      </c>
      <c r="J412" s="1">
        <v>7.6663209999999996E-2</v>
      </c>
      <c r="K412" s="1">
        <v>0.33414438000000002</v>
      </c>
      <c r="L412" s="1">
        <v>5.8774125000000003E-2</v>
      </c>
      <c r="M412" s="1">
        <v>0.703434</v>
      </c>
      <c r="N412" s="1">
        <v>0.296566</v>
      </c>
      <c r="O412" s="1">
        <v>0.60597970000000001</v>
      </c>
      <c r="P412" s="1">
        <v>0.39402038</v>
      </c>
      <c r="Q412" s="4">
        <v>0</v>
      </c>
      <c r="R412" s="13">
        <v>0</v>
      </c>
      <c r="S412" s="14">
        <v>0</v>
      </c>
    </row>
    <row r="413" spans="1:19">
      <c r="A413" s="1">
        <v>0</v>
      </c>
      <c r="B413" s="1" t="s">
        <v>423</v>
      </c>
      <c r="C413" s="1">
        <v>0.68737289999999995</v>
      </c>
      <c r="D413" s="1">
        <v>0.41022533</v>
      </c>
      <c r="E413" s="1">
        <v>0.73136513999999997</v>
      </c>
      <c r="F413" s="1">
        <v>0.30561625999999997</v>
      </c>
      <c r="G413" s="1">
        <v>0.86792844999999996</v>
      </c>
      <c r="H413" s="1">
        <v>0.13207157999999999</v>
      </c>
      <c r="I413" s="1">
        <v>0.80231870000000005</v>
      </c>
      <c r="J413" s="1">
        <v>0.19768134000000001</v>
      </c>
      <c r="K413" s="1">
        <v>0.30960252999999999</v>
      </c>
      <c r="L413" s="1">
        <v>7.5970500000000002E-3</v>
      </c>
      <c r="M413" s="1">
        <v>0.73725079999999998</v>
      </c>
      <c r="N413" s="1">
        <v>0.26274922000000001</v>
      </c>
      <c r="O413" s="1">
        <v>0.75420445000000003</v>
      </c>
      <c r="P413" s="1">
        <v>0.24579558000000001</v>
      </c>
      <c r="Q413" s="4">
        <v>0</v>
      </c>
      <c r="R413" s="13">
        <v>0</v>
      </c>
      <c r="S413" s="14">
        <v>0</v>
      </c>
    </row>
    <row r="414" spans="1:19">
      <c r="A414" s="1">
        <v>0</v>
      </c>
      <c r="B414" s="1" t="s">
        <v>424</v>
      </c>
      <c r="C414" s="1">
        <v>0.77846545</v>
      </c>
      <c r="D414" s="1">
        <v>0.16498423000000001</v>
      </c>
      <c r="E414" s="1">
        <v>0.79421014000000001</v>
      </c>
      <c r="F414" s="1">
        <v>0.11924184</v>
      </c>
      <c r="G414" s="1">
        <v>0.95020735000000001</v>
      </c>
      <c r="H414" s="1">
        <v>4.9792665999999999E-2</v>
      </c>
      <c r="I414" s="1">
        <v>0.94302063999999997</v>
      </c>
      <c r="J414" s="1">
        <v>5.6979370000000001E-2</v>
      </c>
      <c r="K414" s="1">
        <v>0.30179270000000002</v>
      </c>
      <c r="L414" s="1">
        <v>0.15645324999999999</v>
      </c>
      <c r="M414" s="1">
        <v>0.3527807</v>
      </c>
      <c r="N414" s="1">
        <v>0.64721930000000005</v>
      </c>
      <c r="O414" s="1">
        <v>0.50969810000000004</v>
      </c>
      <c r="P414" s="1">
        <v>0.49030190000000001</v>
      </c>
      <c r="Q414" s="4">
        <v>0</v>
      </c>
      <c r="R414" s="13">
        <v>0</v>
      </c>
      <c r="S414" s="14">
        <v>0</v>
      </c>
    </row>
    <row r="415" spans="1:19">
      <c r="A415" s="1">
        <v>1</v>
      </c>
      <c r="B415" s="1" t="s">
        <v>425</v>
      </c>
      <c r="C415" s="1">
        <v>6.1400629999999998E-2</v>
      </c>
      <c r="D415" s="1">
        <v>0.78192455000000005</v>
      </c>
      <c r="E415" s="1">
        <v>0.53679966999999995</v>
      </c>
      <c r="F415" s="1">
        <v>0.66890717</v>
      </c>
      <c r="G415" s="1">
        <v>0.27060276</v>
      </c>
      <c r="H415" s="1">
        <v>0.72939723999999995</v>
      </c>
      <c r="I415" s="1">
        <v>6.0194039999999997E-2</v>
      </c>
      <c r="J415" s="1">
        <v>0.93980589999999997</v>
      </c>
      <c r="K415" s="1">
        <v>0.22942763999999999</v>
      </c>
      <c r="L415" s="1">
        <v>0.34291392999999998</v>
      </c>
      <c r="M415" s="1">
        <v>0.10259899</v>
      </c>
      <c r="N415" s="1">
        <v>0.897401</v>
      </c>
      <c r="O415" s="1">
        <v>0.10925820999999999</v>
      </c>
      <c r="P415" s="1">
        <v>0.89074176999999999</v>
      </c>
      <c r="Q415" s="4">
        <v>1</v>
      </c>
      <c r="R415" s="14">
        <v>1</v>
      </c>
      <c r="S415" s="14">
        <v>1</v>
      </c>
    </row>
    <row r="416" spans="1:19">
      <c r="A416" s="1">
        <v>1</v>
      </c>
      <c r="B416" s="1" t="s">
        <v>426</v>
      </c>
      <c r="C416" s="1">
        <v>0.36846033</v>
      </c>
      <c r="D416" s="1">
        <v>0.67635440000000002</v>
      </c>
      <c r="E416" s="1">
        <v>0.67959829999999999</v>
      </c>
      <c r="F416" s="1">
        <v>0.42073166000000001</v>
      </c>
      <c r="G416" s="1">
        <v>0.85581326000000002</v>
      </c>
      <c r="H416" s="1">
        <v>0.1441867</v>
      </c>
      <c r="I416" s="1">
        <v>0.72121584000000005</v>
      </c>
      <c r="J416" s="1">
        <v>0.27878413000000002</v>
      </c>
      <c r="K416" s="1">
        <v>0.13937316999999999</v>
      </c>
      <c r="L416" s="1">
        <v>0.29617915</v>
      </c>
      <c r="M416" s="1">
        <v>8.7401530000000005E-2</v>
      </c>
      <c r="N416" s="1">
        <v>0.91259849999999998</v>
      </c>
      <c r="O416" s="1">
        <v>0.15161754</v>
      </c>
      <c r="P416" s="1">
        <v>0.84838250000000004</v>
      </c>
      <c r="Q416" s="4">
        <v>1</v>
      </c>
      <c r="R416" s="14">
        <v>1</v>
      </c>
      <c r="S416" s="14">
        <v>1</v>
      </c>
    </row>
    <row r="417" spans="1:19">
      <c r="A417" s="1">
        <v>1</v>
      </c>
      <c r="B417" s="1" t="s">
        <v>427</v>
      </c>
      <c r="C417" s="1">
        <v>0.41925952</v>
      </c>
      <c r="D417" s="1">
        <v>0.66592764999999998</v>
      </c>
      <c r="E417" s="1">
        <v>0.64517420000000003</v>
      </c>
      <c r="F417" s="1">
        <v>0.49549559999999998</v>
      </c>
      <c r="G417" s="1">
        <v>0.37427824999999998</v>
      </c>
      <c r="H417" s="1">
        <v>0.62572170000000005</v>
      </c>
      <c r="I417" s="1">
        <v>0.47078019999999998</v>
      </c>
      <c r="J417" s="1">
        <v>0.52921980000000002</v>
      </c>
      <c r="K417" s="1">
        <v>0.16354173</v>
      </c>
      <c r="L417" s="1">
        <v>0.16317967999999999</v>
      </c>
      <c r="M417" s="1">
        <v>0.29453504000000003</v>
      </c>
      <c r="N417" s="1">
        <v>0.70546500000000001</v>
      </c>
      <c r="O417" s="1">
        <v>0.19024917</v>
      </c>
      <c r="P417" s="1">
        <v>0.80975079999999999</v>
      </c>
      <c r="Q417" s="4">
        <v>1</v>
      </c>
      <c r="R417" s="14">
        <v>1</v>
      </c>
      <c r="S417" s="14">
        <v>1</v>
      </c>
    </row>
    <row r="418" spans="1:19">
      <c r="A418" s="1">
        <v>1</v>
      </c>
      <c r="B418" s="1" t="s">
        <v>428</v>
      </c>
      <c r="C418" s="1">
        <v>0.20990803999999999</v>
      </c>
      <c r="D418" s="1">
        <v>0.76516265000000006</v>
      </c>
      <c r="E418" s="1">
        <v>0.23567062999999999</v>
      </c>
      <c r="F418" s="1">
        <v>0.76417420000000003</v>
      </c>
      <c r="G418" s="1">
        <v>0.19733818</v>
      </c>
      <c r="H418" s="1">
        <v>0.80266190000000004</v>
      </c>
      <c r="I418" s="1">
        <v>0.12641536</v>
      </c>
      <c r="J418" s="1">
        <v>0.87358460000000004</v>
      </c>
      <c r="K418" s="1">
        <v>0.29764897000000001</v>
      </c>
      <c r="L418" s="1">
        <v>0.37969397999999999</v>
      </c>
      <c r="M418" s="1">
        <v>0.15551169000000001</v>
      </c>
      <c r="N418" s="1">
        <v>0.84448829999999997</v>
      </c>
      <c r="O418" s="1">
        <v>0.24625712999999999</v>
      </c>
      <c r="P418" s="1">
        <v>0.75374289999999999</v>
      </c>
      <c r="Q418" s="4">
        <v>0</v>
      </c>
      <c r="R418" s="14">
        <v>1</v>
      </c>
      <c r="S418" s="14">
        <v>1</v>
      </c>
    </row>
    <row r="419" spans="1:19">
      <c r="A419" s="1">
        <v>1</v>
      </c>
      <c r="B419" s="1" t="s">
        <v>429</v>
      </c>
      <c r="C419" s="1">
        <v>8.0201999999999999E-3</v>
      </c>
      <c r="D419" s="1">
        <v>0.8042975</v>
      </c>
      <c r="E419" s="1">
        <v>9.9719340000000004E-2</v>
      </c>
      <c r="F419" s="1">
        <v>0.76842319999999997</v>
      </c>
      <c r="G419" s="1">
        <v>2.2833927E-2</v>
      </c>
      <c r="H419" s="1">
        <v>0.97716605999999995</v>
      </c>
      <c r="I419" s="1">
        <v>1.5128767E-2</v>
      </c>
      <c r="J419" s="1">
        <v>0.98487119999999995</v>
      </c>
      <c r="K419" s="1">
        <v>0.10266386</v>
      </c>
      <c r="L419" s="1">
        <v>0.46179347999999998</v>
      </c>
      <c r="M419" s="1">
        <v>0.15571151999999999</v>
      </c>
      <c r="N419" s="1">
        <v>0.84428846999999996</v>
      </c>
      <c r="O419" s="1">
        <v>0.10149289</v>
      </c>
      <c r="P419" s="1">
        <v>0.8985071</v>
      </c>
      <c r="Q419" s="4">
        <v>1</v>
      </c>
      <c r="R419" s="14">
        <v>1</v>
      </c>
      <c r="S419" s="14">
        <v>1</v>
      </c>
    </row>
    <row r="420" spans="1:19">
      <c r="A420" s="1">
        <v>1</v>
      </c>
      <c r="B420" s="1" t="s">
        <v>430</v>
      </c>
      <c r="C420" s="1">
        <v>3.3791559999999998E-2</v>
      </c>
      <c r="D420" s="1">
        <v>0.79621399999999998</v>
      </c>
      <c r="E420" s="1">
        <v>2.9469677999999999E-2</v>
      </c>
      <c r="F420" s="1">
        <v>0.80054164000000005</v>
      </c>
      <c r="G420" s="1">
        <v>7.0389560000000004E-2</v>
      </c>
      <c r="H420" s="1">
        <v>0.92961050000000001</v>
      </c>
      <c r="I420" s="1">
        <v>6.4842375000000001E-3</v>
      </c>
      <c r="J420" s="1">
        <v>0.99351573000000004</v>
      </c>
      <c r="K420" s="1">
        <v>0.15697089</v>
      </c>
      <c r="L420" s="1">
        <v>0.33121905000000001</v>
      </c>
      <c r="M420" s="1">
        <v>7.6113410000000006E-2</v>
      </c>
      <c r="N420" s="1">
        <v>0.92388665999999997</v>
      </c>
      <c r="O420" s="1">
        <v>2.8879123E-2</v>
      </c>
      <c r="P420" s="1">
        <v>0.97112083000000005</v>
      </c>
      <c r="Q420" s="4">
        <v>1</v>
      </c>
      <c r="R420" s="14">
        <v>1</v>
      </c>
      <c r="S420" s="14">
        <v>1</v>
      </c>
    </row>
    <row r="421" spans="1:19">
      <c r="A421" s="1">
        <v>1</v>
      </c>
      <c r="B421" s="1" t="s">
        <v>431</v>
      </c>
      <c r="C421" s="1">
        <v>1.11138495E-2</v>
      </c>
      <c r="D421" s="1">
        <v>0.80505979999999999</v>
      </c>
      <c r="E421" s="1">
        <v>9.6607280000000004E-2</v>
      </c>
      <c r="F421" s="1">
        <v>0.78140955999999995</v>
      </c>
      <c r="G421" s="1">
        <v>3.6941114999999997E-2</v>
      </c>
      <c r="H421" s="1">
        <v>0.96305890000000005</v>
      </c>
      <c r="I421" s="1">
        <v>3.2464508000000003E-2</v>
      </c>
      <c r="J421" s="1">
        <v>0.96753549999999999</v>
      </c>
      <c r="K421" s="1">
        <v>7.8408900000000004E-2</v>
      </c>
      <c r="L421" s="1">
        <v>0.48376544999999999</v>
      </c>
      <c r="M421" s="1">
        <v>0.116524294</v>
      </c>
      <c r="N421" s="1">
        <v>0.88347569999999997</v>
      </c>
      <c r="O421" s="1">
        <v>0.10093491</v>
      </c>
      <c r="P421" s="1">
        <v>0.89906509999999995</v>
      </c>
      <c r="Q421" s="4">
        <v>1</v>
      </c>
      <c r="R421" s="14">
        <v>1</v>
      </c>
      <c r="S421" s="14">
        <v>1</v>
      </c>
    </row>
    <row r="422" spans="1:19">
      <c r="A422" s="1">
        <v>1</v>
      </c>
      <c r="B422" s="1" t="s">
        <v>432</v>
      </c>
      <c r="C422" s="1">
        <v>0.47571623000000002</v>
      </c>
      <c r="D422" s="1">
        <v>0.65786610000000001</v>
      </c>
      <c r="E422" s="1">
        <v>0.69537705000000005</v>
      </c>
      <c r="F422" s="1">
        <v>0.45448378</v>
      </c>
      <c r="G422" s="1">
        <v>0.76030439999999999</v>
      </c>
      <c r="H422" s="1">
        <v>0.23969562</v>
      </c>
      <c r="I422" s="1">
        <v>0.78801893999999995</v>
      </c>
      <c r="J422" s="1">
        <v>0.21198106999999999</v>
      </c>
      <c r="K422" s="1">
        <v>0.24290168000000001</v>
      </c>
      <c r="L422" s="1">
        <v>0.26902690000000001</v>
      </c>
      <c r="M422" s="1">
        <v>0.15491812999999999</v>
      </c>
      <c r="N422" s="1">
        <v>0.84508187000000001</v>
      </c>
      <c r="O422" s="1">
        <v>4.7567884999999997E-2</v>
      </c>
      <c r="P422" s="1">
        <v>0.95243215999999997</v>
      </c>
      <c r="Q422" s="4">
        <v>1</v>
      </c>
      <c r="R422" s="14">
        <v>1</v>
      </c>
      <c r="S422" s="14">
        <v>1</v>
      </c>
    </row>
    <row r="423" spans="1:19">
      <c r="A423" s="1">
        <v>1</v>
      </c>
      <c r="B423" s="1" t="s">
        <v>433</v>
      </c>
      <c r="C423" s="1">
        <v>3.0212842E-2</v>
      </c>
      <c r="D423" s="1">
        <v>0.8120058</v>
      </c>
      <c r="E423" s="1">
        <v>0.122581564</v>
      </c>
      <c r="F423" s="1">
        <v>0.77920305999999995</v>
      </c>
      <c r="G423" s="1">
        <v>6.6770399999999994E-2</v>
      </c>
      <c r="H423" s="1">
        <v>0.93322959999999999</v>
      </c>
      <c r="I423" s="1">
        <v>1.6887101E-3</v>
      </c>
      <c r="J423" s="1">
        <v>0.99831130000000001</v>
      </c>
      <c r="K423" s="1">
        <v>3.0265932999999998E-2</v>
      </c>
      <c r="L423" s="1">
        <v>0.33653376000000002</v>
      </c>
      <c r="M423" s="1">
        <v>3.5986215000000002E-2</v>
      </c>
      <c r="N423" s="1">
        <v>0.96401380000000003</v>
      </c>
      <c r="O423" s="1">
        <v>1.0872437E-2</v>
      </c>
      <c r="P423" s="1">
        <v>0.9891276</v>
      </c>
      <c r="Q423" s="4">
        <v>1</v>
      </c>
      <c r="R423" s="14">
        <v>1</v>
      </c>
      <c r="S423" s="14">
        <v>1</v>
      </c>
    </row>
    <row r="424" spans="1:19">
      <c r="A424" s="1">
        <v>1</v>
      </c>
      <c r="B424" s="1" t="s">
        <v>434</v>
      </c>
      <c r="C424" s="1">
        <v>0.80114746000000003</v>
      </c>
      <c r="D424" s="1">
        <v>0.116890356</v>
      </c>
      <c r="E424" s="1">
        <v>0.79538184000000001</v>
      </c>
      <c r="F424" s="1">
        <v>0.15289478000000001</v>
      </c>
      <c r="G424" s="1">
        <v>0.87859105999999998</v>
      </c>
      <c r="H424" s="1">
        <v>0.12140890999999999</v>
      </c>
      <c r="I424" s="1">
        <v>0.84395039999999999</v>
      </c>
      <c r="J424" s="1">
        <v>0.15604961000000001</v>
      </c>
      <c r="K424" s="1">
        <v>0.2076585</v>
      </c>
      <c r="L424" s="1">
        <v>0.1020543</v>
      </c>
      <c r="M424" s="1">
        <v>0.60386629999999997</v>
      </c>
      <c r="N424" s="1">
        <v>0.39613372000000002</v>
      </c>
      <c r="O424" s="1">
        <v>0.38622709999999999</v>
      </c>
      <c r="P424" s="1">
        <v>0.61377289999999995</v>
      </c>
      <c r="Q424" s="4">
        <v>0</v>
      </c>
      <c r="R424" s="14">
        <v>1</v>
      </c>
      <c r="S424" s="14">
        <v>1</v>
      </c>
    </row>
    <row r="425" spans="1:19">
      <c r="A425" s="1">
        <v>1</v>
      </c>
      <c r="B425" s="1" t="s">
        <v>435</v>
      </c>
      <c r="C425" s="1">
        <v>0.37140741999999999</v>
      </c>
      <c r="D425" s="1">
        <v>0.67200400000000005</v>
      </c>
      <c r="E425" s="1">
        <v>0.30216977</v>
      </c>
      <c r="F425" s="1">
        <v>0.76705520000000005</v>
      </c>
      <c r="G425" s="1">
        <v>0.17456283</v>
      </c>
      <c r="H425" s="1">
        <v>0.82543719999999998</v>
      </c>
      <c r="I425" s="1">
        <v>6.4111890000000005E-2</v>
      </c>
      <c r="J425" s="1">
        <v>0.93588819999999995</v>
      </c>
      <c r="K425" s="1">
        <v>0.22254278</v>
      </c>
      <c r="L425" s="1">
        <v>0.31207496000000001</v>
      </c>
      <c r="M425" s="1">
        <v>0.26317360000000001</v>
      </c>
      <c r="N425" s="1">
        <v>0.73682639999999999</v>
      </c>
      <c r="O425" s="1">
        <v>9.8264099999999993E-2</v>
      </c>
      <c r="P425" s="1">
        <v>0.90173583999999996</v>
      </c>
      <c r="Q425" s="4">
        <v>1</v>
      </c>
      <c r="R425" s="14">
        <v>1</v>
      </c>
      <c r="S425" s="14">
        <v>1</v>
      </c>
    </row>
    <row r="426" spans="1:19">
      <c r="A426" s="1">
        <v>1</v>
      </c>
      <c r="B426" s="1" t="s">
        <v>436</v>
      </c>
      <c r="C426" s="1">
        <v>1.0314223000000001E-2</v>
      </c>
      <c r="D426" s="1">
        <v>0.78114665000000005</v>
      </c>
      <c r="E426" s="1">
        <v>8.8126119999999992E-3</v>
      </c>
      <c r="F426" s="1">
        <v>0.79208343999999997</v>
      </c>
      <c r="G426" s="1">
        <v>2.3308907E-2</v>
      </c>
      <c r="H426" s="1">
        <v>0.97669106999999999</v>
      </c>
      <c r="I426" s="1">
        <v>3.5463344000000001E-2</v>
      </c>
      <c r="J426" s="1">
        <v>0.96453666999999998</v>
      </c>
      <c r="K426" s="1">
        <v>0.21634091</v>
      </c>
      <c r="L426" s="1">
        <v>0.33519757</v>
      </c>
      <c r="M426" s="1">
        <v>0.54623089999999996</v>
      </c>
      <c r="N426" s="1">
        <v>0.45376906</v>
      </c>
      <c r="O426" s="1">
        <v>0.3574561</v>
      </c>
      <c r="P426" s="1">
        <v>0.64254385000000003</v>
      </c>
      <c r="Q426" s="4">
        <v>1</v>
      </c>
      <c r="R426" s="14">
        <v>1</v>
      </c>
      <c r="S426" s="14">
        <v>1</v>
      </c>
    </row>
    <row r="427" spans="1:19">
      <c r="A427" s="7">
        <v>1</v>
      </c>
      <c r="B427" s="7" t="s">
        <v>437</v>
      </c>
      <c r="C427" s="7">
        <v>0.45561633000000001</v>
      </c>
      <c r="D427" s="7">
        <v>0.68256885</v>
      </c>
      <c r="E427" s="7">
        <v>0.56343310000000002</v>
      </c>
      <c r="F427" s="7">
        <v>0.64904019999999996</v>
      </c>
      <c r="G427" s="7">
        <v>0.30885717000000001</v>
      </c>
      <c r="H427" s="7">
        <v>0.69114286000000003</v>
      </c>
      <c r="I427" s="7">
        <v>0.32117312999999997</v>
      </c>
      <c r="J427" s="7">
        <v>0.67882686999999997</v>
      </c>
      <c r="K427" s="7">
        <v>0.11056183999999999</v>
      </c>
      <c r="L427" s="7">
        <v>0.31862035</v>
      </c>
      <c r="M427" s="7">
        <v>0.29654356999999998</v>
      </c>
      <c r="N427" s="7">
        <v>0.70345639999999998</v>
      </c>
      <c r="O427" s="7">
        <v>0.19940840000000001</v>
      </c>
      <c r="P427" s="7">
        <v>0.80059164999999999</v>
      </c>
      <c r="Q427" s="8">
        <v>1</v>
      </c>
      <c r="R427" s="16">
        <v>1</v>
      </c>
      <c r="S427" s="16">
        <v>1</v>
      </c>
    </row>
    <row r="428" spans="1:19">
      <c r="A428" s="1">
        <v>1</v>
      </c>
      <c r="B428" s="1" t="s">
        <v>438</v>
      </c>
      <c r="C428" s="1">
        <v>2.5562814E-2</v>
      </c>
      <c r="D428" s="1">
        <v>0.80460259999999995</v>
      </c>
      <c r="E428" s="1">
        <v>0.10300926000000001</v>
      </c>
      <c r="F428" s="1">
        <v>0.78668890000000002</v>
      </c>
      <c r="G428" s="1">
        <v>1.7869882E-2</v>
      </c>
      <c r="H428" s="1">
        <v>0.98213010000000001</v>
      </c>
      <c r="I428" s="1">
        <v>9.316352E-3</v>
      </c>
      <c r="J428" s="1">
        <v>0.99068369999999994</v>
      </c>
      <c r="K428" s="1">
        <v>0.21043239999999999</v>
      </c>
      <c r="L428" s="1">
        <v>0.33124575000000001</v>
      </c>
      <c r="M428" s="1">
        <v>0.10980055499999999</v>
      </c>
      <c r="N428" s="1">
        <v>0.89019939999999997</v>
      </c>
      <c r="O428" s="1">
        <v>4.7050519999999998E-2</v>
      </c>
      <c r="P428" s="1">
        <v>0.95294939999999995</v>
      </c>
      <c r="Q428" s="4">
        <v>1</v>
      </c>
      <c r="R428" s="14">
        <v>1</v>
      </c>
      <c r="S428" s="14">
        <v>1</v>
      </c>
    </row>
    <row r="429" spans="1:19">
      <c r="A429" s="7">
        <v>1</v>
      </c>
      <c r="B429" s="7" t="s">
        <v>439</v>
      </c>
      <c r="C429" s="7">
        <v>1.4074585000000001E-2</v>
      </c>
      <c r="D429" s="7">
        <v>0.79995936000000001</v>
      </c>
      <c r="E429" s="7">
        <v>4.9002110000000001E-2</v>
      </c>
      <c r="F429" s="7">
        <v>0.77991730000000004</v>
      </c>
      <c r="G429" s="7">
        <v>8.9829820000000005E-2</v>
      </c>
      <c r="H429" s="7">
        <v>0.91017020000000004</v>
      </c>
      <c r="I429" s="7">
        <v>3.6929469999999999E-2</v>
      </c>
      <c r="J429" s="7">
        <v>0.96307050000000005</v>
      </c>
      <c r="K429" s="7">
        <v>1.2613575E-2</v>
      </c>
      <c r="L429" s="7">
        <v>0.45450773999999999</v>
      </c>
      <c r="M429" s="7">
        <v>8.4911399999999998E-2</v>
      </c>
      <c r="N429" s="7">
        <v>0.91508860000000003</v>
      </c>
      <c r="O429" s="7">
        <v>2.445541E-2</v>
      </c>
      <c r="P429" s="7">
        <v>0.97554450000000004</v>
      </c>
      <c r="Q429" s="8">
        <v>0</v>
      </c>
      <c r="R429" s="16">
        <v>1</v>
      </c>
      <c r="S429" s="16">
        <v>1</v>
      </c>
    </row>
    <row r="430" spans="1:19">
      <c r="A430" s="1">
        <v>1</v>
      </c>
      <c r="B430" s="1" t="s">
        <v>440</v>
      </c>
      <c r="C430" s="1">
        <v>1.9030834E-2</v>
      </c>
      <c r="D430" s="1">
        <v>0.81768739999999995</v>
      </c>
      <c r="E430" s="1">
        <v>3.8177404999999998E-2</v>
      </c>
      <c r="F430" s="1">
        <v>0.79417760000000004</v>
      </c>
      <c r="G430" s="1">
        <v>2.5886494999999999E-2</v>
      </c>
      <c r="H430" s="1">
        <v>0.97411349999999997</v>
      </c>
      <c r="I430" s="1">
        <v>4.0588109999999998E-3</v>
      </c>
      <c r="J430" s="1">
        <v>0.99594115999999999</v>
      </c>
      <c r="K430" s="1">
        <v>4.4513299999999999E-2</v>
      </c>
      <c r="L430" s="1">
        <v>0.46282450000000003</v>
      </c>
      <c r="M430" s="1">
        <v>8.0493309999999998E-2</v>
      </c>
      <c r="N430" s="1">
        <v>0.91950666999999997</v>
      </c>
      <c r="O430" s="1">
        <v>6.5692139999999996E-2</v>
      </c>
      <c r="P430" s="1">
        <v>0.93430780000000002</v>
      </c>
      <c r="Q430" s="4">
        <v>1</v>
      </c>
      <c r="R430" s="14">
        <v>1</v>
      </c>
      <c r="S430" s="14">
        <v>1</v>
      </c>
    </row>
    <row r="431" spans="1:19">
      <c r="A431" s="1">
        <v>1</v>
      </c>
      <c r="B431" s="1" t="s">
        <v>441</v>
      </c>
      <c r="C431" s="1">
        <v>6.5503809999999996E-2</v>
      </c>
      <c r="D431" s="1">
        <v>0.82304644999999999</v>
      </c>
      <c r="E431" s="1">
        <v>0.1121224</v>
      </c>
      <c r="F431" s="1">
        <v>0.78332685999999996</v>
      </c>
      <c r="G431" s="1">
        <v>0.2106644</v>
      </c>
      <c r="H431" s="1">
        <v>0.78933560000000003</v>
      </c>
      <c r="I431" s="1">
        <v>2.1328158999999999E-2</v>
      </c>
      <c r="J431" s="1">
        <v>0.97867179999999998</v>
      </c>
      <c r="K431" s="1">
        <v>4.0109970000000002E-2</v>
      </c>
      <c r="L431" s="1">
        <v>0.39246305999999997</v>
      </c>
      <c r="M431" s="1">
        <v>3.3836239999999997E-2</v>
      </c>
      <c r="N431" s="1">
        <v>0.96616380000000002</v>
      </c>
      <c r="O431" s="1">
        <v>1.8833840000000001E-2</v>
      </c>
      <c r="P431" s="1">
        <v>0.98116619999999999</v>
      </c>
      <c r="Q431" s="4">
        <v>1</v>
      </c>
      <c r="R431" s="14">
        <v>1</v>
      </c>
      <c r="S431" s="14">
        <v>1</v>
      </c>
    </row>
    <row r="432" spans="1:19">
      <c r="A432" s="7">
        <v>1</v>
      </c>
      <c r="B432" s="7" t="s">
        <v>442</v>
      </c>
      <c r="C432" s="7">
        <v>0.71576494000000002</v>
      </c>
      <c r="D432" s="7">
        <v>0.51542169999999998</v>
      </c>
      <c r="E432" s="7">
        <v>0.59166220000000003</v>
      </c>
      <c r="F432" s="7">
        <v>0.64092979999999999</v>
      </c>
      <c r="G432" s="7">
        <v>0.52524360000000003</v>
      </c>
      <c r="H432" s="7">
        <v>0.47475642000000001</v>
      </c>
      <c r="I432" s="7">
        <v>0.45201682999999998</v>
      </c>
      <c r="J432" s="7">
        <v>0.54798316999999996</v>
      </c>
      <c r="K432" s="7">
        <v>0.34620972999999999</v>
      </c>
      <c r="L432" s="7">
        <v>0.45073763</v>
      </c>
      <c r="M432" s="7">
        <v>0.28907161999999997</v>
      </c>
      <c r="N432" s="7">
        <v>0.71092840000000002</v>
      </c>
      <c r="O432" s="7">
        <v>9.3551040000000002E-2</v>
      </c>
      <c r="P432" s="7">
        <v>0.90644899999999995</v>
      </c>
      <c r="Q432" s="8">
        <v>0</v>
      </c>
      <c r="R432" s="9">
        <v>0</v>
      </c>
      <c r="S432" s="10">
        <v>1</v>
      </c>
    </row>
    <row r="433" spans="1:19">
      <c r="A433" s="1">
        <v>1</v>
      </c>
      <c r="B433" s="1" t="s">
        <v>443</v>
      </c>
      <c r="C433" s="1">
        <v>0.46648650000000003</v>
      </c>
      <c r="D433" s="1">
        <v>0.73291695000000001</v>
      </c>
      <c r="E433" s="1">
        <v>0.57598305000000005</v>
      </c>
      <c r="F433" s="1">
        <v>0.63719170000000003</v>
      </c>
      <c r="G433" s="1">
        <v>0.63020425999999996</v>
      </c>
      <c r="H433" s="1">
        <v>0.36979573999999998</v>
      </c>
      <c r="I433" s="1">
        <v>0.31747320000000001</v>
      </c>
      <c r="J433" s="1">
        <v>0.68252679999999999</v>
      </c>
      <c r="K433" s="1">
        <v>0.17335265999999999</v>
      </c>
      <c r="L433" s="1">
        <v>0.21790904</v>
      </c>
      <c r="M433" s="1">
        <v>0.45888263000000001</v>
      </c>
      <c r="N433" s="1">
        <v>0.54111737000000004</v>
      </c>
      <c r="O433" s="1">
        <v>0.47902574999999997</v>
      </c>
      <c r="P433" s="1">
        <v>0.52097420000000005</v>
      </c>
      <c r="Q433" s="4">
        <v>1</v>
      </c>
      <c r="R433" s="14">
        <v>1</v>
      </c>
      <c r="S433" s="14">
        <v>1</v>
      </c>
    </row>
    <row r="434" spans="1:19">
      <c r="A434" s="1">
        <v>1</v>
      </c>
      <c r="B434" s="1" t="s">
        <v>444</v>
      </c>
      <c r="C434" s="1">
        <v>0.4697655</v>
      </c>
      <c r="D434" s="1">
        <v>0.59835989999999994</v>
      </c>
      <c r="E434" s="1">
        <v>0.29510740000000002</v>
      </c>
      <c r="F434" s="1">
        <v>0.7628315</v>
      </c>
      <c r="G434" s="1">
        <v>0.21508447999999999</v>
      </c>
      <c r="H434" s="1">
        <v>0.78491549999999999</v>
      </c>
      <c r="I434" s="1">
        <v>0.45484449999999998</v>
      </c>
      <c r="J434" s="1">
        <v>0.54515550000000002</v>
      </c>
      <c r="K434" s="1">
        <v>0.15635413000000001</v>
      </c>
      <c r="L434" s="1">
        <v>0.1855783</v>
      </c>
      <c r="M434" s="1">
        <v>0.55818259999999997</v>
      </c>
      <c r="N434" s="1">
        <v>0.44181736999999999</v>
      </c>
      <c r="O434" s="1">
        <v>0.53312176</v>
      </c>
      <c r="P434" s="1">
        <v>0.46687824</v>
      </c>
      <c r="Q434" s="4">
        <v>1</v>
      </c>
      <c r="R434" s="14">
        <v>1</v>
      </c>
      <c r="S434" s="14">
        <v>1</v>
      </c>
    </row>
    <row r="435" spans="1:19">
      <c r="A435" s="1">
        <v>1</v>
      </c>
      <c r="B435" s="1" t="s">
        <v>445</v>
      </c>
      <c r="C435" s="1">
        <v>0.10800230500000001</v>
      </c>
      <c r="D435" s="1">
        <v>0.78351307000000003</v>
      </c>
      <c r="E435" s="1">
        <v>0.19092836999999999</v>
      </c>
      <c r="F435" s="1">
        <v>0.75719449999999999</v>
      </c>
      <c r="G435" s="1">
        <v>0.30950179999999999</v>
      </c>
      <c r="H435" s="1">
        <v>0.69049819999999995</v>
      </c>
      <c r="I435" s="1">
        <v>0.15563479999999999</v>
      </c>
      <c r="J435" s="1">
        <v>0.84436524000000002</v>
      </c>
      <c r="K435" s="1">
        <v>2.1231920000000001E-2</v>
      </c>
      <c r="L435" s="1">
        <v>0.33640015000000001</v>
      </c>
      <c r="M435" s="1">
        <v>6.2022973000000002E-2</v>
      </c>
      <c r="N435" s="1">
        <v>0.93797699999999995</v>
      </c>
      <c r="O435" s="1">
        <v>1.5689867E-2</v>
      </c>
      <c r="P435" s="1">
        <v>0.98431014999999999</v>
      </c>
      <c r="Q435" s="4">
        <v>1</v>
      </c>
      <c r="R435" s="13">
        <v>0</v>
      </c>
      <c r="S435" s="14">
        <v>1</v>
      </c>
    </row>
    <row r="436" spans="1:19">
      <c r="A436" s="1">
        <v>1</v>
      </c>
      <c r="B436" s="1" t="s">
        <v>446</v>
      </c>
      <c r="C436" s="1">
        <v>0.43201157000000001</v>
      </c>
      <c r="D436" s="1">
        <v>0.68611509999999998</v>
      </c>
      <c r="E436" s="1">
        <v>0.51705414000000005</v>
      </c>
      <c r="F436" s="1">
        <v>0.68098645999999996</v>
      </c>
      <c r="G436" s="1">
        <v>0.68342899999999995</v>
      </c>
      <c r="H436" s="1">
        <v>0.31657099999999999</v>
      </c>
      <c r="I436" s="1">
        <v>0.84319120000000003</v>
      </c>
      <c r="J436" s="1">
        <v>0.15680881999999999</v>
      </c>
      <c r="K436" s="1">
        <v>0.11010424000000001</v>
      </c>
      <c r="L436" s="1">
        <v>0.58440614000000002</v>
      </c>
      <c r="M436" s="1">
        <v>3.7522220000000002E-2</v>
      </c>
      <c r="N436" s="1">
        <v>0.96247780000000005</v>
      </c>
      <c r="O436" s="1">
        <v>2.7696742E-2</v>
      </c>
      <c r="P436" s="1">
        <v>0.97230333000000002</v>
      </c>
      <c r="Q436" s="4">
        <v>1</v>
      </c>
      <c r="R436" s="14">
        <v>1</v>
      </c>
      <c r="S436" s="14">
        <v>1</v>
      </c>
    </row>
    <row r="437" spans="1:19">
      <c r="A437" s="7">
        <v>1</v>
      </c>
      <c r="B437" s="7" t="s">
        <v>447</v>
      </c>
      <c r="C437" s="7">
        <v>0.21540861</v>
      </c>
      <c r="D437" s="7">
        <v>0.75686059999999999</v>
      </c>
      <c r="E437" s="7">
        <v>0.41112185000000001</v>
      </c>
      <c r="F437" s="7">
        <v>0.70542099999999996</v>
      </c>
      <c r="G437" s="7">
        <v>0.45771269999999997</v>
      </c>
      <c r="H437" s="7">
        <v>0.54228730000000003</v>
      </c>
      <c r="I437" s="7">
        <v>7.3107413999999996E-2</v>
      </c>
      <c r="J437" s="7">
        <v>0.92689264000000005</v>
      </c>
      <c r="K437" s="7">
        <v>0.19022252000000001</v>
      </c>
      <c r="L437" s="7">
        <v>0.28115245999999999</v>
      </c>
      <c r="M437" s="7">
        <v>9.9524639999999998E-2</v>
      </c>
      <c r="N437" s="7">
        <v>0.90047540000000004</v>
      </c>
      <c r="O437" s="7">
        <v>1.9971280000000001E-2</v>
      </c>
      <c r="P437" s="7">
        <v>0.98002875</v>
      </c>
      <c r="Q437" s="8">
        <v>1</v>
      </c>
      <c r="R437" s="16">
        <v>1</v>
      </c>
      <c r="S437" s="16">
        <v>1</v>
      </c>
    </row>
    <row r="438" spans="1:19">
      <c r="A438" s="1">
        <v>1</v>
      </c>
      <c r="B438" s="1" t="s">
        <v>448</v>
      </c>
      <c r="C438" s="1">
        <v>0.30058685000000002</v>
      </c>
      <c r="D438" s="1">
        <v>0.75873710000000005</v>
      </c>
      <c r="E438" s="1">
        <v>0.54589719999999997</v>
      </c>
      <c r="F438" s="1">
        <v>0.63049639999999996</v>
      </c>
      <c r="G438" s="1">
        <v>0.13680959000000001</v>
      </c>
      <c r="H438" s="1">
        <v>0.86319040000000002</v>
      </c>
      <c r="I438" s="1">
        <v>6.5991759999999997E-2</v>
      </c>
      <c r="J438" s="1">
        <v>0.93400824000000005</v>
      </c>
      <c r="K438" s="1">
        <v>7.1157819999999997E-2</v>
      </c>
      <c r="L438" s="1">
        <v>0.31398067000000002</v>
      </c>
      <c r="M438" s="1">
        <v>0.11244585999999999</v>
      </c>
      <c r="N438" s="1">
        <v>0.88755417000000003</v>
      </c>
      <c r="O438" s="1">
        <v>3.3563509999999998E-2</v>
      </c>
      <c r="P438" s="1">
        <v>0.96643650000000003</v>
      </c>
      <c r="Q438" s="4">
        <v>1</v>
      </c>
      <c r="R438" s="13">
        <v>0</v>
      </c>
      <c r="S438" s="14">
        <v>1</v>
      </c>
    </row>
    <row r="439" spans="1:19">
      <c r="A439" s="1">
        <v>1</v>
      </c>
      <c r="B439" s="1" t="s">
        <v>449</v>
      </c>
      <c r="C439" s="1">
        <v>3.5751487999999998E-2</v>
      </c>
      <c r="D439" s="1">
        <v>0.81582169999999998</v>
      </c>
      <c r="E439" s="1">
        <v>0.14055887</v>
      </c>
      <c r="F439" s="1">
        <v>0.76938002999999999</v>
      </c>
      <c r="G439" s="1">
        <v>0.11623733</v>
      </c>
      <c r="H439" s="1">
        <v>0.88376266000000003</v>
      </c>
      <c r="I439" s="1">
        <v>5.6706630000000001E-2</v>
      </c>
      <c r="J439" s="1">
        <v>0.94329339999999995</v>
      </c>
      <c r="K439" s="1">
        <v>8.9680864999999998E-2</v>
      </c>
      <c r="L439" s="1">
        <v>0.48272350000000003</v>
      </c>
      <c r="M439" s="1">
        <v>0.10685062400000001</v>
      </c>
      <c r="N439" s="1">
        <v>0.89314939999999998</v>
      </c>
      <c r="O439" s="1">
        <v>3.8914659999999997E-2</v>
      </c>
      <c r="P439" s="1">
        <v>0.96108539999999998</v>
      </c>
      <c r="Q439" s="4">
        <v>0</v>
      </c>
      <c r="R439" s="13">
        <v>1</v>
      </c>
      <c r="S439" s="14">
        <v>1</v>
      </c>
    </row>
    <row r="440" spans="1:19">
      <c r="A440" s="1">
        <v>1</v>
      </c>
      <c r="B440" s="1" t="s">
        <v>450</v>
      </c>
      <c r="C440" s="1">
        <v>0.53618259999999995</v>
      </c>
      <c r="D440" s="1">
        <v>0.64310290000000003</v>
      </c>
      <c r="E440" s="1">
        <v>0.54922663999999999</v>
      </c>
      <c r="F440" s="1">
        <v>0.65905119999999995</v>
      </c>
      <c r="G440" s="1">
        <v>0.2317179</v>
      </c>
      <c r="H440" s="1">
        <v>0.76828209999999997</v>
      </c>
      <c r="I440" s="1">
        <v>0.68392986</v>
      </c>
      <c r="J440" s="1">
        <v>0.31607010000000002</v>
      </c>
      <c r="K440" s="1">
        <v>0.27998446999999999</v>
      </c>
      <c r="L440" s="1">
        <v>0.31385921999999999</v>
      </c>
      <c r="M440" s="1">
        <v>0.41228920000000002</v>
      </c>
      <c r="N440" s="1">
        <v>0.58771079999999998</v>
      </c>
      <c r="O440" s="1">
        <v>0.39990779999999998</v>
      </c>
      <c r="P440" s="1">
        <v>0.60009219999999996</v>
      </c>
      <c r="Q440" s="4">
        <v>1</v>
      </c>
      <c r="R440" s="14">
        <v>1</v>
      </c>
      <c r="S440" s="14">
        <v>1</v>
      </c>
    </row>
    <row r="441" spans="1:19">
      <c r="A441" s="1">
        <v>1</v>
      </c>
      <c r="B441" s="1" t="s">
        <v>451</v>
      </c>
      <c r="C441" s="1">
        <v>9.7209333999999994E-2</v>
      </c>
      <c r="D441" s="1">
        <v>0.75739663999999995</v>
      </c>
      <c r="E441" s="1">
        <v>0.36100164000000001</v>
      </c>
      <c r="F441" s="1">
        <v>0.72356929999999997</v>
      </c>
      <c r="G441" s="1">
        <v>0.12365767</v>
      </c>
      <c r="H441" s="1">
        <v>0.87634230000000002</v>
      </c>
      <c r="I441" s="1">
        <v>0.20886942999999999</v>
      </c>
      <c r="J441" s="1">
        <v>0.79113060000000002</v>
      </c>
      <c r="K441" s="1">
        <v>0.14651310000000001</v>
      </c>
      <c r="L441" s="1">
        <v>0.24117421999999999</v>
      </c>
      <c r="M441" s="1">
        <v>0.40153748</v>
      </c>
      <c r="N441" s="1">
        <v>0.59846250000000001</v>
      </c>
      <c r="O441" s="1">
        <v>0.49444163000000002</v>
      </c>
      <c r="P441" s="1">
        <v>0.50555830000000002</v>
      </c>
      <c r="Q441" s="4">
        <v>1</v>
      </c>
      <c r="R441" s="14">
        <v>1</v>
      </c>
      <c r="S441" s="14">
        <v>1</v>
      </c>
    </row>
    <row r="442" spans="1:19">
      <c r="A442" s="1">
        <v>1</v>
      </c>
      <c r="B442" s="1" t="s">
        <v>452</v>
      </c>
      <c r="C442" s="1">
        <v>4.2001292000000003E-2</v>
      </c>
      <c r="D442" s="1">
        <v>0.81993729999999998</v>
      </c>
      <c r="E442" s="1">
        <v>9.6350329999999998E-2</v>
      </c>
      <c r="F442" s="1">
        <v>0.77403120000000003</v>
      </c>
      <c r="G442" s="1">
        <v>7.3493602999999998E-3</v>
      </c>
      <c r="H442" s="1">
        <v>0.9926507</v>
      </c>
      <c r="I442" s="1">
        <v>4.0151453999999996E-3</v>
      </c>
      <c r="J442" s="1">
        <v>0.99598489999999995</v>
      </c>
      <c r="K442" s="1">
        <v>2.7274664000000001E-2</v>
      </c>
      <c r="L442" s="1">
        <v>0.42493789999999998</v>
      </c>
      <c r="M442" s="1">
        <v>2.4428953999999999E-2</v>
      </c>
      <c r="N442" s="1">
        <v>0.97557110000000002</v>
      </c>
      <c r="O442" s="1">
        <v>7.9999819999999992E-3</v>
      </c>
      <c r="P442" s="1">
        <v>0.99199999999999999</v>
      </c>
      <c r="Q442" s="4">
        <v>1</v>
      </c>
      <c r="R442" s="14">
        <v>1</v>
      </c>
      <c r="S442" s="14">
        <v>1</v>
      </c>
    </row>
    <row r="443" spans="1:19">
      <c r="A443" s="1">
        <v>1</v>
      </c>
      <c r="B443" s="1" t="s">
        <v>453</v>
      </c>
      <c r="C443" s="1">
        <v>5.2149790000000001E-2</v>
      </c>
      <c r="D443" s="1">
        <v>0.80727789999999999</v>
      </c>
      <c r="E443" s="1">
        <v>0.37693887999999998</v>
      </c>
      <c r="F443" s="1">
        <v>0.73879760000000005</v>
      </c>
      <c r="G443" s="1">
        <v>0.25179255</v>
      </c>
      <c r="H443" s="1">
        <v>0.74820739999999997</v>
      </c>
      <c r="I443" s="1">
        <v>8.1967700000000008E-3</v>
      </c>
      <c r="J443" s="1">
        <v>0.9918032</v>
      </c>
      <c r="K443" s="1">
        <v>0.17415322</v>
      </c>
      <c r="L443" s="1">
        <v>0.44961208000000003</v>
      </c>
      <c r="M443" s="1">
        <v>5.701726E-2</v>
      </c>
      <c r="N443" s="1">
        <v>0.94298269999999995</v>
      </c>
      <c r="O443" s="1">
        <v>1.034113E-2</v>
      </c>
      <c r="P443" s="1">
        <v>0.98965890000000001</v>
      </c>
      <c r="Q443" s="4">
        <v>1</v>
      </c>
      <c r="R443" s="14">
        <v>1</v>
      </c>
      <c r="S443" s="14">
        <v>1</v>
      </c>
    </row>
    <row r="444" spans="1:19">
      <c r="A444" s="1">
        <v>1</v>
      </c>
      <c r="B444" s="1" t="s">
        <v>454</v>
      </c>
      <c r="C444" s="1">
        <v>0.73673200000000005</v>
      </c>
      <c r="D444" s="1">
        <v>0.379664</v>
      </c>
      <c r="E444" s="1">
        <v>0.7742386</v>
      </c>
      <c r="F444" s="1">
        <v>0.25493395000000002</v>
      </c>
      <c r="G444" s="1">
        <v>0.92802536000000002</v>
      </c>
      <c r="H444" s="1">
        <v>7.1974604999999997E-2</v>
      </c>
      <c r="I444" s="1">
        <v>0.71748555000000003</v>
      </c>
      <c r="J444" s="1">
        <v>0.28251444999999997</v>
      </c>
      <c r="K444" s="1">
        <v>0.14401259</v>
      </c>
      <c r="L444" s="1">
        <v>0.16041627999999999</v>
      </c>
      <c r="M444" s="1">
        <v>0.44238427000000002</v>
      </c>
      <c r="N444" s="1">
        <v>0.55761570000000005</v>
      </c>
      <c r="O444" s="1">
        <v>0.36756035999999997</v>
      </c>
      <c r="P444" s="1">
        <v>0.63243970000000005</v>
      </c>
      <c r="Q444" s="4">
        <v>1</v>
      </c>
      <c r="R444" s="14">
        <v>1</v>
      </c>
      <c r="S444" s="14">
        <v>1</v>
      </c>
    </row>
    <row r="445" spans="1:19">
      <c r="A445" s="1">
        <v>1</v>
      </c>
      <c r="B445" s="1" t="s">
        <v>455</v>
      </c>
      <c r="C445" s="1">
        <v>1.3557138999999999E-2</v>
      </c>
      <c r="D445" s="1">
        <v>0.79459475999999996</v>
      </c>
      <c r="E445" s="1">
        <v>0.28829696999999999</v>
      </c>
      <c r="F445" s="1">
        <v>0.7421316</v>
      </c>
      <c r="G445" s="1">
        <v>1.6325083000000001E-2</v>
      </c>
      <c r="H445" s="1">
        <v>0.98367494</v>
      </c>
      <c r="I445" s="1">
        <v>7.7390860000000001E-3</v>
      </c>
      <c r="J445" s="1">
        <v>0.99226099999999995</v>
      </c>
      <c r="K445" s="1">
        <v>0.15210028</v>
      </c>
      <c r="L445" s="1">
        <v>0.15785436</v>
      </c>
      <c r="M445" s="1">
        <v>0.20486298</v>
      </c>
      <c r="N445" s="1">
        <v>0.79513699999999998</v>
      </c>
      <c r="O445" s="1">
        <v>0.14871904</v>
      </c>
      <c r="P445" s="1">
        <v>0.85128099999999995</v>
      </c>
      <c r="Q445" s="4">
        <v>1</v>
      </c>
      <c r="R445" s="14">
        <v>1</v>
      </c>
      <c r="S445" s="14">
        <v>1</v>
      </c>
    </row>
    <row r="446" spans="1:19">
      <c r="A446" s="1">
        <v>1</v>
      </c>
      <c r="B446" s="1" t="s">
        <v>456</v>
      </c>
      <c r="C446" s="1">
        <v>0.12175915</v>
      </c>
      <c r="D446" s="1">
        <v>0.71171784000000005</v>
      </c>
      <c r="E446" s="1">
        <v>9.3054200000000004E-2</v>
      </c>
      <c r="F446" s="1">
        <v>0.78823142999999996</v>
      </c>
      <c r="G446" s="1">
        <v>8.7747420000000007E-2</v>
      </c>
      <c r="H446" s="1">
        <v>0.91225259999999997</v>
      </c>
      <c r="I446" s="1">
        <v>7.3126609999999998E-3</v>
      </c>
      <c r="J446" s="1">
        <v>0.99268734000000003</v>
      </c>
      <c r="K446" s="1">
        <v>1.6262103E-2</v>
      </c>
      <c r="L446" s="1">
        <v>0.59739536000000004</v>
      </c>
      <c r="M446" s="1">
        <v>0.10065967000000001</v>
      </c>
      <c r="N446" s="1">
        <v>0.89934033000000002</v>
      </c>
      <c r="O446" s="1">
        <v>5.3318266000000003E-2</v>
      </c>
      <c r="P446" s="1">
        <v>0.94668169999999996</v>
      </c>
      <c r="Q446" s="4">
        <v>1</v>
      </c>
      <c r="R446" s="14">
        <v>1</v>
      </c>
      <c r="S446" s="14">
        <v>1</v>
      </c>
    </row>
    <row r="447" spans="1:19">
      <c r="A447" s="1">
        <v>1</v>
      </c>
      <c r="B447" s="1" t="s">
        <v>457</v>
      </c>
      <c r="C447" s="1">
        <v>0.15091962</v>
      </c>
      <c r="D447" s="1">
        <v>0.73268056000000004</v>
      </c>
      <c r="E447" s="1">
        <v>0.12296643</v>
      </c>
      <c r="F447" s="1">
        <v>0.7608511</v>
      </c>
      <c r="G447" s="1">
        <v>0.20826563000000001</v>
      </c>
      <c r="H447" s="1">
        <v>0.79173439999999995</v>
      </c>
      <c r="I447" s="1">
        <v>8.7112510000000004E-2</v>
      </c>
      <c r="J447" s="1">
        <v>0.91288749999999996</v>
      </c>
      <c r="K447" s="1">
        <v>0.14277925999999999</v>
      </c>
      <c r="L447" s="1">
        <v>0.15918085000000001</v>
      </c>
      <c r="M447" s="1">
        <v>0.24737909999999999</v>
      </c>
      <c r="N447" s="1">
        <v>0.75262094000000002</v>
      </c>
      <c r="O447" s="1">
        <v>0.10611002999999999</v>
      </c>
      <c r="P447" s="1">
        <v>0.89388999999999996</v>
      </c>
      <c r="Q447" s="4">
        <v>0</v>
      </c>
      <c r="R447" s="14">
        <v>1</v>
      </c>
      <c r="S447" s="14">
        <v>1</v>
      </c>
    </row>
    <row r="448" spans="1:19">
      <c r="A448" s="1">
        <v>1</v>
      </c>
      <c r="B448" s="1" t="s">
        <v>458</v>
      </c>
      <c r="C448" s="1">
        <v>2.1411131999999999E-2</v>
      </c>
      <c r="D448" s="1">
        <v>0.80698199999999998</v>
      </c>
      <c r="E448" s="1">
        <v>0.19669405000000001</v>
      </c>
      <c r="F448" s="1">
        <v>0.78235909999999997</v>
      </c>
      <c r="G448" s="1">
        <v>0.20027450999999999</v>
      </c>
      <c r="H448" s="1">
        <v>0.79972540000000003</v>
      </c>
      <c r="I448" s="1">
        <v>2.5835257E-2</v>
      </c>
      <c r="J448" s="1">
        <v>0.97416480000000005</v>
      </c>
      <c r="K448" s="1">
        <v>0.24968277999999999</v>
      </c>
      <c r="L448" s="1">
        <v>0.25660682000000001</v>
      </c>
      <c r="M448" s="1">
        <v>0.2709511</v>
      </c>
      <c r="N448" s="1">
        <v>0.7290489</v>
      </c>
      <c r="O448" s="1">
        <v>8.8082369999999993E-2</v>
      </c>
      <c r="P448" s="1">
        <v>0.91191759999999999</v>
      </c>
      <c r="Q448" s="4">
        <v>1</v>
      </c>
      <c r="R448" s="13">
        <v>1</v>
      </c>
      <c r="S448" s="14">
        <v>1</v>
      </c>
    </row>
    <row r="449" spans="1:19">
      <c r="A449" s="1">
        <v>1</v>
      </c>
      <c r="B449" s="1" t="s">
        <v>459</v>
      </c>
      <c r="C449" s="1">
        <v>8.0786320000000005E-3</v>
      </c>
      <c r="D449" s="1">
        <v>0.80185169999999995</v>
      </c>
      <c r="E449" s="1">
        <v>0.27497612999999999</v>
      </c>
      <c r="F449" s="1">
        <v>0.75759659999999995</v>
      </c>
      <c r="G449" s="1">
        <v>2.8211841000000001E-2</v>
      </c>
      <c r="H449" s="1">
        <v>0.97178819999999999</v>
      </c>
      <c r="I449" s="1">
        <v>1.0036237999999999E-2</v>
      </c>
      <c r="J449" s="1">
        <v>0.9899637</v>
      </c>
      <c r="K449" s="1">
        <v>0.14717288000000001</v>
      </c>
      <c r="L449" s="1">
        <v>0.48912214999999998</v>
      </c>
      <c r="M449" s="1">
        <v>4.3644346000000001E-2</v>
      </c>
      <c r="N449" s="1">
        <v>0.95635570000000003</v>
      </c>
      <c r="O449" s="1">
        <v>1.7484309999999999E-2</v>
      </c>
      <c r="P449" s="1">
        <v>0.98251569999999999</v>
      </c>
      <c r="Q449" s="4">
        <v>1</v>
      </c>
      <c r="R449" s="14">
        <v>1</v>
      </c>
      <c r="S449" s="14">
        <v>1</v>
      </c>
    </row>
    <row r="450" spans="1:19">
      <c r="A450" s="1">
        <v>1</v>
      </c>
      <c r="B450" s="1" t="s">
        <v>460</v>
      </c>
      <c r="C450" s="1">
        <v>0.30775476000000002</v>
      </c>
      <c r="D450" s="1">
        <v>0.72901800000000005</v>
      </c>
      <c r="E450" s="1">
        <v>0.24059963000000001</v>
      </c>
      <c r="F450" s="1">
        <v>0.74526959999999998</v>
      </c>
      <c r="G450" s="1">
        <v>0.11101154000000001</v>
      </c>
      <c r="H450" s="1">
        <v>0.88898843999999999</v>
      </c>
      <c r="I450" s="1">
        <v>2.4971732999999999E-2</v>
      </c>
      <c r="J450" s="1">
        <v>0.97502829999999996</v>
      </c>
      <c r="K450" s="1">
        <v>6.9033473999999997E-2</v>
      </c>
      <c r="L450" s="1">
        <v>0.54437869999999999</v>
      </c>
      <c r="M450" s="1">
        <v>5.8421253999999999E-2</v>
      </c>
      <c r="N450" s="1">
        <v>0.94157875000000002</v>
      </c>
      <c r="O450" s="1">
        <v>1.8163881999999999E-2</v>
      </c>
      <c r="P450" s="1">
        <v>0.98183609999999999</v>
      </c>
      <c r="Q450" s="4">
        <v>0</v>
      </c>
      <c r="R450" s="13">
        <v>0</v>
      </c>
      <c r="S450" s="14">
        <v>0</v>
      </c>
    </row>
    <row r="451" spans="1:19">
      <c r="A451" s="1">
        <v>1</v>
      </c>
      <c r="B451" s="1" t="s">
        <v>461</v>
      </c>
      <c r="C451" s="1">
        <v>0.108604714</v>
      </c>
      <c r="D451" s="1">
        <v>0.74387263999999997</v>
      </c>
      <c r="E451" s="1">
        <v>0.24930168999999999</v>
      </c>
      <c r="F451" s="1">
        <v>0.74483067000000003</v>
      </c>
      <c r="G451" s="1">
        <v>9.6387713999999999E-2</v>
      </c>
      <c r="H451" s="1">
        <v>0.90361230000000003</v>
      </c>
      <c r="I451" s="1">
        <v>4.3891903000000003E-2</v>
      </c>
      <c r="J451" s="1">
        <v>0.95610803</v>
      </c>
      <c r="K451" s="1">
        <v>8.2662343999999999E-2</v>
      </c>
      <c r="L451" s="1">
        <v>0.33819112000000001</v>
      </c>
      <c r="M451" s="1">
        <v>0.14493500000000001</v>
      </c>
      <c r="N451" s="1">
        <v>0.85506499999999996</v>
      </c>
      <c r="O451" s="1">
        <v>9.4559799999999999E-2</v>
      </c>
      <c r="P451" s="1">
        <v>0.90544015</v>
      </c>
      <c r="Q451" s="4">
        <v>1</v>
      </c>
      <c r="R451" s="14">
        <v>1</v>
      </c>
      <c r="S451" s="14">
        <v>1</v>
      </c>
    </row>
    <row r="452" spans="1:19">
      <c r="A452" s="1">
        <v>1</v>
      </c>
      <c r="B452" s="1" t="s">
        <v>462</v>
      </c>
      <c r="C452" s="1">
        <v>0.19751737999999999</v>
      </c>
      <c r="D452" s="1">
        <v>0.63583780000000001</v>
      </c>
      <c r="E452" s="1">
        <v>0.46829385000000001</v>
      </c>
      <c r="F452" s="1">
        <v>0.64226925000000001</v>
      </c>
      <c r="G452" s="1">
        <v>0.55373910000000004</v>
      </c>
      <c r="H452" s="1">
        <v>0.44626086999999998</v>
      </c>
      <c r="I452" s="1">
        <v>5.7625323999999999E-2</v>
      </c>
      <c r="J452" s="1">
        <v>0.94237464999999998</v>
      </c>
      <c r="K452" s="1">
        <v>8.9340866000000005E-2</v>
      </c>
      <c r="L452" s="1">
        <v>0.5169608</v>
      </c>
      <c r="M452" s="1">
        <v>2.1750728E-2</v>
      </c>
      <c r="N452" s="1">
        <v>0.97824929999999999</v>
      </c>
      <c r="O452" s="1">
        <v>9.8802569999999999E-3</v>
      </c>
      <c r="P452" s="1">
        <v>0.99011970000000005</v>
      </c>
      <c r="Q452" s="4">
        <v>1</v>
      </c>
      <c r="R452" s="14">
        <v>1</v>
      </c>
      <c r="S452" s="14">
        <v>1</v>
      </c>
    </row>
    <row r="453" spans="1:19">
      <c r="A453" s="1">
        <v>1</v>
      </c>
      <c r="B453" s="1" t="s">
        <v>463</v>
      </c>
      <c r="C453" s="1">
        <v>0.55996310000000005</v>
      </c>
      <c r="D453" s="1">
        <v>0.70101124000000004</v>
      </c>
      <c r="E453" s="1">
        <v>0.74387789999999998</v>
      </c>
      <c r="F453" s="1">
        <v>0.29717719999999997</v>
      </c>
      <c r="G453" s="1">
        <v>0.79394144</v>
      </c>
      <c r="H453" s="1">
        <v>0.20605860000000001</v>
      </c>
      <c r="I453" s="1">
        <v>0.17097117000000001</v>
      </c>
      <c r="J453" s="1">
        <v>0.82902883999999999</v>
      </c>
      <c r="K453" s="1">
        <v>0.34643316000000002</v>
      </c>
      <c r="L453" s="1">
        <v>0.10070171</v>
      </c>
      <c r="M453" s="1">
        <v>0.29018002999999998</v>
      </c>
      <c r="N453" s="1">
        <v>0.70982000000000001</v>
      </c>
      <c r="O453" s="1">
        <v>0.18202554000000001</v>
      </c>
      <c r="P453" s="1">
        <v>0.81797445000000002</v>
      </c>
      <c r="Q453" s="4">
        <v>1</v>
      </c>
      <c r="R453" s="14">
        <v>1</v>
      </c>
      <c r="S453" s="14">
        <v>1</v>
      </c>
    </row>
    <row r="454" spans="1:19">
      <c r="A454" s="1">
        <v>1</v>
      </c>
      <c r="B454" s="1" t="s">
        <v>464</v>
      </c>
      <c r="C454" s="1">
        <v>2.5000374999999998E-2</v>
      </c>
      <c r="D454" s="1">
        <v>0.82038909999999998</v>
      </c>
      <c r="E454" s="1">
        <v>0.12522915000000001</v>
      </c>
      <c r="F454" s="1">
        <v>0.7903791</v>
      </c>
      <c r="G454" s="1">
        <v>0.14293648</v>
      </c>
      <c r="H454" s="1">
        <v>0.85706353000000002</v>
      </c>
      <c r="I454" s="1">
        <v>5.0362740000000003E-3</v>
      </c>
      <c r="J454" s="1">
        <v>0.99496377000000003</v>
      </c>
      <c r="K454" s="1">
        <v>6.0924113000000002E-2</v>
      </c>
      <c r="L454" s="1">
        <v>0.43477391999999998</v>
      </c>
      <c r="M454" s="1">
        <v>2.3054926E-2</v>
      </c>
      <c r="N454" s="1">
        <v>0.97694504000000004</v>
      </c>
      <c r="O454" s="1">
        <v>1.9399649000000001E-2</v>
      </c>
      <c r="P454" s="1">
        <v>0.98060029999999998</v>
      </c>
      <c r="Q454" s="4">
        <v>1</v>
      </c>
      <c r="R454" s="14">
        <v>1</v>
      </c>
      <c r="S454" s="14">
        <v>1</v>
      </c>
    </row>
    <row r="455" spans="1:19">
      <c r="A455" s="1">
        <v>1</v>
      </c>
      <c r="B455" s="1" t="s">
        <v>465</v>
      </c>
      <c r="C455" s="1">
        <v>1.1193590999999999E-2</v>
      </c>
      <c r="D455" s="1">
        <v>0.78244789999999997</v>
      </c>
      <c r="E455" s="1">
        <v>0.21084612999999999</v>
      </c>
      <c r="F455" s="1">
        <v>0.77117705000000003</v>
      </c>
      <c r="G455" s="1">
        <v>6.1173180000000001E-2</v>
      </c>
      <c r="H455" s="1">
        <v>0.93882679999999996</v>
      </c>
      <c r="I455" s="1">
        <v>2.2183399999999999E-2</v>
      </c>
      <c r="J455" s="1">
        <v>0.97781649999999998</v>
      </c>
      <c r="K455" s="1">
        <v>0.28386319999999998</v>
      </c>
      <c r="L455" s="1">
        <v>0.36162697999999999</v>
      </c>
      <c r="M455" s="1">
        <v>5.2077707000000001E-2</v>
      </c>
      <c r="N455" s="1">
        <v>0.9479223</v>
      </c>
      <c r="O455" s="1">
        <v>2.4359614000000002E-2</v>
      </c>
      <c r="P455" s="1">
        <v>0.97564039999999996</v>
      </c>
      <c r="Q455" s="4">
        <v>1</v>
      </c>
      <c r="R455" s="14">
        <v>1</v>
      </c>
      <c r="S455" s="14">
        <v>1</v>
      </c>
    </row>
    <row r="456" spans="1:19">
      <c r="A456" s="1">
        <v>1</v>
      </c>
      <c r="B456" s="1" t="s">
        <v>466</v>
      </c>
      <c r="C456" s="1">
        <v>0.12059909000000001</v>
      </c>
      <c r="D456" s="1">
        <v>0.76551294000000003</v>
      </c>
      <c r="E456" s="1">
        <v>0.44567600000000002</v>
      </c>
      <c r="F456" s="1">
        <v>0.7132695</v>
      </c>
      <c r="G456" s="1">
        <v>0.16781719</v>
      </c>
      <c r="H456" s="1">
        <v>0.83218289999999995</v>
      </c>
      <c r="I456" s="1">
        <v>0.15870880000000001</v>
      </c>
      <c r="J456" s="1">
        <v>0.84129120000000002</v>
      </c>
      <c r="K456" s="1">
        <v>1.4772332000000001E-2</v>
      </c>
      <c r="L456" s="1">
        <v>0.48172959999999998</v>
      </c>
      <c r="M456" s="1">
        <v>0.10630235</v>
      </c>
      <c r="N456" s="1">
        <v>0.89369759999999998</v>
      </c>
      <c r="O456" s="1">
        <v>3.3934939999999997E-2</v>
      </c>
      <c r="P456" s="1">
        <v>0.96606510000000001</v>
      </c>
      <c r="Q456" s="4">
        <v>1</v>
      </c>
      <c r="R456" s="14">
        <v>1</v>
      </c>
      <c r="S456" s="14">
        <v>1</v>
      </c>
    </row>
    <row r="457" spans="1:19">
      <c r="A457" s="1">
        <v>1</v>
      </c>
      <c r="B457" s="1" t="s">
        <v>467</v>
      </c>
      <c r="C457" s="1">
        <v>0.38175597999999999</v>
      </c>
      <c r="D457" s="1">
        <v>0.67736220000000003</v>
      </c>
      <c r="E457" s="1">
        <v>0.31894602999999999</v>
      </c>
      <c r="F457" s="1">
        <v>0.74091225999999999</v>
      </c>
      <c r="G457" s="1">
        <v>0.28239194000000001</v>
      </c>
      <c r="H457" s="1">
        <v>0.71760802999999995</v>
      </c>
      <c r="I457" s="1">
        <v>0.12956966</v>
      </c>
      <c r="J457" s="1">
        <v>0.87043035000000002</v>
      </c>
      <c r="K457" s="1">
        <v>5.9325191999999999E-2</v>
      </c>
      <c r="L457" s="1">
        <v>0.30718327000000001</v>
      </c>
      <c r="M457" s="1">
        <v>0.14526107999999999</v>
      </c>
      <c r="N457" s="1">
        <v>0.85473895</v>
      </c>
      <c r="O457" s="1">
        <v>0.10631452</v>
      </c>
      <c r="P457" s="1">
        <v>0.89368546000000004</v>
      </c>
      <c r="Q457" s="4">
        <v>1</v>
      </c>
      <c r="R457" s="14">
        <v>1</v>
      </c>
      <c r="S457" s="14">
        <v>1</v>
      </c>
    </row>
    <row r="458" spans="1:19">
      <c r="A458" s="1">
        <v>1</v>
      </c>
      <c r="B458" s="1" t="s">
        <v>468</v>
      </c>
      <c r="C458" s="1">
        <v>3.5935648000000001E-2</v>
      </c>
      <c r="D458" s="1">
        <v>0.80744919999999998</v>
      </c>
      <c r="E458" s="1">
        <v>1.4658185000000001E-2</v>
      </c>
      <c r="F458" s="1">
        <v>0.79524313999999996</v>
      </c>
      <c r="G458" s="1">
        <v>1.5541226E-2</v>
      </c>
      <c r="H458" s="1">
        <v>0.98445879999999997</v>
      </c>
      <c r="I458" s="1">
        <v>3.2013129999999999E-3</v>
      </c>
      <c r="J458" s="1">
        <v>0.99679863000000002</v>
      </c>
      <c r="K458" s="1">
        <v>4.9686993999999998E-2</v>
      </c>
      <c r="L458" s="1">
        <v>0.49934128</v>
      </c>
      <c r="M458" s="1">
        <v>0.10623191</v>
      </c>
      <c r="N458" s="1">
        <v>0.89376812999999999</v>
      </c>
      <c r="O458" s="1">
        <v>3.3511974E-2</v>
      </c>
      <c r="P458" s="1">
        <v>0.96648805999999998</v>
      </c>
      <c r="Q458" s="4">
        <v>1</v>
      </c>
      <c r="R458" s="14">
        <v>1</v>
      </c>
      <c r="S458" s="14">
        <v>1</v>
      </c>
    </row>
    <row r="459" spans="1:19">
      <c r="A459" s="1">
        <v>1</v>
      </c>
      <c r="B459" s="1" t="s">
        <v>469</v>
      </c>
      <c r="C459" s="1">
        <v>0.4318536</v>
      </c>
      <c r="D459" s="1">
        <v>0.68915720000000003</v>
      </c>
      <c r="E459" s="1">
        <v>0.32952952000000002</v>
      </c>
      <c r="F459" s="1">
        <v>0.74422670000000002</v>
      </c>
      <c r="G459" s="1">
        <v>9.6337859999999997E-2</v>
      </c>
      <c r="H459" s="1">
        <v>0.90366215000000005</v>
      </c>
      <c r="I459" s="1">
        <v>3.2221899999999998E-2</v>
      </c>
      <c r="J459" s="1">
        <v>0.96777815</v>
      </c>
      <c r="K459" s="1">
        <v>0.17149499000000001</v>
      </c>
      <c r="L459" s="1">
        <v>0.29348960000000002</v>
      </c>
      <c r="M459" s="1">
        <v>6.7371319999999998E-2</v>
      </c>
      <c r="N459" s="1">
        <v>0.93262869999999998</v>
      </c>
      <c r="O459" s="1">
        <v>3.4319877999999998E-2</v>
      </c>
      <c r="P459" s="1">
        <v>0.96568005999999995</v>
      </c>
      <c r="Q459" s="4">
        <v>0</v>
      </c>
      <c r="R459" s="13">
        <v>0</v>
      </c>
      <c r="S459" s="1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9"/>
  <sheetViews>
    <sheetView tabSelected="1" topLeftCell="A409" workbookViewId="0">
      <pane xSplit="2" topLeftCell="U1" activePane="topRight" state="frozen"/>
      <selection activeCell="A19" sqref="A19"/>
      <selection pane="topRight" activeCell="AB461" sqref="AB461"/>
    </sheetView>
  </sheetViews>
  <sheetFormatPr defaultColWidth="11" defaultRowHeight="17"/>
  <cols>
    <col min="2" max="2" width="22.36328125" customWidth="1"/>
    <col min="9" max="9" width="11" style="85"/>
  </cols>
  <sheetData>
    <row r="1" spans="1:21">
      <c r="A1" s="25" t="s">
        <v>470</v>
      </c>
      <c r="B1" s="26" t="s">
        <v>11</v>
      </c>
      <c r="C1" s="26" t="s">
        <v>471</v>
      </c>
      <c r="D1" s="26" t="s">
        <v>472</v>
      </c>
      <c r="E1" s="26" t="s">
        <v>473</v>
      </c>
      <c r="F1" s="26" t="s">
        <v>474</v>
      </c>
      <c r="G1" s="26" t="s">
        <v>475</v>
      </c>
      <c r="H1" s="26" t="s">
        <v>476</v>
      </c>
      <c r="I1" s="80" t="s">
        <v>477</v>
      </c>
      <c r="J1" s="26" t="s">
        <v>478</v>
      </c>
      <c r="K1" s="41" t="s">
        <v>479</v>
      </c>
      <c r="L1" s="41" t="s">
        <v>480</v>
      </c>
      <c r="M1" s="41" t="s">
        <v>481</v>
      </c>
      <c r="N1" s="26" t="s">
        <v>482</v>
      </c>
      <c r="O1" s="26" t="s">
        <v>483</v>
      </c>
    </row>
    <row r="2" spans="1:21">
      <c r="A2" s="25">
        <v>0.5</v>
      </c>
      <c r="B2" s="26">
        <f>COUNTIF(C21:C469, 1)</f>
        <v>226</v>
      </c>
      <c r="C2" s="25"/>
      <c r="D2" s="25"/>
      <c r="E2" s="25"/>
      <c r="F2" s="25"/>
      <c r="G2" s="25"/>
      <c r="H2" s="25"/>
      <c r="I2" s="81"/>
      <c r="J2" s="25"/>
      <c r="K2" s="42"/>
      <c r="L2" s="42"/>
      <c r="M2" s="42"/>
      <c r="N2" s="25"/>
      <c r="O2" s="25"/>
    </row>
    <row r="3" spans="1:21">
      <c r="A3" s="25"/>
      <c r="B3" s="26" t="s">
        <v>10</v>
      </c>
      <c r="C3" s="25"/>
      <c r="D3" s="25"/>
      <c r="E3" s="25"/>
      <c r="F3" s="25"/>
      <c r="G3" s="25"/>
      <c r="H3" s="25"/>
      <c r="I3" s="81"/>
      <c r="J3" s="25"/>
      <c r="K3" s="42"/>
      <c r="L3" s="42"/>
      <c r="M3" s="42"/>
      <c r="N3" s="25"/>
      <c r="O3" s="25"/>
    </row>
    <row r="4" spans="1:21">
      <c r="A4" s="25"/>
      <c r="B4" s="26">
        <f>COUNTIF(C21:C469, 0)</f>
        <v>218</v>
      </c>
      <c r="C4" s="25"/>
      <c r="D4" s="25"/>
      <c r="E4" s="25"/>
      <c r="F4" s="25"/>
      <c r="G4" s="25"/>
      <c r="H4" s="25"/>
      <c r="I4" s="81"/>
      <c r="J4" s="25"/>
      <c r="K4" s="42"/>
      <c r="L4" s="42"/>
      <c r="M4" s="42"/>
      <c r="N4" s="25"/>
      <c r="O4" s="25"/>
    </row>
    <row r="5" spans="1:21">
      <c r="A5" s="4" t="s">
        <v>493</v>
      </c>
      <c r="B5" s="26" t="s">
        <v>490</v>
      </c>
      <c r="C5">
        <f>COUNTIFS($C$21:$C$469, 1, $D$21:$D$469, 1)</f>
        <v>188</v>
      </c>
      <c r="D5">
        <f>COUNTIFS($C$21:$C$469, 1, $D$21:$D$469, 0)</f>
        <v>38</v>
      </c>
      <c r="E5">
        <f>COUNTIFS($C$21:$C$469, 0, $D$21:$D$469, 1)</f>
        <v>41</v>
      </c>
      <c r="F5">
        <f>COUNTIFS($C$21:$C$469, 0, $D$21:$D$469, 0)</f>
        <v>177</v>
      </c>
      <c r="G5" s="25">
        <f t="shared" ref="G5" si="0">C5+E5</f>
        <v>229</v>
      </c>
      <c r="H5" s="25">
        <f t="shared" ref="H5" si="1">D5+F5</f>
        <v>215</v>
      </c>
      <c r="I5" s="81">
        <f t="shared" ref="I5:I14" si="2">C5+D5</f>
        <v>226</v>
      </c>
      <c r="J5" s="25">
        <f t="shared" ref="J5:J14" si="3">F5+E5</f>
        <v>218</v>
      </c>
      <c r="K5" s="55">
        <f t="shared" ref="K5:K14" si="4">(C5+F5)/SUM($C5:$F5)</f>
        <v>0.82207207207207211</v>
      </c>
      <c r="L5" s="55">
        <f t="shared" ref="L5:L14" si="5">C5/I5</f>
        <v>0.83185840707964598</v>
      </c>
      <c r="M5" s="56">
        <f t="shared" ref="M5:M14" si="6">F5/J5</f>
        <v>0.81192660550458717</v>
      </c>
      <c r="N5" s="57">
        <f t="shared" ref="N5:N14" si="7">C5/G5</f>
        <v>0.82096069868995636</v>
      </c>
      <c r="O5" s="57">
        <f t="shared" ref="O5:O14" si="8">F5/H5</f>
        <v>0.82325581395348835</v>
      </c>
      <c r="Q5" s="27"/>
    </row>
    <row r="6" spans="1:21">
      <c r="A6" s="43" t="s">
        <v>494</v>
      </c>
      <c r="B6" s="44" t="s">
        <v>491</v>
      </c>
      <c r="C6" s="45">
        <f>COUNTIFS($C$21:$C$469, 1, $E$21:$E$469, 1)</f>
        <v>203</v>
      </c>
      <c r="D6" s="45">
        <f>COUNTIFS($C$21:$C$469, 1, $E$21:$E$469, 0)</f>
        <v>23</v>
      </c>
      <c r="E6" s="45">
        <f>COUNTIFS($C$21:$C$469, 0, $E$21:$E$469, 1)</f>
        <v>30</v>
      </c>
      <c r="F6" s="45">
        <f>COUNTIFS($C$21:$C$469, 0, $E$21:$E$469, 0)</f>
        <v>188</v>
      </c>
      <c r="G6" s="46">
        <f t="shared" ref="G6:G14" si="9">C6+E6</f>
        <v>233</v>
      </c>
      <c r="H6" s="46">
        <f t="shared" ref="H6:H14" si="10">D6+F6</f>
        <v>211</v>
      </c>
      <c r="I6" s="82">
        <f t="shared" si="2"/>
        <v>226</v>
      </c>
      <c r="J6" s="46">
        <f t="shared" si="3"/>
        <v>218</v>
      </c>
      <c r="K6" s="58">
        <f t="shared" si="4"/>
        <v>0.88063063063063063</v>
      </c>
      <c r="L6" s="58">
        <f t="shared" si="5"/>
        <v>0.89823008849557517</v>
      </c>
      <c r="M6" s="58">
        <f t="shared" si="6"/>
        <v>0.86238532110091748</v>
      </c>
      <c r="N6" s="59">
        <f t="shared" si="7"/>
        <v>0.871244635193133</v>
      </c>
      <c r="O6" s="59">
        <f t="shared" si="8"/>
        <v>0.89099526066350709</v>
      </c>
      <c r="P6" s="45" t="s">
        <v>498</v>
      </c>
    </row>
    <row r="7" spans="1:21">
      <c r="A7" s="4" t="s">
        <v>495</v>
      </c>
      <c r="B7" s="29" t="s">
        <v>492</v>
      </c>
      <c r="C7">
        <f>COUNTIFS($C$21:$C$469, 1, $F$21:$F$469, 1)</f>
        <v>221</v>
      </c>
      <c r="D7">
        <f>COUNTIFS($C$21:$C$469, 1, $F$21:$F$469, 0)</f>
        <v>5</v>
      </c>
      <c r="E7">
        <f>COUNTIFS($C$21:$C$469, 0, $F$21:$F$469, 1)</f>
        <v>23</v>
      </c>
      <c r="F7">
        <f>COUNTIFS($C$21:$C$469, 0, $F$21:$F$469, 0)</f>
        <v>195</v>
      </c>
      <c r="G7" s="25">
        <f t="shared" si="9"/>
        <v>244</v>
      </c>
      <c r="H7" s="25">
        <f t="shared" si="10"/>
        <v>200</v>
      </c>
      <c r="I7" s="81">
        <f t="shared" si="2"/>
        <v>226</v>
      </c>
      <c r="J7" s="25">
        <f t="shared" si="3"/>
        <v>218</v>
      </c>
      <c r="K7" s="55">
        <f t="shared" si="4"/>
        <v>0.93693693693693691</v>
      </c>
      <c r="L7" s="55">
        <f t="shared" si="5"/>
        <v>0.97787610619469023</v>
      </c>
      <c r="M7" s="56">
        <f t="shared" si="6"/>
        <v>0.89449541284403666</v>
      </c>
      <c r="N7" s="57">
        <f t="shared" si="7"/>
        <v>0.90573770491803274</v>
      </c>
      <c r="O7" s="57">
        <f t="shared" si="8"/>
        <v>0.97499999999999998</v>
      </c>
      <c r="P7" s="27"/>
    </row>
    <row r="8" spans="1:21">
      <c r="A8" s="25" t="s">
        <v>550</v>
      </c>
      <c r="B8" s="47" t="s">
        <v>496</v>
      </c>
      <c r="C8" s="48">
        <f>COUNTIFS($C$21:$C$469, 1, H$21:H$469, 1)</f>
        <v>183</v>
      </c>
      <c r="D8" s="48">
        <f>COUNTIFS($C$21:$C$469, 1, H$21:H$469, 0)</f>
        <v>43</v>
      </c>
      <c r="E8" s="48">
        <f>COUNTIFS($C$21:$C$469, 0, H$21:H$469, 1)</f>
        <v>46</v>
      </c>
      <c r="F8" s="48">
        <f>COUNTIFS($C$21:$C$469, 0, H$21:H$469, 0)</f>
        <v>172</v>
      </c>
      <c r="G8" s="49">
        <f t="shared" si="9"/>
        <v>229</v>
      </c>
      <c r="H8" s="49">
        <f t="shared" si="10"/>
        <v>215</v>
      </c>
      <c r="I8" s="83">
        <f t="shared" si="2"/>
        <v>226</v>
      </c>
      <c r="J8" s="49">
        <f t="shared" si="3"/>
        <v>218</v>
      </c>
      <c r="K8" s="60">
        <f t="shared" si="4"/>
        <v>0.7995495495495496</v>
      </c>
      <c r="L8" s="60">
        <f t="shared" si="5"/>
        <v>0.80973451327433632</v>
      </c>
      <c r="M8" s="60">
        <f t="shared" si="6"/>
        <v>0.78899082568807344</v>
      </c>
      <c r="N8" s="61">
        <f t="shared" si="7"/>
        <v>0.79912663755458513</v>
      </c>
      <c r="O8" s="61">
        <f t="shared" si="8"/>
        <v>0.8</v>
      </c>
      <c r="P8" s="48" t="s">
        <v>496</v>
      </c>
      <c r="Q8" s="53"/>
      <c r="R8" s="53"/>
    </row>
    <row r="9" spans="1:21">
      <c r="A9" s="25"/>
      <c r="B9" s="29" t="s">
        <v>540</v>
      </c>
      <c r="C9">
        <f>COUNTIFS($C$21:$C$469, 1, J$21:J$469, 1)</f>
        <v>175</v>
      </c>
      <c r="D9">
        <f>COUNTIFS($C$21:$C$469, 1, J$21:J$469, 0)</f>
        <v>51</v>
      </c>
      <c r="E9">
        <f>COUNTIFS($C$21:$C$469, 0, J$21:J$469, 1)</f>
        <v>45</v>
      </c>
      <c r="F9">
        <f>COUNTIFS($C$21:$C$469, 0, J$21:J$469, 0)</f>
        <v>173</v>
      </c>
      <c r="G9" s="25">
        <f t="shared" si="9"/>
        <v>220</v>
      </c>
      <c r="H9" s="25">
        <f t="shared" si="10"/>
        <v>224</v>
      </c>
      <c r="I9" s="81">
        <f t="shared" si="2"/>
        <v>226</v>
      </c>
      <c r="J9" s="25">
        <f t="shared" si="3"/>
        <v>218</v>
      </c>
      <c r="K9" s="55">
        <f t="shared" si="4"/>
        <v>0.78378378378378377</v>
      </c>
      <c r="L9" s="55">
        <f t="shared" si="5"/>
        <v>0.77433628318584069</v>
      </c>
      <c r="M9" s="56">
        <f t="shared" si="6"/>
        <v>0.79357798165137616</v>
      </c>
      <c r="N9" s="57">
        <f t="shared" si="7"/>
        <v>0.79545454545454541</v>
      </c>
      <c r="O9" s="57">
        <f t="shared" si="8"/>
        <v>0.7723214285714286</v>
      </c>
      <c r="Q9" s="62"/>
      <c r="R9" s="53"/>
    </row>
    <row r="10" spans="1:21">
      <c r="B10" s="26" t="s">
        <v>541</v>
      </c>
      <c r="C10">
        <f>COUNTIFS($C$21:$C$469, 1, L$21:L$469, 1)</f>
        <v>168</v>
      </c>
      <c r="D10">
        <f>COUNTIFS($C$21:$C$469, 1, L$21:L$469, 0)</f>
        <v>58</v>
      </c>
      <c r="E10">
        <f>COUNTIFS($C$21:$C$469, 0, L$21:L$469, 1)</f>
        <v>44</v>
      </c>
      <c r="F10">
        <f>COUNTIFS($C$21:$C$469, 0, L$21:L$469, 0)</f>
        <v>174</v>
      </c>
      <c r="G10" s="25">
        <f t="shared" si="9"/>
        <v>212</v>
      </c>
      <c r="H10" s="25">
        <f t="shared" si="10"/>
        <v>232</v>
      </c>
      <c r="I10" s="81">
        <f t="shared" si="2"/>
        <v>226</v>
      </c>
      <c r="J10" s="25">
        <f t="shared" si="3"/>
        <v>218</v>
      </c>
      <c r="K10" s="55">
        <f t="shared" si="4"/>
        <v>0.77027027027027029</v>
      </c>
      <c r="L10" s="55">
        <f t="shared" si="5"/>
        <v>0.74336283185840712</v>
      </c>
      <c r="M10" s="56">
        <f t="shared" si="6"/>
        <v>0.79816513761467889</v>
      </c>
      <c r="N10" s="57">
        <f t="shared" si="7"/>
        <v>0.79245283018867929</v>
      </c>
      <c r="O10" s="57">
        <f t="shared" si="8"/>
        <v>0.75</v>
      </c>
      <c r="Q10" s="62"/>
      <c r="R10" s="53"/>
    </row>
    <row r="11" spans="1:21">
      <c r="B11" s="28" t="s">
        <v>543</v>
      </c>
      <c r="C11">
        <f>COUNTIFS($C$21:$C$469, 1, N$21:N$469, 1)</f>
        <v>176</v>
      </c>
      <c r="D11">
        <f>COUNTIFS($C$21:$C$469, 1, N$21:N$469, 0)</f>
        <v>50</v>
      </c>
      <c r="E11">
        <f>COUNTIFS($C$21:$C$469, 0, N$21:N$469, 1)</f>
        <v>61</v>
      </c>
      <c r="F11">
        <f>COUNTIFS($C$21:$C$469, 0, N$21:N$469, 0)</f>
        <v>157</v>
      </c>
      <c r="G11" s="25">
        <f t="shared" si="9"/>
        <v>237</v>
      </c>
      <c r="H11" s="25">
        <f t="shared" si="10"/>
        <v>207</v>
      </c>
      <c r="I11" s="81">
        <f t="shared" si="2"/>
        <v>226</v>
      </c>
      <c r="J11" s="25">
        <f t="shared" si="3"/>
        <v>218</v>
      </c>
      <c r="K11" s="55">
        <f t="shared" si="4"/>
        <v>0.75</v>
      </c>
      <c r="L11" s="55">
        <f t="shared" si="5"/>
        <v>0.77876106194690264</v>
      </c>
      <c r="M11" s="56">
        <f t="shared" si="6"/>
        <v>0.72018348623853212</v>
      </c>
      <c r="N11" s="57">
        <f t="shared" si="7"/>
        <v>0.7426160337552743</v>
      </c>
      <c r="O11" s="57">
        <f t="shared" si="8"/>
        <v>0.75845410628019327</v>
      </c>
      <c r="Q11" s="53"/>
      <c r="R11" s="53"/>
    </row>
    <row r="12" spans="1:21">
      <c r="B12" s="29" t="s">
        <v>542</v>
      </c>
      <c r="C12">
        <f>COUNTIFS($C$21:$C$469, 1, P$21:P$469, 1)</f>
        <v>185</v>
      </c>
      <c r="D12">
        <f>COUNTIFS($C$21:$C$469, 1, P$21:P$469, 0)</f>
        <v>41</v>
      </c>
      <c r="E12">
        <f>COUNTIFS($C$21:$C$469, 0, P$21:P$469, 1)</f>
        <v>49</v>
      </c>
      <c r="F12">
        <f>COUNTIFS($C$21:$C$469, 0, P$21:P$469, 0)</f>
        <v>169</v>
      </c>
      <c r="G12" s="25">
        <f t="shared" si="9"/>
        <v>234</v>
      </c>
      <c r="H12" s="25">
        <f t="shared" si="10"/>
        <v>210</v>
      </c>
      <c r="I12" s="81">
        <f t="shared" si="2"/>
        <v>226</v>
      </c>
      <c r="J12" s="25">
        <f t="shared" si="3"/>
        <v>218</v>
      </c>
      <c r="K12" s="55">
        <f t="shared" si="4"/>
        <v>0.79729729729729726</v>
      </c>
      <c r="L12" s="55">
        <f t="shared" si="5"/>
        <v>0.81858407079646023</v>
      </c>
      <c r="M12" s="56">
        <f t="shared" si="6"/>
        <v>0.77522935779816515</v>
      </c>
      <c r="N12" s="57">
        <f t="shared" si="7"/>
        <v>0.79059829059829057</v>
      </c>
      <c r="O12" s="57">
        <f t="shared" si="8"/>
        <v>0.80476190476190479</v>
      </c>
      <c r="Q12" s="53"/>
      <c r="R12" s="53"/>
    </row>
    <row r="13" spans="1:21">
      <c r="B13" s="29" t="s">
        <v>544</v>
      </c>
      <c r="C13">
        <f>COUNTIFS($C$21:$C$469, 1, R$21:R$469, 1)</f>
        <v>188</v>
      </c>
      <c r="D13">
        <f>COUNTIFS($C$21:$C$469, 1, R$21:R$469, 0)</f>
        <v>38</v>
      </c>
      <c r="E13">
        <f>COUNTIFS($C$21:$C$469, 0, R$21:R$469, 1)</f>
        <v>60</v>
      </c>
      <c r="F13">
        <f>COUNTIFS($C$21:$C$469, 0, R$21:R$469, 0)</f>
        <v>158</v>
      </c>
      <c r="G13" s="25">
        <f t="shared" si="9"/>
        <v>248</v>
      </c>
      <c r="H13" s="25">
        <f t="shared" si="10"/>
        <v>196</v>
      </c>
      <c r="I13" s="81">
        <f t="shared" si="2"/>
        <v>226</v>
      </c>
      <c r="J13" s="25">
        <f t="shared" si="3"/>
        <v>218</v>
      </c>
      <c r="K13" s="55">
        <f t="shared" si="4"/>
        <v>0.77927927927927931</v>
      </c>
      <c r="L13" s="55">
        <f t="shared" si="5"/>
        <v>0.83185840707964598</v>
      </c>
      <c r="M13" s="56">
        <f t="shared" si="6"/>
        <v>0.72477064220183485</v>
      </c>
      <c r="N13" s="57">
        <f t="shared" si="7"/>
        <v>0.75806451612903225</v>
      </c>
      <c r="O13" s="57">
        <f t="shared" si="8"/>
        <v>0.80612244897959184</v>
      </c>
      <c r="Q13" s="53"/>
      <c r="R13" s="53"/>
    </row>
    <row r="14" spans="1:21">
      <c r="B14" s="29" t="s">
        <v>548</v>
      </c>
      <c r="C14">
        <f>COUNTIFS($C$21:$C$469, 1, T$21:T$469, 1)</f>
        <v>164</v>
      </c>
      <c r="D14">
        <f>COUNTIFS($C$21:$C$469, 1, T$21:T$469, 0)</f>
        <v>62</v>
      </c>
      <c r="E14">
        <f>COUNTIFS($C$21:$C$469, 0, T$21:T$469, 1)</f>
        <v>60</v>
      </c>
      <c r="F14">
        <f>COUNTIFS($C$21:$C$469, 0, T$21:T$469, 0)</f>
        <v>158</v>
      </c>
      <c r="G14" s="25">
        <f t="shared" si="9"/>
        <v>224</v>
      </c>
      <c r="H14" s="25">
        <f t="shared" si="10"/>
        <v>220</v>
      </c>
      <c r="I14" s="81">
        <f t="shared" si="2"/>
        <v>226</v>
      </c>
      <c r="J14" s="25">
        <f t="shared" si="3"/>
        <v>218</v>
      </c>
      <c r="K14" s="55">
        <f t="shared" si="4"/>
        <v>0.72522522522522526</v>
      </c>
      <c r="L14" s="55">
        <f t="shared" si="5"/>
        <v>0.72566371681415931</v>
      </c>
      <c r="M14" s="56">
        <f t="shared" si="6"/>
        <v>0.72477064220183485</v>
      </c>
      <c r="N14" s="57">
        <f t="shared" si="7"/>
        <v>0.7321428571428571</v>
      </c>
      <c r="O14" s="57">
        <f t="shared" si="8"/>
        <v>0.71818181818181814</v>
      </c>
      <c r="Q14" s="53"/>
      <c r="R14" s="53"/>
    </row>
    <row r="15" spans="1:21">
      <c r="B15" s="29" t="s">
        <v>545</v>
      </c>
      <c r="C15">
        <f>COUNTIFS($C$21:$C$469, 1, V$21:V$469, 1)</f>
        <v>203</v>
      </c>
      <c r="D15">
        <f>COUNTIFS($C$21:$C$469, 1, V$21:V$469, 0)</f>
        <v>23</v>
      </c>
      <c r="E15">
        <f>COUNTIFS($C$21:$C$469, 0, V$21:V$469, 1)</f>
        <v>84</v>
      </c>
      <c r="F15">
        <f>COUNTIFS($C$21:$C$469, 0, V$21:V$469, 0)</f>
        <v>134</v>
      </c>
      <c r="G15" s="25">
        <f t="shared" ref="G15" si="11">C15+E15</f>
        <v>287</v>
      </c>
      <c r="H15" s="25">
        <f t="shared" ref="H15" si="12">D15+F15</f>
        <v>157</v>
      </c>
      <c r="I15" s="81">
        <f t="shared" ref="I15" si="13">C15+D15</f>
        <v>226</v>
      </c>
      <c r="J15" s="25">
        <f t="shared" ref="J15" si="14">F15+E15</f>
        <v>218</v>
      </c>
      <c r="K15" s="55">
        <f t="shared" ref="K15" si="15">(C15+F15)/SUM($C15:$F15)</f>
        <v>0.75900900900900903</v>
      </c>
      <c r="L15" s="55">
        <f t="shared" ref="L15" si="16">C15/I15</f>
        <v>0.89823008849557517</v>
      </c>
      <c r="M15" s="56">
        <f t="shared" ref="M15" si="17">F15/J15</f>
        <v>0.61467889908256879</v>
      </c>
      <c r="N15" s="57">
        <f t="shared" ref="N15" si="18">C15/G15</f>
        <v>0.70731707317073167</v>
      </c>
      <c r="O15" s="57">
        <f t="shared" ref="O15" si="19">F15/H15</f>
        <v>0.85350318471337583</v>
      </c>
      <c r="Q15" t="s">
        <v>546</v>
      </c>
      <c r="R15" s="50" t="s">
        <v>547</v>
      </c>
    </row>
    <row r="16" spans="1:21">
      <c r="A16" t="s">
        <v>551</v>
      </c>
      <c r="C16" s="50" t="s">
        <v>499</v>
      </c>
      <c r="D16" s="50"/>
      <c r="E16" s="50"/>
      <c r="F16" s="50"/>
      <c r="G16" s="51"/>
      <c r="H16" s="51"/>
      <c r="I16" s="81"/>
      <c r="J16" s="51"/>
      <c r="K16" s="51"/>
      <c r="L16" s="51"/>
      <c r="M16" s="52"/>
      <c r="N16" s="51"/>
      <c r="O16" s="51"/>
      <c r="P16" s="50"/>
      <c r="R16" s="50"/>
      <c r="S16" s="50"/>
      <c r="U16" s="50"/>
    </row>
    <row r="17" spans="1:24">
      <c r="C17" s="50" t="s">
        <v>500</v>
      </c>
      <c r="D17" s="50"/>
      <c r="E17" s="50"/>
      <c r="F17" s="50"/>
      <c r="G17" s="51"/>
      <c r="H17" s="51"/>
      <c r="I17" s="81"/>
      <c r="J17" s="51"/>
      <c r="K17" s="51"/>
      <c r="L17" s="51"/>
      <c r="M17" s="52"/>
      <c r="N17" s="51"/>
      <c r="O17" s="51"/>
      <c r="P17" s="50"/>
      <c r="Q17" s="50"/>
      <c r="R17" s="50"/>
      <c r="S17" s="50"/>
      <c r="U17" s="50"/>
    </row>
    <row r="18" spans="1:24">
      <c r="C18" s="50" t="s">
        <v>501</v>
      </c>
      <c r="D18" s="50"/>
      <c r="E18" s="50"/>
      <c r="F18" s="50"/>
      <c r="G18" s="51"/>
      <c r="H18" s="51"/>
      <c r="I18" s="81"/>
      <c r="J18" s="51"/>
      <c r="K18" s="51"/>
      <c r="L18" s="51"/>
      <c r="M18" s="52"/>
      <c r="N18" s="51"/>
      <c r="O18" s="51"/>
      <c r="P18" s="50"/>
      <c r="Q18" s="50"/>
      <c r="R18" s="50"/>
      <c r="S18" s="50"/>
      <c r="U18" s="50"/>
    </row>
    <row r="20" spans="1:24" ht="15" customHeight="1">
      <c r="B20" s="23" t="s">
        <v>484</v>
      </c>
      <c r="C20" s="24" t="s">
        <v>485</v>
      </c>
      <c r="D20" s="31" t="s">
        <v>487</v>
      </c>
      <c r="E20" s="31" t="s">
        <v>488</v>
      </c>
      <c r="F20" s="31" t="s">
        <v>489</v>
      </c>
      <c r="G20" s="40" t="s">
        <v>497</v>
      </c>
      <c r="H20" s="39" t="s">
        <v>486</v>
      </c>
      <c r="I20" s="84" t="s">
        <v>540</v>
      </c>
      <c r="K20" s="39" t="s">
        <v>541</v>
      </c>
      <c r="M20" s="39" t="s">
        <v>543</v>
      </c>
      <c r="O20" t="s">
        <v>542</v>
      </c>
      <c r="Q20" t="s">
        <v>544</v>
      </c>
      <c r="S20" t="s">
        <v>549</v>
      </c>
      <c r="U20" t="s">
        <v>552</v>
      </c>
      <c r="X20" t="s">
        <v>502</v>
      </c>
    </row>
    <row r="21" spans="1:24">
      <c r="A21" s="1" t="s">
        <v>9</v>
      </c>
      <c r="B21" s="1"/>
      <c r="D21" s="32"/>
      <c r="E21" s="32"/>
      <c r="F21" s="32"/>
      <c r="X21">
        <v>2</v>
      </c>
    </row>
    <row r="22" spans="1:24">
      <c r="A22" s="1">
        <v>0</v>
      </c>
      <c r="B22" s="1" t="s">
        <v>22</v>
      </c>
      <c r="C22" s="1">
        <v>0</v>
      </c>
      <c r="D22" s="33">
        <v>0</v>
      </c>
      <c r="E22" s="33">
        <v>0</v>
      </c>
      <c r="F22" s="33">
        <v>0</v>
      </c>
      <c r="G22">
        <v>0.75591814499999999</v>
      </c>
      <c r="H22">
        <f>IF(G22&gt;$A$2,1,0)</f>
        <v>1</v>
      </c>
      <c r="I22" s="85">
        <v>0.990087449550629</v>
      </c>
      <c r="J22">
        <f>IF(I22&gt;$A$2,1,0)</f>
        <v>1</v>
      </c>
      <c r="K22" s="86">
        <v>0.33988308906555098</v>
      </c>
      <c r="L22">
        <f>IF(K22&gt;$A$2,1,0)</f>
        <v>0</v>
      </c>
      <c r="M22">
        <v>0.80516344308853205</v>
      </c>
      <c r="N22">
        <f>IF(M22&gt;$A$2,1,0)</f>
        <v>1</v>
      </c>
      <c r="O22">
        <v>0.31227266788482699</v>
      </c>
      <c r="P22">
        <f>IF(O22&gt;$A$2,1,0)</f>
        <v>0</v>
      </c>
      <c r="Q22">
        <v>0.62106961000000005</v>
      </c>
      <c r="R22">
        <f>IF(Q22&gt;$A$2,1,0)</f>
        <v>1</v>
      </c>
      <c r="S22">
        <v>0.90171247720718395</v>
      </c>
      <c r="T22">
        <f>IF(S22&gt;$A$2,1,0)</f>
        <v>1</v>
      </c>
      <c r="U22" s="1">
        <v>0.36560425000000002</v>
      </c>
      <c r="V22">
        <v>1</v>
      </c>
      <c r="X22">
        <v>0</v>
      </c>
    </row>
    <row r="23" spans="1:24">
      <c r="A23" s="1">
        <v>0</v>
      </c>
      <c r="B23" s="7" t="s">
        <v>23</v>
      </c>
      <c r="C23" s="1">
        <v>0</v>
      </c>
      <c r="D23" s="33">
        <v>0</v>
      </c>
      <c r="E23" s="34">
        <v>0</v>
      </c>
      <c r="F23" s="33">
        <v>0</v>
      </c>
      <c r="G23">
        <v>0.15831390000000001</v>
      </c>
      <c r="H23">
        <f t="shared" ref="H23:H86" si="20">IF(G23&gt;$A$2,1,0)</f>
        <v>0</v>
      </c>
      <c r="I23" s="85">
        <v>0.22460228204727201</v>
      </c>
      <c r="J23">
        <f t="shared" ref="J23:J86" si="21">IF(I23&gt;$A$2,1,0)</f>
        <v>0</v>
      </c>
      <c r="K23" s="86">
        <v>0.75344181060791005</v>
      </c>
      <c r="L23">
        <f t="shared" ref="L23:R86" si="22">IF(K23&gt;$A$2,1,0)</f>
        <v>1</v>
      </c>
      <c r="M23">
        <v>0.270524471998215</v>
      </c>
      <c r="N23">
        <f t="shared" si="22"/>
        <v>0</v>
      </c>
      <c r="O23">
        <v>0.131055593490601</v>
      </c>
      <c r="P23">
        <f t="shared" si="22"/>
        <v>0</v>
      </c>
      <c r="Q23">
        <v>0.42876109499999998</v>
      </c>
      <c r="R23">
        <f t="shared" si="22"/>
        <v>0</v>
      </c>
      <c r="S23">
        <v>0.95647019147872903</v>
      </c>
      <c r="T23">
        <f t="shared" ref="T23:T85" si="23">IF(S23&gt;$A$2,1,0)</f>
        <v>1</v>
      </c>
      <c r="U23" s="7">
        <v>0.45047772000000003</v>
      </c>
      <c r="V23">
        <v>1</v>
      </c>
      <c r="X23">
        <v>1</v>
      </c>
    </row>
    <row r="24" spans="1:24">
      <c r="A24" s="1">
        <v>0</v>
      </c>
      <c r="B24" s="1" t="s">
        <v>24</v>
      </c>
      <c r="C24" s="1">
        <v>0</v>
      </c>
      <c r="D24" s="33">
        <v>0</v>
      </c>
      <c r="E24" s="34">
        <v>0</v>
      </c>
      <c r="F24" s="33">
        <v>0</v>
      </c>
      <c r="G24">
        <v>5.7738538999999998E-2</v>
      </c>
      <c r="H24">
        <f t="shared" si="20"/>
        <v>0</v>
      </c>
      <c r="I24" s="85">
        <v>2.8001919854429998E-3</v>
      </c>
      <c r="J24">
        <f t="shared" si="21"/>
        <v>0</v>
      </c>
      <c r="K24" s="86">
        <v>3.3034380525350501E-2</v>
      </c>
      <c r="L24">
        <f t="shared" si="22"/>
        <v>0</v>
      </c>
      <c r="M24" s="30">
        <v>2.1802287548781E-2</v>
      </c>
      <c r="N24">
        <f t="shared" si="22"/>
        <v>0</v>
      </c>
      <c r="O24">
        <v>5.397555883974E-3</v>
      </c>
      <c r="P24">
        <f t="shared" si="22"/>
        <v>0</v>
      </c>
      <c r="Q24">
        <v>0.314027905</v>
      </c>
      <c r="R24">
        <f t="shared" si="22"/>
        <v>0</v>
      </c>
      <c r="S24">
        <v>2.7958618476987E-2</v>
      </c>
      <c r="T24">
        <f t="shared" si="23"/>
        <v>0</v>
      </c>
      <c r="U24" s="1">
        <v>0.15590951</v>
      </c>
      <c r="V24">
        <v>0</v>
      </c>
      <c r="X24">
        <v>0</v>
      </c>
    </row>
    <row r="25" spans="1:24">
      <c r="A25" s="1">
        <v>0</v>
      </c>
      <c r="B25" s="1" t="s">
        <v>25</v>
      </c>
      <c r="C25" s="1">
        <v>0</v>
      </c>
      <c r="D25" s="33">
        <v>0</v>
      </c>
      <c r="E25" s="34">
        <v>0</v>
      </c>
      <c r="F25" s="33">
        <v>0</v>
      </c>
      <c r="G25">
        <v>0.39527177800000002</v>
      </c>
      <c r="H25">
        <f t="shared" si="20"/>
        <v>0</v>
      </c>
      <c r="I25" s="85">
        <v>0.98380786180496205</v>
      </c>
      <c r="J25">
        <f t="shared" si="21"/>
        <v>1</v>
      </c>
      <c r="K25" s="86">
        <v>0.66329485177993697</v>
      </c>
      <c r="L25">
        <f t="shared" si="22"/>
        <v>1</v>
      </c>
      <c r="M25">
        <v>0.88821876049041804</v>
      </c>
      <c r="N25">
        <f t="shared" si="22"/>
        <v>1</v>
      </c>
      <c r="O25">
        <v>0.13779987394809701</v>
      </c>
      <c r="P25">
        <f t="shared" si="22"/>
        <v>0</v>
      </c>
      <c r="Q25">
        <v>0.76918178800000003</v>
      </c>
      <c r="R25">
        <f t="shared" si="22"/>
        <v>1</v>
      </c>
      <c r="S25">
        <v>0.98945808410644498</v>
      </c>
      <c r="T25">
        <f t="shared" si="23"/>
        <v>1</v>
      </c>
      <c r="U25" s="1">
        <v>0.46990374000000001</v>
      </c>
      <c r="V25">
        <v>1</v>
      </c>
      <c r="X25">
        <v>0</v>
      </c>
    </row>
    <row r="26" spans="1:24">
      <c r="A26" s="1">
        <v>0</v>
      </c>
      <c r="B26" s="1" t="s">
        <v>26</v>
      </c>
      <c r="C26" s="1">
        <v>0</v>
      </c>
      <c r="D26" s="33">
        <v>0</v>
      </c>
      <c r="E26" s="34">
        <v>0</v>
      </c>
      <c r="F26" s="33">
        <v>0</v>
      </c>
      <c r="G26">
        <v>2.4211992000000002E-2</v>
      </c>
      <c r="H26">
        <f t="shared" si="20"/>
        <v>0</v>
      </c>
      <c r="I26" s="85">
        <v>1.2906563933939999E-3</v>
      </c>
      <c r="J26">
        <f t="shared" si="21"/>
        <v>0</v>
      </c>
      <c r="K26" s="86">
        <v>1.10690183937549E-2</v>
      </c>
      <c r="L26">
        <f t="shared" si="22"/>
        <v>0</v>
      </c>
      <c r="M26">
        <v>1.0666490532458E-2</v>
      </c>
      <c r="N26">
        <f t="shared" si="22"/>
        <v>0</v>
      </c>
      <c r="O26">
        <v>1.3512182049453E-2</v>
      </c>
      <c r="P26">
        <f t="shared" si="22"/>
        <v>0</v>
      </c>
      <c r="Q26">
        <v>4.3716936999999997E-2</v>
      </c>
      <c r="R26">
        <f t="shared" si="22"/>
        <v>0</v>
      </c>
      <c r="S26" s="30">
        <v>5.9239944675937302E-5</v>
      </c>
      <c r="T26">
        <f t="shared" si="23"/>
        <v>0</v>
      </c>
      <c r="U26" s="1">
        <v>2.4503144000000001E-2</v>
      </c>
      <c r="V26">
        <v>0</v>
      </c>
      <c r="X26">
        <v>0</v>
      </c>
    </row>
    <row r="27" spans="1:24">
      <c r="A27" s="1">
        <v>0</v>
      </c>
      <c r="B27" s="1" t="s">
        <v>27</v>
      </c>
      <c r="C27" s="1">
        <v>0</v>
      </c>
      <c r="D27" s="33">
        <v>0</v>
      </c>
      <c r="E27" s="34">
        <v>0</v>
      </c>
      <c r="F27" s="33">
        <v>0</v>
      </c>
      <c r="G27">
        <v>0.28838735799999998</v>
      </c>
      <c r="H27">
        <f t="shared" si="20"/>
        <v>0</v>
      </c>
      <c r="I27" s="85">
        <v>1.395071740262E-3</v>
      </c>
      <c r="J27">
        <f t="shared" si="21"/>
        <v>0</v>
      </c>
      <c r="K27" s="86">
        <v>4.3858490884303998E-2</v>
      </c>
      <c r="L27">
        <f t="shared" si="22"/>
        <v>0</v>
      </c>
      <c r="M27">
        <v>1.5655975788831999E-2</v>
      </c>
      <c r="N27">
        <f t="shared" si="22"/>
        <v>0</v>
      </c>
      <c r="O27">
        <v>1.729479432106E-2</v>
      </c>
      <c r="P27">
        <f t="shared" si="22"/>
        <v>0</v>
      </c>
      <c r="Q27">
        <v>0.32248434399999998</v>
      </c>
      <c r="R27">
        <f t="shared" si="22"/>
        <v>0</v>
      </c>
      <c r="S27">
        <v>7.8074133489299999E-4</v>
      </c>
      <c r="T27">
        <f t="shared" si="23"/>
        <v>0</v>
      </c>
      <c r="U27" s="1">
        <v>0.13654036999999999</v>
      </c>
      <c r="V27">
        <v>0</v>
      </c>
      <c r="X27">
        <v>0</v>
      </c>
    </row>
    <row r="28" spans="1:24">
      <c r="A28" s="1">
        <v>0</v>
      </c>
      <c r="B28" s="1" t="s">
        <v>28</v>
      </c>
      <c r="C28" s="1">
        <v>0</v>
      </c>
      <c r="D28" s="33">
        <v>0</v>
      </c>
      <c r="E28" s="34">
        <v>0</v>
      </c>
      <c r="F28" s="33">
        <v>0</v>
      </c>
      <c r="G28">
        <v>0.22497399200000001</v>
      </c>
      <c r="H28">
        <f t="shared" si="20"/>
        <v>0</v>
      </c>
      <c r="I28" s="85">
        <v>9.0979947708499996E-4</v>
      </c>
      <c r="J28">
        <f t="shared" si="21"/>
        <v>0</v>
      </c>
      <c r="K28" s="86">
        <v>0.142838150262832</v>
      </c>
      <c r="L28">
        <f t="shared" si="22"/>
        <v>0</v>
      </c>
      <c r="M28">
        <v>8.5541352629662004E-2</v>
      </c>
      <c r="N28">
        <f t="shared" si="22"/>
        <v>0</v>
      </c>
      <c r="O28">
        <v>2.4749729782340001E-3</v>
      </c>
      <c r="P28">
        <f t="shared" si="22"/>
        <v>0</v>
      </c>
      <c r="Q28">
        <v>0.414921612</v>
      </c>
      <c r="R28">
        <f t="shared" si="22"/>
        <v>0</v>
      </c>
      <c r="S28">
        <v>1.828959444538E-3</v>
      </c>
      <c r="T28">
        <f t="shared" si="23"/>
        <v>0</v>
      </c>
      <c r="U28" s="1">
        <v>0.13384032000000001</v>
      </c>
      <c r="V28">
        <v>0</v>
      </c>
      <c r="X28">
        <v>0</v>
      </c>
    </row>
    <row r="29" spans="1:24">
      <c r="A29" s="1">
        <v>0</v>
      </c>
      <c r="B29" s="1" t="s">
        <v>29</v>
      </c>
      <c r="C29" s="1">
        <v>0</v>
      </c>
      <c r="D29" s="33">
        <v>0</v>
      </c>
      <c r="E29" s="34">
        <v>0</v>
      </c>
      <c r="F29" s="33">
        <v>0</v>
      </c>
      <c r="G29">
        <v>3.6613214999999998E-2</v>
      </c>
      <c r="H29">
        <f t="shared" si="20"/>
        <v>0</v>
      </c>
      <c r="I29" s="85">
        <v>2.9231841836008201E-6</v>
      </c>
      <c r="J29">
        <f t="shared" si="21"/>
        <v>0</v>
      </c>
      <c r="K29" s="86">
        <v>2.87758037447929E-2</v>
      </c>
      <c r="L29">
        <f t="shared" si="22"/>
        <v>0</v>
      </c>
      <c r="M29" s="30">
        <v>5.8162445202469999E-3</v>
      </c>
      <c r="N29">
        <f t="shared" si="22"/>
        <v>0</v>
      </c>
      <c r="O29" s="30">
        <v>2.97143997159E-4</v>
      </c>
      <c r="P29">
        <f t="shared" si="22"/>
        <v>0</v>
      </c>
      <c r="Q29">
        <v>0.11573425699999999</v>
      </c>
      <c r="R29">
        <f t="shared" si="22"/>
        <v>0</v>
      </c>
      <c r="S29">
        <v>8.3819024264812997E-2</v>
      </c>
      <c r="T29">
        <f t="shared" si="23"/>
        <v>0</v>
      </c>
      <c r="U29" s="1">
        <v>6.7099053000000001E-3</v>
      </c>
      <c r="V29">
        <v>0</v>
      </c>
      <c r="X29">
        <v>0</v>
      </c>
    </row>
    <row r="30" spans="1:24">
      <c r="A30" s="1">
        <v>0</v>
      </c>
      <c r="B30" s="1" t="s">
        <v>30</v>
      </c>
      <c r="C30" s="1">
        <v>0</v>
      </c>
      <c r="D30" s="33">
        <v>0</v>
      </c>
      <c r="E30" s="34">
        <v>0</v>
      </c>
      <c r="F30" s="33">
        <v>0</v>
      </c>
      <c r="G30">
        <v>0.103121988</v>
      </c>
      <c r="H30">
        <f t="shared" si="20"/>
        <v>0</v>
      </c>
      <c r="I30" s="85">
        <v>7.4975147843360998E-2</v>
      </c>
      <c r="J30">
        <f t="shared" si="21"/>
        <v>0</v>
      </c>
      <c r="K30" s="86">
        <v>0.46285673975944502</v>
      </c>
      <c r="L30">
        <f t="shared" si="22"/>
        <v>0</v>
      </c>
      <c r="M30">
        <v>0.31920734047889698</v>
      </c>
      <c r="N30">
        <f t="shared" si="22"/>
        <v>0</v>
      </c>
      <c r="O30">
        <v>3.7245392799378003E-2</v>
      </c>
      <c r="P30">
        <f t="shared" si="22"/>
        <v>0</v>
      </c>
      <c r="Q30">
        <v>0.307888418</v>
      </c>
      <c r="R30">
        <f t="shared" si="22"/>
        <v>0</v>
      </c>
      <c r="S30">
        <v>0.99001824855804399</v>
      </c>
      <c r="T30">
        <f t="shared" si="23"/>
        <v>1</v>
      </c>
      <c r="U30" s="1">
        <v>0.20907756999999999</v>
      </c>
      <c r="V30">
        <v>0</v>
      </c>
      <c r="X30">
        <v>0</v>
      </c>
    </row>
    <row r="31" spans="1:24">
      <c r="A31" s="1">
        <v>0</v>
      </c>
      <c r="B31" s="1" t="s">
        <v>31</v>
      </c>
      <c r="C31" s="1">
        <v>0</v>
      </c>
      <c r="D31" s="33">
        <v>0</v>
      </c>
      <c r="E31" s="34">
        <v>0</v>
      </c>
      <c r="F31" s="33">
        <v>0</v>
      </c>
      <c r="G31">
        <v>0.17811037599999999</v>
      </c>
      <c r="H31">
        <f t="shared" si="20"/>
        <v>0</v>
      </c>
      <c r="I31" s="85">
        <v>0.41990801692009</v>
      </c>
      <c r="J31">
        <f t="shared" si="21"/>
        <v>0</v>
      </c>
      <c r="K31" s="86">
        <v>0.758109331130981</v>
      </c>
      <c r="L31">
        <f t="shared" si="22"/>
        <v>1</v>
      </c>
      <c r="M31" s="30">
        <v>0.29631546139717102</v>
      </c>
      <c r="N31">
        <f t="shared" si="22"/>
        <v>0</v>
      </c>
      <c r="O31">
        <v>0.14372715353965801</v>
      </c>
      <c r="P31">
        <f t="shared" si="22"/>
        <v>0</v>
      </c>
      <c r="Q31">
        <v>0.58105546200000002</v>
      </c>
      <c r="R31">
        <f t="shared" si="22"/>
        <v>1</v>
      </c>
      <c r="S31">
        <v>7.1125864982604994E-2</v>
      </c>
      <c r="T31">
        <f t="shared" si="23"/>
        <v>0</v>
      </c>
      <c r="U31" s="1">
        <v>0.28373431999999998</v>
      </c>
      <c r="V31">
        <v>1</v>
      </c>
      <c r="X31">
        <v>0</v>
      </c>
    </row>
    <row r="32" spans="1:24">
      <c r="A32" s="1">
        <v>0</v>
      </c>
      <c r="B32" s="1" t="s">
        <v>32</v>
      </c>
      <c r="C32" s="1">
        <v>0</v>
      </c>
      <c r="D32" s="33">
        <v>0</v>
      </c>
      <c r="E32" s="34">
        <v>0</v>
      </c>
      <c r="F32" s="33">
        <v>0</v>
      </c>
      <c r="G32">
        <v>0.206645563</v>
      </c>
      <c r="H32">
        <f t="shared" si="20"/>
        <v>0</v>
      </c>
      <c r="I32" s="85">
        <v>4.1171801276509998E-3</v>
      </c>
      <c r="J32">
        <f t="shared" si="21"/>
        <v>0</v>
      </c>
      <c r="K32" s="86">
        <v>0.14005656540393799</v>
      </c>
      <c r="L32">
        <f t="shared" si="22"/>
        <v>0</v>
      </c>
      <c r="M32">
        <v>6.6798396408558003E-2</v>
      </c>
      <c r="N32">
        <f t="shared" si="22"/>
        <v>0</v>
      </c>
      <c r="O32">
        <v>2.8702577576041E-2</v>
      </c>
      <c r="P32">
        <f t="shared" si="22"/>
        <v>0</v>
      </c>
      <c r="Q32">
        <v>0.27001619300000002</v>
      </c>
      <c r="R32">
        <f t="shared" si="22"/>
        <v>0</v>
      </c>
      <c r="S32">
        <v>0.16889917850494399</v>
      </c>
      <c r="T32">
        <f t="shared" si="23"/>
        <v>0</v>
      </c>
      <c r="U32" s="1">
        <v>0.20879401</v>
      </c>
      <c r="V32">
        <v>0</v>
      </c>
      <c r="X32">
        <v>0</v>
      </c>
    </row>
    <row r="33" spans="1:24">
      <c r="A33" s="1">
        <v>0</v>
      </c>
      <c r="B33" s="1" t="s">
        <v>33</v>
      </c>
      <c r="C33" s="1">
        <v>0</v>
      </c>
      <c r="D33" s="33">
        <v>0</v>
      </c>
      <c r="E33" s="34">
        <v>0</v>
      </c>
      <c r="F33" s="33">
        <v>1</v>
      </c>
      <c r="G33">
        <v>5.4641332000000001E-2</v>
      </c>
      <c r="H33">
        <f t="shared" si="20"/>
        <v>0</v>
      </c>
      <c r="I33" s="85">
        <v>7.2744398948998402E-7</v>
      </c>
      <c r="J33">
        <f t="shared" si="21"/>
        <v>0</v>
      </c>
      <c r="K33" s="86">
        <v>5.0072249025106402E-2</v>
      </c>
      <c r="L33">
        <f t="shared" si="22"/>
        <v>0</v>
      </c>
      <c r="M33" s="30">
        <v>2.7425214648247001E-2</v>
      </c>
      <c r="N33">
        <f t="shared" si="22"/>
        <v>0</v>
      </c>
      <c r="O33">
        <v>2.589576179162E-3</v>
      </c>
      <c r="P33">
        <f t="shared" si="22"/>
        <v>0</v>
      </c>
      <c r="Q33">
        <v>0.23643931700000001</v>
      </c>
      <c r="R33">
        <f t="shared" si="22"/>
        <v>0</v>
      </c>
      <c r="S33">
        <v>4.5012077316640003E-3</v>
      </c>
      <c r="T33">
        <f t="shared" si="23"/>
        <v>0</v>
      </c>
      <c r="U33" s="1">
        <v>8.5733140000000003E-3</v>
      </c>
      <c r="V33">
        <v>0</v>
      </c>
      <c r="X33">
        <v>0</v>
      </c>
    </row>
    <row r="34" spans="1:24">
      <c r="A34" s="1">
        <v>0</v>
      </c>
      <c r="B34" s="1" t="s">
        <v>34</v>
      </c>
      <c r="C34" s="1">
        <v>0</v>
      </c>
      <c r="D34" s="33">
        <v>0</v>
      </c>
      <c r="E34" s="34">
        <v>0</v>
      </c>
      <c r="F34" s="33">
        <v>0</v>
      </c>
      <c r="G34">
        <v>0.53303855700000002</v>
      </c>
      <c r="H34">
        <f t="shared" si="20"/>
        <v>1</v>
      </c>
      <c r="I34" s="85">
        <v>3.2490910962200002E-4</v>
      </c>
      <c r="J34">
        <f t="shared" si="21"/>
        <v>0</v>
      </c>
      <c r="K34" s="86">
        <v>0.35117635130882202</v>
      </c>
      <c r="L34">
        <f t="shared" si="22"/>
        <v>0</v>
      </c>
      <c r="M34">
        <v>0.117443881928921</v>
      </c>
      <c r="N34">
        <f t="shared" si="22"/>
        <v>0</v>
      </c>
      <c r="O34">
        <v>4.2838230729102998E-2</v>
      </c>
      <c r="P34">
        <f t="shared" si="22"/>
        <v>0</v>
      </c>
      <c r="Q34">
        <v>0.23454439599999999</v>
      </c>
      <c r="R34">
        <f t="shared" si="22"/>
        <v>0</v>
      </c>
      <c r="S34">
        <v>1.8390418961643999E-2</v>
      </c>
      <c r="T34">
        <f t="shared" si="23"/>
        <v>0</v>
      </c>
      <c r="U34" s="1">
        <v>0.32143675999999999</v>
      </c>
      <c r="V34">
        <v>1</v>
      </c>
      <c r="X34">
        <v>0</v>
      </c>
    </row>
    <row r="35" spans="1:24">
      <c r="A35" s="1">
        <v>0</v>
      </c>
      <c r="B35" s="1" t="s">
        <v>35</v>
      </c>
      <c r="C35" s="1">
        <v>0</v>
      </c>
      <c r="D35" s="33">
        <v>0</v>
      </c>
      <c r="E35" s="34">
        <v>0</v>
      </c>
      <c r="F35" s="33">
        <v>0</v>
      </c>
      <c r="G35">
        <v>0.26870319199999998</v>
      </c>
      <c r="H35">
        <f t="shared" si="20"/>
        <v>0</v>
      </c>
      <c r="I35" s="85">
        <v>4.7151055186987E-2</v>
      </c>
      <c r="J35">
        <f t="shared" si="21"/>
        <v>0</v>
      </c>
      <c r="K35" s="86">
        <v>0.43320500850677401</v>
      </c>
      <c r="L35">
        <f t="shared" si="22"/>
        <v>0</v>
      </c>
      <c r="M35" s="30">
        <v>0.85091978311538696</v>
      </c>
      <c r="N35">
        <f t="shared" si="22"/>
        <v>1</v>
      </c>
      <c r="O35">
        <v>0.35688564181327798</v>
      </c>
      <c r="P35">
        <f t="shared" si="22"/>
        <v>0</v>
      </c>
      <c r="Q35">
        <v>0.55684882400000002</v>
      </c>
      <c r="R35">
        <f t="shared" si="22"/>
        <v>1</v>
      </c>
      <c r="S35">
        <v>0.29616969823837302</v>
      </c>
      <c r="T35">
        <f t="shared" si="23"/>
        <v>0</v>
      </c>
      <c r="U35" s="1">
        <v>0.34496622999999998</v>
      </c>
      <c r="V35">
        <v>1</v>
      </c>
      <c r="X35">
        <v>0</v>
      </c>
    </row>
    <row r="36" spans="1:24">
      <c r="A36" s="1">
        <v>0</v>
      </c>
      <c r="B36" s="1" t="s">
        <v>36</v>
      </c>
      <c r="C36" s="1">
        <v>0</v>
      </c>
      <c r="D36" s="33">
        <v>0</v>
      </c>
      <c r="E36" s="34">
        <v>0</v>
      </c>
      <c r="F36" s="33">
        <v>0</v>
      </c>
      <c r="G36">
        <v>0.16045704499999999</v>
      </c>
      <c r="H36">
        <f t="shared" si="20"/>
        <v>0</v>
      </c>
      <c r="I36" s="85">
        <v>1.9137019990011999E-5</v>
      </c>
      <c r="J36">
        <f t="shared" si="21"/>
        <v>0</v>
      </c>
      <c r="K36" s="86">
        <v>1.36754307895898E-2</v>
      </c>
      <c r="L36">
        <f t="shared" si="22"/>
        <v>0</v>
      </c>
      <c r="M36">
        <v>1.1660360731185E-2</v>
      </c>
      <c r="N36">
        <f t="shared" si="22"/>
        <v>0</v>
      </c>
      <c r="O36">
        <v>1.8487144261599E-2</v>
      </c>
      <c r="P36">
        <f t="shared" si="22"/>
        <v>0</v>
      </c>
      <c r="Q36">
        <v>0.25003504799999998</v>
      </c>
      <c r="R36">
        <f t="shared" si="22"/>
        <v>0</v>
      </c>
      <c r="S36">
        <v>3.5940445377500001E-4</v>
      </c>
      <c r="T36">
        <f t="shared" si="23"/>
        <v>0</v>
      </c>
      <c r="U36" s="1">
        <v>0.14454955999999999</v>
      </c>
      <c r="V36">
        <v>0</v>
      </c>
      <c r="X36">
        <v>0</v>
      </c>
    </row>
    <row r="37" spans="1:24">
      <c r="A37" s="1">
        <v>0</v>
      </c>
      <c r="B37" s="1" t="s">
        <v>37</v>
      </c>
      <c r="C37" s="1">
        <v>0</v>
      </c>
      <c r="D37" s="33">
        <v>0</v>
      </c>
      <c r="E37" s="34">
        <v>0</v>
      </c>
      <c r="F37" s="33">
        <v>0</v>
      </c>
      <c r="G37">
        <v>0.18013353600000001</v>
      </c>
      <c r="H37">
        <f t="shared" si="20"/>
        <v>0</v>
      </c>
      <c r="I37" s="85">
        <v>1.0646778158844E-2</v>
      </c>
      <c r="J37">
        <f t="shared" si="21"/>
        <v>0</v>
      </c>
      <c r="K37" s="86">
        <v>0.14819251000881101</v>
      </c>
      <c r="L37">
        <f t="shared" si="22"/>
        <v>0</v>
      </c>
      <c r="M37">
        <v>0.199859693646431</v>
      </c>
      <c r="N37">
        <f t="shared" si="22"/>
        <v>0</v>
      </c>
      <c r="O37">
        <v>1.5138212591410001E-2</v>
      </c>
      <c r="P37">
        <f t="shared" si="22"/>
        <v>0</v>
      </c>
      <c r="Q37">
        <v>0.40833592400000002</v>
      </c>
      <c r="R37">
        <f t="shared" si="22"/>
        <v>0</v>
      </c>
      <c r="S37">
        <v>0.45623755455017101</v>
      </c>
      <c r="T37">
        <f t="shared" si="23"/>
        <v>0</v>
      </c>
      <c r="U37" s="1">
        <v>0.19014275</v>
      </c>
      <c r="V37">
        <v>0</v>
      </c>
      <c r="X37">
        <v>0</v>
      </c>
    </row>
    <row r="38" spans="1:24">
      <c r="A38" s="1">
        <v>0</v>
      </c>
      <c r="B38" s="1" t="s">
        <v>38</v>
      </c>
      <c r="C38" s="1">
        <v>0</v>
      </c>
      <c r="D38" s="33">
        <v>0</v>
      </c>
      <c r="E38" s="34">
        <v>0</v>
      </c>
      <c r="F38" s="33">
        <v>0</v>
      </c>
      <c r="G38">
        <v>0.65719670100000005</v>
      </c>
      <c r="H38">
        <f t="shared" si="20"/>
        <v>1</v>
      </c>
      <c r="I38" s="85">
        <v>0.90459042787551902</v>
      </c>
      <c r="J38">
        <f t="shared" si="21"/>
        <v>1</v>
      </c>
      <c r="K38" s="86">
        <v>0.43277063965797402</v>
      </c>
      <c r="L38">
        <f t="shared" si="22"/>
        <v>0</v>
      </c>
      <c r="M38" s="30">
        <v>0.66746455430984497</v>
      </c>
      <c r="N38">
        <f t="shared" si="22"/>
        <v>1</v>
      </c>
      <c r="O38">
        <v>0.45208153128624001</v>
      </c>
      <c r="P38">
        <f t="shared" si="22"/>
        <v>0</v>
      </c>
      <c r="Q38">
        <v>0.68596184299999996</v>
      </c>
      <c r="R38">
        <f t="shared" si="22"/>
        <v>1</v>
      </c>
      <c r="S38">
        <v>0.938240647315979</v>
      </c>
      <c r="T38">
        <f t="shared" si="23"/>
        <v>1</v>
      </c>
      <c r="U38" s="1">
        <v>0.26611210000000002</v>
      </c>
      <c r="V38">
        <v>0</v>
      </c>
      <c r="X38">
        <v>0</v>
      </c>
    </row>
    <row r="39" spans="1:24">
      <c r="A39" s="1">
        <v>0</v>
      </c>
      <c r="B39" s="1" t="s">
        <v>39</v>
      </c>
      <c r="C39" s="1">
        <v>0</v>
      </c>
      <c r="D39" s="33">
        <v>0</v>
      </c>
      <c r="E39" s="34">
        <v>0</v>
      </c>
      <c r="F39" s="33">
        <v>0</v>
      </c>
      <c r="G39">
        <v>2.5493996000000001E-2</v>
      </c>
      <c r="H39">
        <f t="shared" si="20"/>
        <v>0</v>
      </c>
      <c r="I39" s="85">
        <v>6.0039930045604997E-2</v>
      </c>
      <c r="J39">
        <f t="shared" si="21"/>
        <v>0</v>
      </c>
      <c r="K39" s="86">
        <v>0.127872124314308</v>
      </c>
      <c r="L39">
        <f t="shared" si="22"/>
        <v>0</v>
      </c>
      <c r="M39">
        <v>0.144719898700714</v>
      </c>
      <c r="N39">
        <f t="shared" si="22"/>
        <v>0</v>
      </c>
      <c r="O39">
        <v>2.9467341955750001E-3</v>
      </c>
      <c r="P39">
        <f t="shared" si="22"/>
        <v>0</v>
      </c>
      <c r="Q39">
        <v>5.3341716999999997E-2</v>
      </c>
      <c r="R39">
        <f t="shared" si="22"/>
        <v>0</v>
      </c>
      <c r="S39">
        <v>1.1116439476608999E-2</v>
      </c>
      <c r="T39">
        <f t="shared" si="23"/>
        <v>0</v>
      </c>
      <c r="U39" s="1">
        <v>4.2483409999999999E-2</v>
      </c>
      <c r="V39">
        <v>0</v>
      </c>
      <c r="X39">
        <v>0</v>
      </c>
    </row>
    <row r="40" spans="1:24">
      <c r="A40" s="1">
        <v>0</v>
      </c>
      <c r="B40" s="7" t="s">
        <v>40</v>
      </c>
      <c r="C40" s="1">
        <v>0</v>
      </c>
      <c r="D40" s="33">
        <v>1</v>
      </c>
      <c r="E40" s="34">
        <v>0</v>
      </c>
      <c r="F40" s="33">
        <v>0</v>
      </c>
      <c r="G40">
        <v>0.30676817899999997</v>
      </c>
      <c r="H40">
        <f t="shared" si="20"/>
        <v>0</v>
      </c>
      <c r="I40" s="85">
        <v>5.3463578224181997E-2</v>
      </c>
      <c r="J40">
        <f t="shared" si="21"/>
        <v>0</v>
      </c>
      <c r="K40" s="86">
        <v>0.58990025520324696</v>
      </c>
      <c r="L40">
        <f t="shared" si="22"/>
        <v>1</v>
      </c>
      <c r="M40" s="30">
        <v>0.36866578459739702</v>
      </c>
      <c r="N40">
        <f t="shared" si="22"/>
        <v>0</v>
      </c>
      <c r="O40">
        <v>0.17143751680850999</v>
      </c>
      <c r="P40">
        <f t="shared" si="22"/>
        <v>0</v>
      </c>
      <c r="Q40">
        <v>0.232190594</v>
      </c>
      <c r="R40">
        <f t="shared" si="22"/>
        <v>0</v>
      </c>
      <c r="S40">
        <v>8.8415540754795005E-2</v>
      </c>
      <c r="T40">
        <f t="shared" si="23"/>
        <v>0</v>
      </c>
      <c r="U40" s="7">
        <v>0.33952253999999998</v>
      </c>
      <c r="V40">
        <v>1</v>
      </c>
      <c r="X40">
        <v>1</v>
      </c>
    </row>
    <row r="41" spans="1:24">
      <c r="A41" s="1">
        <v>0</v>
      </c>
      <c r="B41" s="1" t="s">
        <v>41</v>
      </c>
      <c r="C41" s="1">
        <v>0</v>
      </c>
      <c r="D41" s="33">
        <v>0</v>
      </c>
      <c r="E41" s="33">
        <v>1</v>
      </c>
      <c r="F41" s="33">
        <v>1</v>
      </c>
      <c r="G41">
        <v>0.513165176</v>
      </c>
      <c r="H41">
        <f t="shared" si="20"/>
        <v>1</v>
      </c>
      <c r="I41" s="85">
        <v>0.69986742734909102</v>
      </c>
      <c r="J41">
        <f t="shared" si="21"/>
        <v>1</v>
      </c>
      <c r="K41" s="86">
        <v>0.34365215897560097</v>
      </c>
      <c r="L41">
        <f t="shared" si="22"/>
        <v>0</v>
      </c>
      <c r="M41">
        <v>0.77607959508895896</v>
      </c>
      <c r="N41">
        <f t="shared" si="22"/>
        <v>1</v>
      </c>
      <c r="O41">
        <v>0.20870378613471999</v>
      </c>
      <c r="P41">
        <f t="shared" si="22"/>
        <v>0</v>
      </c>
      <c r="Q41">
        <v>0.57177460199999997</v>
      </c>
      <c r="R41">
        <f t="shared" si="22"/>
        <v>1</v>
      </c>
      <c r="S41">
        <v>0.99439173936843905</v>
      </c>
      <c r="T41">
        <f t="shared" si="23"/>
        <v>1</v>
      </c>
      <c r="U41" s="1">
        <v>0.37604423999999997</v>
      </c>
      <c r="V41">
        <v>1</v>
      </c>
      <c r="X41">
        <v>0</v>
      </c>
    </row>
    <row r="42" spans="1:24">
      <c r="A42" s="1">
        <v>0</v>
      </c>
      <c r="B42" s="1" t="s">
        <v>42</v>
      </c>
      <c r="C42" s="1">
        <v>0</v>
      </c>
      <c r="D42" s="33">
        <v>1</v>
      </c>
      <c r="E42" s="33">
        <v>1</v>
      </c>
      <c r="F42" s="33">
        <v>0</v>
      </c>
      <c r="G42">
        <v>0.60380452900000003</v>
      </c>
      <c r="H42">
        <f t="shared" si="20"/>
        <v>1</v>
      </c>
      <c r="I42" s="85">
        <v>0.41973647475242598</v>
      </c>
      <c r="J42">
        <f t="shared" si="21"/>
        <v>0</v>
      </c>
      <c r="K42" s="86">
        <v>8.1009857356548295E-2</v>
      </c>
      <c r="L42">
        <f t="shared" si="22"/>
        <v>0</v>
      </c>
      <c r="M42">
        <v>0.49420303106308</v>
      </c>
      <c r="N42">
        <f t="shared" si="22"/>
        <v>0</v>
      </c>
      <c r="O42">
        <v>0.69379889965057395</v>
      </c>
      <c r="P42">
        <f t="shared" si="22"/>
        <v>1</v>
      </c>
      <c r="Q42">
        <v>0.41681632400000002</v>
      </c>
      <c r="R42">
        <f t="shared" si="22"/>
        <v>0</v>
      </c>
      <c r="S42">
        <v>0.175237387418747</v>
      </c>
      <c r="T42">
        <f t="shared" si="23"/>
        <v>0</v>
      </c>
      <c r="U42" s="1">
        <v>0.34644738000000003</v>
      </c>
      <c r="V42">
        <v>1</v>
      </c>
      <c r="X42">
        <v>0</v>
      </c>
    </row>
    <row r="43" spans="1:24">
      <c r="A43" s="1">
        <v>0</v>
      </c>
      <c r="B43" s="1" t="s">
        <v>43</v>
      </c>
      <c r="C43" s="1">
        <v>0</v>
      </c>
      <c r="D43" s="33">
        <v>0</v>
      </c>
      <c r="E43" s="34">
        <v>0</v>
      </c>
      <c r="F43" s="33">
        <v>0</v>
      </c>
      <c r="G43">
        <v>0.23104398000000001</v>
      </c>
      <c r="H43">
        <f t="shared" si="20"/>
        <v>0</v>
      </c>
      <c r="I43" s="85">
        <v>4.5054983347649997E-3</v>
      </c>
      <c r="J43">
        <f t="shared" si="21"/>
        <v>0</v>
      </c>
      <c r="K43" s="86">
        <v>0.37015452980995101</v>
      </c>
      <c r="L43">
        <f t="shared" si="22"/>
        <v>0</v>
      </c>
      <c r="M43" s="30">
        <v>0.47514811158180198</v>
      </c>
      <c r="N43">
        <f t="shared" si="22"/>
        <v>0</v>
      </c>
      <c r="O43">
        <v>2.0687613636255001E-2</v>
      </c>
      <c r="P43">
        <f t="shared" si="22"/>
        <v>0</v>
      </c>
      <c r="Q43">
        <v>0.28233137699999999</v>
      </c>
      <c r="R43">
        <f t="shared" si="22"/>
        <v>0</v>
      </c>
      <c r="S43">
        <v>0.47254320979118403</v>
      </c>
      <c r="T43">
        <f t="shared" si="23"/>
        <v>0</v>
      </c>
      <c r="U43" s="1">
        <v>5.7651437999999999E-2</v>
      </c>
      <c r="V43">
        <v>0</v>
      </c>
      <c r="X43">
        <v>0</v>
      </c>
    </row>
    <row r="44" spans="1:24">
      <c r="A44" s="1">
        <v>0</v>
      </c>
      <c r="B44" s="1" t="s">
        <v>44</v>
      </c>
      <c r="C44" s="1">
        <v>0</v>
      </c>
      <c r="D44" s="33">
        <v>0</v>
      </c>
      <c r="E44" s="34">
        <v>0</v>
      </c>
      <c r="F44" s="33">
        <v>0</v>
      </c>
      <c r="G44" s="30">
        <v>6.6017501000000006E-2</v>
      </c>
      <c r="H44">
        <f t="shared" si="20"/>
        <v>0</v>
      </c>
      <c r="I44" s="85">
        <v>1.08139232907E-4</v>
      </c>
      <c r="J44">
        <f t="shared" si="21"/>
        <v>0</v>
      </c>
      <c r="K44" s="86">
        <v>1.1339519172906799E-2</v>
      </c>
      <c r="L44">
        <f t="shared" si="22"/>
        <v>0</v>
      </c>
      <c r="M44">
        <v>4.2360387742518997E-2</v>
      </c>
      <c r="N44">
        <f t="shared" si="22"/>
        <v>0</v>
      </c>
      <c r="O44">
        <v>1.6567853745070001E-3</v>
      </c>
      <c r="P44">
        <f t="shared" si="22"/>
        <v>0</v>
      </c>
      <c r="Q44">
        <v>7.6243341000000006E-2</v>
      </c>
      <c r="R44">
        <f t="shared" si="22"/>
        <v>0</v>
      </c>
      <c r="S44">
        <v>2.0326578523959999E-3</v>
      </c>
      <c r="T44">
        <f t="shared" si="23"/>
        <v>0</v>
      </c>
      <c r="U44" s="1">
        <v>2.4996849000000002E-2</v>
      </c>
      <c r="V44">
        <v>0</v>
      </c>
      <c r="X44">
        <v>0</v>
      </c>
    </row>
    <row r="45" spans="1:24">
      <c r="A45" s="1">
        <v>0</v>
      </c>
      <c r="B45" s="1" t="s">
        <v>45</v>
      </c>
      <c r="C45" s="1">
        <v>0</v>
      </c>
      <c r="D45" s="33">
        <v>1</v>
      </c>
      <c r="E45" s="34">
        <v>0</v>
      </c>
      <c r="F45" s="33">
        <v>0</v>
      </c>
      <c r="G45">
        <v>0.19879734499999999</v>
      </c>
      <c r="H45">
        <f t="shared" si="20"/>
        <v>0</v>
      </c>
      <c r="I45" s="85">
        <v>6.2644616700710002E-3</v>
      </c>
      <c r="J45">
        <f t="shared" si="21"/>
        <v>0</v>
      </c>
      <c r="K45" s="86">
        <v>0.75357073545455899</v>
      </c>
      <c r="L45">
        <f t="shared" si="22"/>
        <v>1</v>
      </c>
      <c r="M45" s="30">
        <v>5.5352188646792998E-2</v>
      </c>
      <c r="N45">
        <f t="shared" si="22"/>
        <v>0</v>
      </c>
      <c r="O45">
        <v>3.6201611161232002E-2</v>
      </c>
      <c r="P45">
        <f t="shared" si="22"/>
        <v>0</v>
      </c>
      <c r="Q45">
        <v>0.39943653299999998</v>
      </c>
      <c r="R45">
        <f t="shared" si="22"/>
        <v>0</v>
      </c>
      <c r="S45">
        <v>0.406845062971115</v>
      </c>
      <c r="T45">
        <f t="shared" si="23"/>
        <v>0</v>
      </c>
      <c r="U45" s="1">
        <v>0.2378596</v>
      </c>
      <c r="V45">
        <v>1</v>
      </c>
      <c r="X45">
        <v>0</v>
      </c>
    </row>
    <row r="46" spans="1:24">
      <c r="A46" s="1">
        <v>0</v>
      </c>
      <c r="B46" s="1" t="s">
        <v>46</v>
      </c>
      <c r="C46" s="1">
        <v>0</v>
      </c>
      <c r="D46" s="33">
        <v>0</v>
      </c>
      <c r="E46" s="34">
        <v>0</v>
      </c>
      <c r="F46" s="33">
        <v>0</v>
      </c>
      <c r="G46">
        <v>0.12408226</v>
      </c>
      <c r="H46">
        <f t="shared" si="20"/>
        <v>0</v>
      </c>
      <c r="I46" s="85">
        <v>1.3441805727780001E-2</v>
      </c>
      <c r="J46">
        <f t="shared" si="21"/>
        <v>0</v>
      </c>
      <c r="K46" s="86">
        <v>0.72824478149413996</v>
      </c>
      <c r="L46">
        <f t="shared" si="22"/>
        <v>1</v>
      </c>
      <c r="M46">
        <v>0.21304546296596499</v>
      </c>
      <c r="N46">
        <f t="shared" si="22"/>
        <v>0</v>
      </c>
      <c r="O46">
        <v>6.2679819762707006E-2</v>
      </c>
      <c r="P46">
        <f t="shared" si="22"/>
        <v>0</v>
      </c>
      <c r="Q46">
        <v>0.200921088</v>
      </c>
      <c r="R46">
        <f t="shared" si="22"/>
        <v>0</v>
      </c>
      <c r="S46">
        <v>2.3729153908789999E-3</v>
      </c>
      <c r="T46">
        <f t="shared" si="23"/>
        <v>0</v>
      </c>
      <c r="U46" s="1">
        <v>9.6082255000000005E-2</v>
      </c>
      <c r="V46">
        <v>0</v>
      </c>
      <c r="X46">
        <v>0</v>
      </c>
    </row>
    <row r="47" spans="1:24">
      <c r="A47" s="1">
        <v>0</v>
      </c>
      <c r="B47" s="1" t="s">
        <v>47</v>
      </c>
      <c r="C47" s="1">
        <v>0</v>
      </c>
      <c r="D47" s="33">
        <v>0</v>
      </c>
      <c r="E47" s="34">
        <v>0</v>
      </c>
      <c r="F47" s="33">
        <v>0</v>
      </c>
      <c r="G47">
        <v>0.13334918000000001</v>
      </c>
      <c r="H47">
        <f t="shared" si="20"/>
        <v>0</v>
      </c>
      <c r="I47" s="85">
        <v>6.6060927929399997E-4</v>
      </c>
      <c r="J47">
        <f t="shared" si="21"/>
        <v>0</v>
      </c>
      <c r="K47" s="86">
        <v>0.17321459949016499</v>
      </c>
      <c r="L47">
        <f t="shared" si="22"/>
        <v>0</v>
      </c>
      <c r="M47">
        <v>0.44049882888793901</v>
      </c>
      <c r="N47">
        <f t="shared" si="22"/>
        <v>0</v>
      </c>
      <c r="O47">
        <v>4.2501944699300002E-4</v>
      </c>
      <c r="P47">
        <f t="shared" si="22"/>
        <v>0</v>
      </c>
      <c r="Q47">
        <v>0.146440506</v>
      </c>
      <c r="R47">
        <f t="shared" si="22"/>
        <v>0</v>
      </c>
      <c r="S47">
        <v>4.6909365803002999E-2</v>
      </c>
      <c r="T47">
        <f t="shared" si="23"/>
        <v>0</v>
      </c>
      <c r="U47" s="1">
        <v>0.12314474</v>
      </c>
      <c r="V47">
        <v>0</v>
      </c>
      <c r="X47">
        <v>0</v>
      </c>
    </row>
    <row r="48" spans="1:24">
      <c r="A48" s="1">
        <v>0</v>
      </c>
      <c r="B48" s="1" t="s">
        <v>48</v>
      </c>
      <c r="C48" s="1">
        <v>0</v>
      </c>
      <c r="D48" s="33">
        <v>1</v>
      </c>
      <c r="E48" s="34">
        <v>0</v>
      </c>
      <c r="F48" s="33">
        <v>0</v>
      </c>
      <c r="G48">
        <v>0.29381907000000002</v>
      </c>
      <c r="H48">
        <f t="shared" si="20"/>
        <v>0</v>
      </c>
      <c r="I48" s="85">
        <v>0.28673803806304898</v>
      </c>
      <c r="J48">
        <f t="shared" si="21"/>
        <v>0</v>
      </c>
      <c r="K48" s="86">
        <v>0.42380225658416698</v>
      </c>
      <c r="L48">
        <f t="shared" si="22"/>
        <v>0</v>
      </c>
      <c r="M48">
        <v>0.62567287683486905</v>
      </c>
      <c r="N48">
        <f t="shared" si="22"/>
        <v>1</v>
      </c>
      <c r="O48">
        <v>0.94722920656204201</v>
      </c>
      <c r="P48">
        <f t="shared" si="22"/>
        <v>1</v>
      </c>
      <c r="Q48">
        <v>0.27682560699999997</v>
      </c>
      <c r="R48">
        <f t="shared" si="22"/>
        <v>0</v>
      </c>
      <c r="S48">
        <v>0.79964888095855702</v>
      </c>
      <c r="T48">
        <f t="shared" si="23"/>
        <v>1</v>
      </c>
      <c r="U48" s="1">
        <v>0.14183472</v>
      </c>
      <c r="V48">
        <v>0</v>
      </c>
      <c r="X48">
        <v>0</v>
      </c>
    </row>
    <row r="49" spans="1:24">
      <c r="A49" s="1">
        <v>0</v>
      </c>
      <c r="B49" s="1" t="s">
        <v>49</v>
      </c>
      <c r="C49" s="1">
        <v>0</v>
      </c>
      <c r="D49" s="33">
        <v>0</v>
      </c>
      <c r="E49" s="34">
        <v>0</v>
      </c>
      <c r="F49" s="33">
        <v>0</v>
      </c>
      <c r="G49" s="30">
        <v>0.78925335399999996</v>
      </c>
      <c r="H49">
        <f t="shared" si="20"/>
        <v>1</v>
      </c>
      <c r="I49" s="85">
        <v>0.99793231487274203</v>
      </c>
      <c r="J49">
        <f t="shared" si="21"/>
        <v>1</v>
      </c>
      <c r="K49" s="86">
        <v>0.26750019192695601</v>
      </c>
      <c r="L49">
        <f t="shared" si="22"/>
        <v>0</v>
      </c>
      <c r="M49" s="30">
        <v>0.60309296846389804</v>
      </c>
      <c r="N49">
        <f t="shared" si="22"/>
        <v>1</v>
      </c>
      <c r="O49">
        <v>0.94230473041534402</v>
      </c>
      <c r="P49">
        <f t="shared" si="22"/>
        <v>1</v>
      </c>
      <c r="Q49">
        <v>0.750333786</v>
      </c>
      <c r="R49">
        <f t="shared" si="22"/>
        <v>1</v>
      </c>
      <c r="S49">
        <v>0.958967685699463</v>
      </c>
      <c r="T49">
        <f t="shared" si="23"/>
        <v>1</v>
      </c>
      <c r="U49" s="1">
        <v>0.48218460000000002</v>
      </c>
      <c r="V49">
        <v>1</v>
      </c>
      <c r="X49">
        <v>0</v>
      </c>
    </row>
    <row r="50" spans="1:24">
      <c r="A50" s="1">
        <v>0</v>
      </c>
      <c r="B50" s="1" t="s">
        <v>50</v>
      </c>
      <c r="C50" s="1">
        <v>0</v>
      </c>
      <c r="D50" s="33">
        <v>0</v>
      </c>
      <c r="E50" s="34">
        <v>0</v>
      </c>
      <c r="F50" s="33">
        <v>0</v>
      </c>
      <c r="G50">
        <v>0.21751026800000001</v>
      </c>
      <c r="H50">
        <f t="shared" si="20"/>
        <v>0</v>
      </c>
      <c r="I50" s="85">
        <v>3.6760997027159001E-2</v>
      </c>
      <c r="J50">
        <f t="shared" si="21"/>
        <v>0</v>
      </c>
      <c r="K50" s="86">
        <v>0.11014540493488301</v>
      </c>
      <c r="L50">
        <f t="shared" si="22"/>
        <v>0</v>
      </c>
      <c r="M50" s="30">
        <v>1.9394533708691999E-2</v>
      </c>
      <c r="N50">
        <f t="shared" si="22"/>
        <v>0</v>
      </c>
      <c r="O50">
        <v>1.6451116651297001E-2</v>
      </c>
      <c r="P50">
        <f t="shared" si="22"/>
        <v>0</v>
      </c>
      <c r="Q50">
        <v>0.32698950199999999</v>
      </c>
      <c r="R50">
        <f t="shared" si="22"/>
        <v>0</v>
      </c>
      <c r="S50">
        <v>8.9843384921551001E-2</v>
      </c>
      <c r="T50">
        <f t="shared" si="23"/>
        <v>0</v>
      </c>
      <c r="U50" s="1">
        <v>5.2995044999999998E-2</v>
      </c>
      <c r="V50">
        <v>0</v>
      </c>
      <c r="X50">
        <v>0</v>
      </c>
    </row>
    <row r="51" spans="1:24">
      <c r="A51" s="1">
        <v>0</v>
      </c>
      <c r="B51" s="1" t="s">
        <v>51</v>
      </c>
      <c r="C51" s="1">
        <v>0</v>
      </c>
      <c r="D51" s="33">
        <v>0</v>
      </c>
      <c r="E51" s="34">
        <v>0</v>
      </c>
      <c r="F51" s="33">
        <v>0</v>
      </c>
      <c r="G51">
        <v>0.55988252199999999</v>
      </c>
      <c r="H51">
        <f t="shared" si="20"/>
        <v>1</v>
      </c>
      <c r="I51" s="85">
        <v>3.3909790217877003E-2</v>
      </c>
      <c r="J51">
        <f t="shared" si="21"/>
        <v>0</v>
      </c>
      <c r="K51" s="86">
        <v>0.35685110092163003</v>
      </c>
      <c r="L51">
        <f t="shared" si="22"/>
        <v>0</v>
      </c>
      <c r="M51" s="30">
        <v>0.96089923381805398</v>
      </c>
      <c r="N51">
        <f t="shared" si="22"/>
        <v>1</v>
      </c>
      <c r="O51">
        <v>0.10815804451704</v>
      </c>
      <c r="P51">
        <f t="shared" si="22"/>
        <v>0</v>
      </c>
      <c r="Q51">
        <v>0.47150936700000001</v>
      </c>
      <c r="R51">
        <f t="shared" si="22"/>
        <v>0</v>
      </c>
      <c r="S51">
        <v>0.17444229125976601</v>
      </c>
      <c r="T51">
        <f t="shared" si="23"/>
        <v>0</v>
      </c>
      <c r="U51" s="1">
        <v>0.17004693000000001</v>
      </c>
      <c r="V51">
        <v>0</v>
      </c>
      <c r="X51">
        <v>0</v>
      </c>
    </row>
    <row r="52" spans="1:24">
      <c r="A52" s="1">
        <v>0</v>
      </c>
      <c r="B52" s="1" t="s">
        <v>52</v>
      </c>
      <c r="C52" s="1">
        <v>0</v>
      </c>
      <c r="D52" s="33">
        <v>0</v>
      </c>
      <c r="E52" s="34">
        <v>0</v>
      </c>
      <c r="F52" s="33">
        <v>0</v>
      </c>
      <c r="G52">
        <v>0.154411823</v>
      </c>
      <c r="H52">
        <f t="shared" si="20"/>
        <v>0</v>
      </c>
      <c r="I52" s="85">
        <v>1.13869864435401E-5</v>
      </c>
      <c r="J52">
        <f t="shared" si="21"/>
        <v>0</v>
      </c>
      <c r="K52" s="86">
        <v>0.10298799723386701</v>
      </c>
      <c r="L52">
        <f t="shared" si="22"/>
        <v>0</v>
      </c>
      <c r="M52" s="30">
        <v>2.0919431000948001E-2</v>
      </c>
      <c r="N52">
        <f t="shared" si="22"/>
        <v>0</v>
      </c>
      <c r="O52">
        <v>6.7467242479320004E-3</v>
      </c>
      <c r="P52">
        <f t="shared" si="22"/>
        <v>0</v>
      </c>
      <c r="Q52">
        <v>0.240555301</v>
      </c>
      <c r="R52">
        <f t="shared" si="22"/>
        <v>0</v>
      </c>
      <c r="S52">
        <v>1.2495899572969E-2</v>
      </c>
      <c r="T52">
        <f t="shared" si="23"/>
        <v>0</v>
      </c>
      <c r="U52" s="1">
        <v>0.10603612</v>
      </c>
      <c r="V52">
        <v>0</v>
      </c>
      <c r="X52">
        <v>0</v>
      </c>
    </row>
    <row r="53" spans="1:24">
      <c r="A53" s="1">
        <v>0</v>
      </c>
      <c r="B53" s="1" t="s">
        <v>53</v>
      </c>
      <c r="C53" s="1">
        <v>0</v>
      </c>
      <c r="D53" s="33">
        <v>0</v>
      </c>
      <c r="E53" s="34">
        <v>0</v>
      </c>
      <c r="F53" s="33">
        <v>0</v>
      </c>
      <c r="G53">
        <v>4.8732365999999999E-2</v>
      </c>
      <c r="H53">
        <f t="shared" si="20"/>
        <v>0</v>
      </c>
      <c r="I53" s="85">
        <v>3.3622005139499999E-4</v>
      </c>
      <c r="J53">
        <f t="shared" si="21"/>
        <v>0</v>
      </c>
      <c r="K53" s="86">
        <v>9.9621891975402804E-2</v>
      </c>
      <c r="L53">
        <f t="shared" si="22"/>
        <v>0</v>
      </c>
      <c r="M53">
        <v>3.4522246569395003E-2</v>
      </c>
      <c r="N53">
        <f t="shared" si="22"/>
        <v>0</v>
      </c>
      <c r="O53">
        <v>4.7494196332990004E-3</v>
      </c>
      <c r="P53">
        <f t="shared" si="22"/>
        <v>0</v>
      </c>
      <c r="Q53">
        <v>0.11765629800000001</v>
      </c>
      <c r="R53">
        <f t="shared" si="22"/>
        <v>0</v>
      </c>
      <c r="S53" s="30">
        <v>7.0163077907636802E-5</v>
      </c>
      <c r="T53">
        <f t="shared" si="23"/>
        <v>0</v>
      </c>
      <c r="U53" s="1">
        <v>0.17919948999999999</v>
      </c>
      <c r="V53">
        <v>1</v>
      </c>
      <c r="X53">
        <v>0</v>
      </c>
    </row>
    <row r="54" spans="1:24">
      <c r="A54" s="1">
        <v>0</v>
      </c>
      <c r="B54" s="1" t="s">
        <v>54</v>
      </c>
      <c r="C54" s="1">
        <v>0</v>
      </c>
      <c r="D54" s="33">
        <v>0</v>
      </c>
      <c r="E54" s="34">
        <v>0</v>
      </c>
      <c r="F54" s="33">
        <v>0</v>
      </c>
      <c r="G54">
        <v>0.186708033</v>
      </c>
      <c r="H54">
        <f t="shared" si="20"/>
        <v>0</v>
      </c>
      <c r="I54" s="85">
        <v>3.6422109697009999E-3</v>
      </c>
      <c r="J54">
        <f t="shared" si="21"/>
        <v>0</v>
      </c>
      <c r="K54" s="86">
        <v>8.7656885385513306E-2</v>
      </c>
      <c r="L54">
        <f t="shared" si="22"/>
        <v>0</v>
      </c>
      <c r="M54" s="30">
        <v>3.5748202353716001E-2</v>
      </c>
      <c r="N54">
        <f t="shared" si="22"/>
        <v>0</v>
      </c>
      <c r="O54">
        <v>1.47420342546E-3</v>
      </c>
      <c r="P54">
        <f t="shared" si="22"/>
        <v>0</v>
      </c>
      <c r="Q54">
        <v>0.127704337</v>
      </c>
      <c r="R54">
        <f t="shared" si="22"/>
        <v>0</v>
      </c>
      <c r="S54">
        <v>1.3786053750659999E-3</v>
      </c>
      <c r="T54">
        <f t="shared" si="23"/>
        <v>0</v>
      </c>
      <c r="U54" s="1">
        <v>3.2668132E-3</v>
      </c>
      <c r="V54">
        <v>0</v>
      </c>
      <c r="X54">
        <v>0</v>
      </c>
    </row>
    <row r="55" spans="1:24">
      <c r="A55" s="1">
        <v>0</v>
      </c>
      <c r="B55" s="1" t="s">
        <v>55</v>
      </c>
      <c r="C55" s="1">
        <v>0</v>
      </c>
      <c r="D55" s="33">
        <v>0</v>
      </c>
      <c r="E55" s="34">
        <v>0</v>
      </c>
      <c r="F55" s="33">
        <v>1</v>
      </c>
      <c r="G55">
        <v>0.87362348999999995</v>
      </c>
      <c r="H55">
        <f t="shared" si="20"/>
        <v>1</v>
      </c>
      <c r="I55" s="85">
        <v>0.77532505989074696</v>
      </c>
      <c r="J55">
        <f t="shared" si="21"/>
        <v>1</v>
      </c>
      <c r="K55" s="86">
        <v>0.80902189016342096</v>
      </c>
      <c r="L55">
        <f t="shared" si="22"/>
        <v>1</v>
      </c>
      <c r="M55">
        <v>0.55992287397384599</v>
      </c>
      <c r="N55">
        <f t="shared" si="22"/>
        <v>1</v>
      </c>
      <c r="O55">
        <v>0.76784098148346003</v>
      </c>
      <c r="P55">
        <f t="shared" si="22"/>
        <v>1</v>
      </c>
      <c r="Q55">
        <v>0.77146851999999999</v>
      </c>
      <c r="R55">
        <f t="shared" si="22"/>
        <v>1</v>
      </c>
      <c r="S55">
        <v>0.94395202398300204</v>
      </c>
      <c r="T55">
        <f t="shared" si="23"/>
        <v>1</v>
      </c>
      <c r="U55" s="1">
        <v>0.32860847999999998</v>
      </c>
      <c r="V55">
        <v>1</v>
      </c>
      <c r="X55">
        <v>0</v>
      </c>
    </row>
    <row r="56" spans="1:24">
      <c r="A56" s="1">
        <v>0</v>
      </c>
      <c r="B56" s="1" t="s">
        <v>56</v>
      </c>
      <c r="C56" s="1">
        <v>0</v>
      </c>
      <c r="D56" s="33">
        <v>0</v>
      </c>
      <c r="E56" s="34">
        <v>0</v>
      </c>
      <c r="F56" s="33">
        <v>0</v>
      </c>
      <c r="G56">
        <v>0.104719311</v>
      </c>
      <c r="H56">
        <f t="shared" si="20"/>
        <v>0</v>
      </c>
      <c r="I56" s="85">
        <v>1.20145647088E-4</v>
      </c>
      <c r="J56">
        <f t="shared" si="21"/>
        <v>0</v>
      </c>
      <c r="K56" s="86">
        <v>5.1278423517942401E-2</v>
      </c>
      <c r="L56">
        <f t="shared" si="22"/>
        <v>0</v>
      </c>
      <c r="M56">
        <v>0.10577205568552001</v>
      </c>
      <c r="N56">
        <f t="shared" si="22"/>
        <v>0</v>
      </c>
      <c r="O56">
        <v>4.0400242432950002E-3</v>
      </c>
      <c r="P56">
        <f t="shared" si="22"/>
        <v>0</v>
      </c>
      <c r="Q56">
        <v>0.24065344</v>
      </c>
      <c r="R56">
        <f t="shared" si="22"/>
        <v>0</v>
      </c>
      <c r="S56">
        <v>2.7093160897493002E-2</v>
      </c>
      <c r="T56">
        <f t="shared" si="23"/>
        <v>0</v>
      </c>
      <c r="U56" s="1">
        <v>0.13206283999999999</v>
      </c>
      <c r="V56">
        <v>0</v>
      </c>
      <c r="X56">
        <v>0</v>
      </c>
    </row>
    <row r="57" spans="1:24">
      <c r="A57" s="1">
        <v>0</v>
      </c>
      <c r="B57" s="1" t="s">
        <v>57</v>
      </c>
      <c r="C57" s="1">
        <v>0</v>
      </c>
      <c r="D57" s="33">
        <v>0</v>
      </c>
      <c r="E57" s="34">
        <v>0</v>
      </c>
      <c r="F57" s="33">
        <v>0</v>
      </c>
      <c r="G57">
        <v>0.69474554099999997</v>
      </c>
      <c r="H57">
        <f t="shared" si="20"/>
        <v>1</v>
      </c>
      <c r="I57" s="85">
        <v>0.95830082893371604</v>
      </c>
      <c r="J57">
        <f t="shared" si="21"/>
        <v>1</v>
      </c>
      <c r="K57" s="86">
        <v>0.55664199590682895</v>
      </c>
      <c r="L57">
        <f t="shared" si="22"/>
        <v>1</v>
      </c>
      <c r="M57" s="30">
        <v>0.80314666032791104</v>
      </c>
      <c r="N57">
        <f t="shared" si="22"/>
        <v>1</v>
      </c>
      <c r="O57">
        <v>1.8023960292338999E-2</v>
      </c>
      <c r="P57">
        <f t="shared" si="22"/>
        <v>0</v>
      </c>
      <c r="Q57">
        <v>0.69599360200000004</v>
      </c>
      <c r="R57">
        <f t="shared" si="22"/>
        <v>1</v>
      </c>
      <c r="S57">
        <v>0.98703348636627197</v>
      </c>
      <c r="T57">
        <f t="shared" si="23"/>
        <v>1</v>
      </c>
      <c r="U57" s="1">
        <v>0.26616087999999999</v>
      </c>
      <c r="V57">
        <v>1</v>
      </c>
      <c r="X57">
        <v>0</v>
      </c>
    </row>
    <row r="58" spans="1:24">
      <c r="A58" s="1">
        <v>0</v>
      </c>
      <c r="B58" s="1" t="s">
        <v>58</v>
      </c>
      <c r="C58" s="1">
        <v>0</v>
      </c>
      <c r="D58" s="33">
        <v>0</v>
      </c>
      <c r="E58" s="34">
        <v>0</v>
      </c>
      <c r="F58" s="33">
        <v>0</v>
      </c>
      <c r="G58">
        <v>4.0507588999999997E-2</v>
      </c>
      <c r="H58">
        <f t="shared" si="20"/>
        <v>0</v>
      </c>
      <c r="I58" s="85">
        <v>6.2440987676399998E-4</v>
      </c>
      <c r="J58">
        <f t="shared" si="21"/>
        <v>0</v>
      </c>
      <c r="K58" s="86">
        <v>6.2921896576881395E-2</v>
      </c>
      <c r="L58">
        <f t="shared" si="22"/>
        <v>0</v>
      </c>
      <c r="M58">
        <v>6.5251295454799999E-3</v>
      </c>
      <c r="N58">
        <f t="shared" si="22"/>
        <v>0</v>
      </c>
      <c r="O58">
        <v>1.2617476750170001E-3</v>
      </c>
      <c r="P58">
        <f t="shared" si="22"/>
        <v>0</v>
      </c>
      <c r="Q58">
        <v>5.5146698000000001E-2</v>
      </c>
      <c r="R58">
        <f t="shared" si="22"/>
        <v>0</v>
      </c>
      <c r="S58">
        <v>1.8768714740872001E-2</v>
      </c>
      <c r="T58">
        <f t="shared" si="23"/>
        <v>0</v>
      </c>
      <c r="U58" s="1">
        <v>1.7914189000000001E-2</v>
      </c>
      <c r="V58">
        <v>0</v>
      </c>
      <c r="X58">
        <v>0</v>
      </c>
    </row>
    <row r="59" spans="1:24">
      <c r="A59" s="1">
        <v>0</v>
      </c>
      <c r="B59" s="1" t="s">
        <v>59</v>
      </c>
      <c r="C59" s="1">
        <v>0</v>
      </c>
      <c r="D59" s="33">
        <v>0</v>
      </c>
      <c r="E59" s="34">
        <v>0</v>
      </c>
      <c r="F59" s="33">
        <v>0</v>
      </c>
      <c r="G59">
        <v>0.33319765299999998</v>
      </c>
      <c r="H59">
        <f t="shared" si="20"/>
        <v>0</v>
      </c>
      <c r="I59" s="85">
        <v>3.5839233547449001E-2</v>
      </c>
      <c r="J59">
        <f t="shared" si="21"/>
        <v>0</v>
      </c>
      <c r="K59" s="86">
        <v>4.5065302401780999E-2</v>
      </c>
      <c r="L59">
        <f t="shared" si="22"/>
        <v>0</v>
      </c>
      <c r="M59">
        <v>2.9323841445149999E-3</v>
      </c>
      <c r="N59">
        <f t="shared" si="22"/>
        <v>0</v>
      </c>
      <c r="O59">
        <v>2.5170937180519E-2</v>
      </c>
      <c r="P59">
        <f t="shared" si="22"/>
        <v>0</v>
      </c>
      <c r="Q59">
        <v>0.24363079700000001</v>
      </c>
      <c r="R59">
        <f t="shared" si="22"/>
        <v>0</v>
      </c>
      <c r="S59">
        <v>0.29401934146881098</v>
      </c>
      <c r="T59">
        <f t="shared" si="23"/>
        <v>0</v>
      </c>
      <c r="U59" s="1">
        <v>7.9346680000000003E-2</v>
      </c>
      <c r="V59">
        <v>0</v>
      </c>
      <c r="X59">
        <v>0</v>
      </c>
    </row>
    <row r="60" spans="1:24">
      <c r="A60" s="1">
        <v>0</v>
      </c>
      <c r="B60" s="1" t="s">
        <v>60</v>
      </c>
      <c r="C60" s="1">
        <v>0</v>
      </c>
      <c r="D60" s="33">
        <v>0</v>
      </c>
      <c r="E60" s="34">
        <v>0</v>
      </c>
      <c r="F60" s="33">
        <v>0</v>
      </c>
      <c r="G60">
        <v>0.38330092999999998</v>
      </c>
      <c r="H60">
        <f t="shared" si="20"/>
        <v>0</v>
      </c>
      <c r="I60" s="85">
        <v>5.5530471727250003E-3</v>
      </c>
      <c r="J60">
        <f t="shared" si="21"/>
        <v>0</v>
      </c>
      <c r="K60" s="86">
        <v>0.177943781018257</v>
      </c>
      <c r="L60">
        <f t="shared" si="22"/>
        <v>0</v>
      </c>
      <c r="M60">
        <v>0.33053523302078203</v>
      </c>
      <c r="N60">
        <f t="shared" si="22"/>
        <v>0</v>
      </c>
      <c r="O60">
        <v>2.6126047596336001E-2</v>
      </c>
      <c r="P60">
        <f t="shared" si="22"/>
        <v>0</v>
      </c>
      <c r="Q60">
        <v>0.46110254499999997</v>
      </c>
      <c r="R60">
        <f t="shared" si="22"/>
        <v>0</v>
      </c>
      <c r="S60">
        <v>0.74890851974487305</v>
      </c>
      <c r="T60">
        <f t="shared" si="23"/>
        <v>1</v>
      </c>
      <c r="U60" s="1">
        <v>0.25593589999999999</v>
      </c>
      <c r="V60">
        <v>0</v>
      </c>
      <c r="X60">
        <v>0</v>
      </c>
    </row>
    <row r="61" spans="1:24">
      <c r="A61" s="1">
        <v>0</v>
      </c>
      <c r="B61" s="1" t="s">
        <v>61</v>
      </c>
      <c r="C61" s="1">
        <v>0</v>
      </c>
      <c r="D61" s="33">
        <v>0</v>
      </c>
      <c r="E61" s="34">
        <v>0</v>
      </c>
      <c r="F61" s="33">
        <v>0</v>
      </c>
      <c r="G61">
        <v>0.23869748399999999</v>
      </c>
      <c r="H61">
        <f t="shared" si="20"/>
        <v>0</v>
      </c>
      <c r="I61" s="85">
        <v>2.0053073763847001E-2</v>
      </c>
      <c r="J61">
        <f t="shared" si="21"/>
        <v>0</v>
      </c>
      <c r="K61" s="86">
        <v>3.26893776655197E-2</v>
      </c>
      <c r="L61">
        <f t="shared" si="22"/>
        <v>0</v>
      </c>
      <c r="M61">
        <v>0.182087257504463</v>
      </c>
      <c r="N61">
        <f t="shared" si="22"/>
        <v>0</v>
      </c>
      <c r="O61">
        <v>0.38469567894935602</v>
      </c>
      <c r="P61">
        <f t="shared" si="22"/>
        <v>0</v>
      </c>
      <c r="Q61">
        <v>0.563837111</v>
      </c>
      <c r="R61">
        <f t="shared" si="22"/>
        <v>1</v>
      </c>
      <c r="S61">
        <v>8.7234780192375003E-2</v>
      </c>
      <c r="T61">
        <f t="shared" si="23"/>
        <v>0</v>
      </c>
      <c r="U61" s="1">
        <v>0.14723233999999999</v>
      </c>
      <c r="V61">
        <v>0</v>
      </c>
      <c r="X61">
        <v>0</v>
      </c>
    </row>
    <row r="62" spans="1:24">
      <c r="A62" s="1">
        <v>0</v>
      </c>
      <c r="B62" s="1" t="s">
        <v>62</v>
      </c>
      <c r="C62" s="1">
        <v>0</v>
      </c>
      <c r="D62" s="33">
        <v>0</v>
      </c>
      <c r="E62" s="34">
        <v>0</v>
      </c>
      <c r="F62" s="33">
        <v>0</v>
      </c>
      <c r="G62">
        <v>0.476097196</v>
      </c>
      <c r="H62">
        <f t="shared" si="20"/>
        <v>0</v>
      </c>
      <c r="I62" s="85">
        <v>2.5203373283147999E-2</v>
      </c>
      <c r="J62">
        <f t="shared" si="21"/>
        <v>0</v>
      </c>
      <c r="K62" s="86">
        <v>0.32173198461532498</v>
      </c>
      <c r="L62">
        <f t="shared" si="22"/>
        <v>0</v>
      </c>
      <c r="M62">
        <v>5.3519234061240997E-2</v>
      </c>
      <c r="N62">
        <f t="shared" si="22"/>
        <v>0</v>
      </c>
      <c r="O62">
        <v>0.12616138160228699</v>
      </c>
      <c r="P62">
        <f t="shared" si="22"/>
        <v>0</v>
      </c>
      <c r="Q62">
        <v>0.28650852999999998</v>
      </c>
      <c r="R62">
        <f t="shared" si="22"/>
        <v>0</v>
      </c>
      <c r="S62">
        <v>0.38048639893531799</v>
      </c>
      <c r="T62">
        <f t="shared" si="23"/>
        <v>0</v>
      </c>
      <c r="U62" s="1">
        <v>0.23747494999999999</v>
      </c>
      <c r="V62">
        <v>0</v>
      </c>
      <c r="X62">
        <v>0</v>
      </c>
    </row>
    <row r="63" spans="1:24">
      <c r="A63" s="1">
        <v>0</v>
      </c>
      <c r="B63" s="1" t="s">
        <v>63</v>
      </c>
      <c r="C63" s="1">
        <v>0</v>
      </c>
      <c r="D63" s="33">
        <v>0</v>
      </c>
      <c r="E63" s="34">
        <v>0</v>
      </c>
      <c r="F63" s="33">
        <v>0</v>
      </c>
      <c r="G63">
        <v>9.3743226999999998E-2</v>
      </c>
      <c r="H63">
        <f t="shared" si="20"/>
        <v>0</v>
      </c>
      <c r="I63" s="85">
        <v>1.3689930710825101E-5</v>
      </c>
      <c r="J63">
        <f t="shared" si="21"/>
        <v>0</v>
      </c>
      <c r="K63" s="86">
        <v>0.146697387099266</v>
      </c>
      <c r="L63">
        <f t="shared" si="22"/>
        <v>0</v>
      </c>
      <c r="M63" s="30">
        <v>2.259546192363E-3</v>
      </c>
      <c r="N63">
        <f t="shared" si="22"/>
        <v>0</v>
      </c>
      <c r="O63">
        <v>4.249719437212E-3</v>
      </c>
      <c r="P63">
        <f t="shared" si="22"/>
        <v>0</v>
      </c>
      <c r="Q63">
        <v>0.15431256600000001</v>
      </c>
      <c r="R63">
        <f t="shared" si="22"/>
        <v>0</v>
      </c>
      <c r="S63">
        <v>6.6467900760469999E-3</v>
      </c>
      <c r="T63">
        <f t="shared" si="23"/>
        <v>0</v>
      </c>
      <c r="U63" s="1">
        <v>6.1972085000000003E-2</v>
      </c>
      <c r="V63">
        <v>0</v>
      </c>
      <c r="X63">
        <v>0</v>
      </c>
    </row>
    <row r="64" spans="1:24">
      <c r="A64" s="1">
        <v>0</v>
      </c>
      <c r="B64" s="1" t="s">
        <v>64</v>
      </c>
      <c r="C64" s="1">
        <v>0</v>
      </c>
      <c r="D64" s="33">
        <v>0</v>
      </c>
      <c r="E64" s="34">
        <v>0</v>
      </c>
      <c r="F64" s="33">
        <v>0</v>
      </c>
      <c r="G64">
        <v>0.26382949900000002</v>
      </c>
      <c r="H64">
        <f t="shared" si="20"/>
        <v>0</v>
      </c>
      <c r="I64" s="85">
        <v>5.1018323749303998E-2</v>
      </c>
      <c r="J64">
        <f t="shared" si="21"/>
        <v>0</v>
      </c>
      <c r="K64" s="86">
        <v>0.19933263957500399</v>
      </c>
      <c r="L64">
        <f t="shared" si="22"/>
        <v>0</v>
      </c>
      <c r="M64">
        <v>0.66197752952575695</v>
      </c>
      <c r="N64">
        <f t="shared" si="22"/>
        <v>1</v>
      </c>
      <c r="O64">
        <v>1.8443407490850001E-2</v>
      </c>
      <c r="P64">
        <f t="shared" si="22"/>
        <v>0</v>
      </c>
      <c r="Q64">
        <v>0.22489701200000001</v>
      </c>
      <c r="R64">
        <f t="shared" si="22"/>
        <v>0</v>
      </c>
      <c r="S64">
        <v>0.23857553303241699</v>
      </c>
      <c r="T64">
        <f t="shared" si="23"/>
        <v>0</v>
      </c>
      <c r="U64" s="1">
        <v>0.19522576</v>
      </c>
      <c r="V64">
        <v>1</v>
      </c>
      <c r="X64">
        <v>0</v>
      </c>
    </row>
    <row r="65" spans="1:24">
      <c r="A65" s="1">
        <v>0</v>
      </c>
      <c r="B65" s="1" t="s">
        <v>65</v>
      </c>
      <c r="C65" s="1">
        <v>0</v>
      </c>
      <c r="D65" s="33">
        <v>0</v>
      </c>
      <c r="E65" s="34">
        <v>0</v>
      </c>
      <c r="F65" s="33">
        <v>0</v>
      </c>
      <c r="G65">
        <v>8.8482543999999996E-2</v>
      </c>
      <c r="H65">
        <f t="shared" si="20"/>
        <v>0</v>
      </c>
      <c r="I65" s="85">
        <v>4.4623398025578396E-6</v>
      </c>
      <c r="J65">
        <f t="shared" si="21"/>
        <v>0</v>
      </c>
      <c r="K65" s="86">
        <v>2.0625557750463399E-2</v>
      </c>
      <c r="L65">
        <f t="shared" si="22"/>
        <v>0</v>
      </c>
      <c r="M65">
        <v>0.150257453322411</v>
      </c>
      <c r="N65">
        <f t="shared" si="22"/>
        <v>0</v>
      </c>
      <c r="O65">
        <v>8.3251465111969999E-3</v>
      </c>
      <c r="P65">
        <f t="shared" si="22"/>
        <v>0</v>
      </c>
      <c r="Q65">
        <v>0.22529070100000001</v>
      </c>
      <c r="R65">
        <f t="shared" si="22"/>
        <v>0</v>
      </c>
      <c r="S65">
        <v>2.3986425250769002E-2</v>
      </c>
      <c r="T65">
        <f t="shared" si="23"/>
        <v>0</v>
      </c>
      <c r="U65" s="1">
        <v>0.23136470000000001</v>
      </c>
      <c r="V65">
        <v>0</v>
      </c>
      <c r="X65">
        <v>0</v>
      </c>
    </row>
    <row r="66" spans="1:24">
      <c r="A66" s="1">
        <v>1</v>
      </c>
      <c r="B66" s="7" t="s">
        <v>66</v>
      </c>
      <c r="C66" s="1">
        <v>1</v>
      </c>
      <c r="D66" s="33">
        <v>1</v>
      </c>
      <c r="E66" s="33">
        <v>1</v>
      </c>
      <c r="F66" s="33">
        <v>1</v>
      </c>
      <c r="G66">
        <v>0.86020368300000005</v>
      </c>
      <c r="H66">
        <f t="shared" si="20"/>
        <v>1</v>
      </c>
      <c r="I66" s="85">
        <v>0.95869994163513195</v>
      </c>
      <c r="J66">
        <f t="shared" si="21"/>
        <v>1</v>
      </c>
      <c r="K66" s="86">
        <v>0.16050419211387601</v>
      </c>
      <c r="L66">
        <f t="shared" si="22"/>
        <v>0</v>
      </c>
      <c r="M66">
        <v>0.66591888666152999</v>
      </c>
      <c r="N66">
        <f t="shared" si="22"/>
        <v>1</v>
      </c>
      <c r="O66">
        <v>0.98275071382522605</v>
      </c>
      <c r="P66">
        <f t="shared" si="22"/>
        <v>1</v>
      </c>
      <c r="Q66">
        <v>0.78348755800000003</v>
      </c>
      <c r="R66">
        <f t="shared" si="22"/>
        <v>1</v>
      </c>
      <c r="S66">
        <v>0.98013538122177102</v>
      </c>
      <c r="T66">
        <f t="shared" si="23"/>
        <v>1</v>
      </c>
      <c r="U66">
        <v>0.15163428000000001</v>
      </c>
      <c r="V66">
        <v>1</v>
      </c>
      <c r="X66">
        <v>1</v>
      </c>
    </row>
    <row r="67" spans="1:24">
      <c r="A67" s="1">
        <v>1</v>
      </c>
      <c r="B67" s="1" t="s">
        <v>67</v>
      </c>
      <c r="C67" s="1">
        <v>1</v>
      </c>
      <c r="D67" s="33">
        <v>1</v>
      </c>
      <c r="E67" s="33">
        <v>1</v>
      </c>
      <c r="F67" s="33">
        <v>1</v>
      </c>
      <c r="G67">
        <v>0.90298938799999995</v>
      </c>
      <c r="H67">
        <f t="shared" si="20"/>
        <v>1</v>
      </c>
      <c r="I67" s="85">
        <v>0.98311769962310802</v>
      </c>
      <c r="J67">
        <f t="shared" si="21"/>
        <v>1</v>
      </c>
      <c r="K67" s="86">
        <v>0.90908706188201904</v>
      </c>
      <c r="L67">
        <f t="shared" si="22"/>
        <v>1</v>
      </c>
      <c r="M67">
        <v>0.116881214082241</v>
      </c>
      <c r="N67">
        <f t="shared" si="22"/>
        <v>0</v>
      </c>
      <c r="O67">
        <v>0.903908491134644</v>
      </c>
      <c r="P67">
        <f t="shared" si="22"/>
        <v>1</v>
      </c>
      <c r="Q67">
        <v>0.66968375400000002</v>
      </c>
      <c r="R67">
        <f t="shared" si="22"/>
        <v>1</v>
      </c>
      <c r="S67">
        <v>0.92892479896545399</v>
      </c>
      <c r="T67">
        <f t="shared" si="23"/>
        <v>1</v>
      </c>
      <c r="U67">
        <v>0.39391088000000002</v>
      </c>
      <c r="V67">
        <v>1</v>
      </c>
      <c r="X67">
        <v>0</v>
      </c>
    </row>
    <row r="68" spans="1:24">
      <c r="A68" s="1">
        <v>1</v>
      </c>
      <c r="B68" s="7" t="s">
        <v>68</v>
      </c>
      <c r="C68" s="1">
        <v>1</v>
      </c>
      <c r="D68" s="33">
        <v>1</v>
      </c>
      <c r="E68" s="33">
        <v>1</v>
      </c>
      <c r="F68" s="33">
        <v>1</v>
      </c>
      <c r="G68">
        <v>0.36061340600000003</v>
      </c>
      <c r="H68">
        <f t="shared" si="20"/>
        <v>0</v>
      </c>
      <c r="I68" s="85">
        <v>0.24951766431331601</v>
      </c>
      <c r="J68">
        <f t="shared" si="21"/>
        <v>0</v>
      </c>
      <c r="K68" s="86">
        <v>0.51461762189865101</v>
      </c>
      <c r="L68">
        <f t="shared" si="22"/>
        <v>1</v>
      </c>
      <c r="M68" s="30">
        <v>0.93264549970626798</v>
      </c>
      <c r="N68">
        <f t="shared" si="22"/>
        <v>1</v>
      </c>
      <c r="O68">
        <v>0.664381563663483</v>
      </c>
      <c r="P68">
        <f t="shared" si="22"/>
        <v>1</v>
      </c>
      <c r="Q68">
        <v>0.59806853500000001</v>
      </c>
      <c r="R68">
        <f t="shared" si="22"/>
        <v>1</v>
      </c>
      <c r="S68">
        <v>0.99912697076797496</v>
      </c>
      <c r="T68">
        <f t="shared" si="23"/>
        <v>1</v>
      </c>
      <c r="U68">
        <v>0.37859147999999998</v>
      </c>
      <c r="V68">
        <v>1</v>
      </c>
      <c r="X68">
        <v>1</v>
      </c>
    </row>
    <row r="69" spans="1:24">
      <c r="A69" s="1">
        <v>1</v>
      </c>
      <c r="B69" s="1" t="s">
        <v>69</v>
      </c>
      <c r="C69" s="1">
        <v>1</v>
      </c>
      <c r="D69" s="33">
        <v>0</v>
      </c>
      <c r="E69" s="34">
        <v>1</v>
      </c>
      <c r="F69" s="33">
        <v>1</v>
      </c>
      <c r="G69">
        <v>0.77453053000000005</v>
      </c>
      <c r="H69">
        <f t="shared" si="20"/>
        <v>1</v>
      </c>
      <c r="I69" s="85">
        <v>0.97026497125625599</v>
      </c>
      <c r="J69">
        <f t="shared" si="21"/>
        <v>1</v>
      </c>
      <c r="K69" s="86">
        <v>0.229152336716651</v>
      </c>
      <c r="L69">
        <f t="shared" si="22"/>
        <v>0</v>
      </c>
      <c r="M69">
        <v>0.37507286667823803</v>
      </c>
      <c r="N69">
        <f t="shared" si="22"/>
        <v>0</v>
      </c>
      <c r="O69">
        <v>0.62156021595001198</v>
      </c>
      <c r="P69">
        <f t="shared" si="22"/>
        <v>1</v>
      </c>
      <c r="Q69">
        <v>0.69224739099999999</v>
      </c>
      <c r="R69">
        <f t="shared" si="22"/>
        <v>1</v>
      </c>
      <c r="S69">
        <v>0.99568438529968295</v>
      </c>
      <c r="T69">
        <f t="shared" si="23"/>
        <v>1</v>
      </c>
      <c r="U69">
        <v>0.28949624000000002</v>
      </c>
      <c r="V69">
        <v>1</v>
      </c>
      <c r="X69">
        <v>0</v>
      </c>
    </row>
    <row r="70" spans="1:24">
      <c r="A70" s="1">
        <v>1</v>
      </c>
      <c r="B70" s="1" t="s">
        <v>70</v>
      </c>
      <c r="C70" s="1">
        <v>1</v>
      </c>
      <c r="D70" s="33">
        <v>1</v>
      </c>
      <c r="E70" s="33">
        <v>1</v>
      </c>
      <c r="F70" s="33">
        <v>1</v>
      </c>
      <c r="G70">
        <v>0.65018790999999998</v>
      </c>
      <c r="H70">
        <f t="shared" si="20"/>
        <v>1</v>
      </c>
      <c r="I70" s="85">
        <v>0.777002513408661</v>
      </c>
      <c r="J70">
        <f t="shared" si="21"/>
        <v>1</v>
      </c>
      <c r="K70" s="86">
        <v>0.475318282842636</v>
      </c>
      <c r="L70">
        <f t="shared" si="22"/>
        <v>0</v>
      </c>
      <c r="M70">
        <v>0.56063371896743797</v>
      </c>
      <c r="N70">
        <f t="shared" si="22"/>
        <v>1</v>
      </c>
      <c r="O70">
        <v>0.65071332454681396</v>
      </c>
      <c r="P70">
        <f t="shared" si="22"/>
        <v>1</v>
      </c>
      <c r="Q70">
        <v>0.38955149100000003</v>
      </c>
      <c r="R70">
        <f t="shared" si="22"/>
        <v>0</v>
      </c>
      <c r="S70">
        <v>0.37077558040618902</v>
      </c>
      <c r="T70">
        <f t="shared" si="23"/>
        <v>0</v>
      </c>
      <c r="U70">
        <v>0.26524225000000001</v>
      </c>
      <c r="V70">
        <v>1</v>
      </c>
      <c r="X70">
        <v>0</v>
      </c>
    </row>
    <row r="71" spans="1:24">
      <c r="A71" s="1">
        <v>1</v>
      </c>
      <c r="B71" s="1" t="s">
        <v>71</v>
      </c>
      <c r="C71" s="1">
        <v>1</v>
      </c>
      <c r="D71" s="33">
        <v>1</v>
      </c>
      <c r="E71" s="33">
        <v>1</v>
      </c>
      <c r="F71" s="33">
        <v>1</v>
      </c>
      <c r="G71" s="30">
        <v>0.66462612200000004</v>
      </c>
      <c r="H71">
        <f t="shared" si="20"/>
        <v>1</v>
      </c>
      <c r="I71" s="85">
        <v>0.71758711338043202</v>
      </c>
      <c r="J71">
        <f t="shared" si="21"/>
        <v>1</v>
      </c>
      <c r="K71" s="86">
        <v>0.67892915010452204</v>
      </c>
      <c r="L71">
        <f t="shared" si="22"/>
        <v>1</v>
      </c>
      <c r="M71" s="30">
        <v>0.879139363765717</v>
      </c>
      <c r="N71">
        <f t="shared" si="22"/>
        <v>1</v>
      </c>
      <c r="O71">
        <v>0.82478648424148604</v>
      </c>
      <c r="P71">
        <f t="shared" si="22"/>
        <v>1</v>
      </c>
      <c r="Q71">
        <v>0.72950059199999995</v>
      </c>
      <c r="R71">
        <f t="shared" si="22"/>
        <v>1</v>
      </c>
      <c r="S71">
        <v>0.93574547767639205</v>
      </c>
      <c r="T71">
        <f t="shared" si="23"/>
        <v>1</v>
      </c>
      <c r="U71">
        <v>0.34700942000000001</v>
      </c>
      <c r="V71">
        <v>1</v>
      </c>
      <c r="X71">
        <v>0</v>
      </c>
    </row>
    <row r="72" spans="1:24">
      <c r="A72" s="1">
        <v>1</v>
      </c>
      <c r="B72" s="1" t="s">
        <v>72</v>
      </c>
      <c r="C72" s="1">
        <v>1</v>
      </c>
      <c r="D72" s="33">
        <v>1</v>
      </c>
      <c r="E72" s="33">
        <v>1</v>
      </c>
      <c r="F72" s="33">
        <v>1</v>
      </c>
      <c r="G72">
        <v>0.97367888700000005</v>
      </c>
      <c r="H72">
        <f t="shared" si="20"/>
        <v>1</v>
      </c>
      <c r="I72" s="85">
        <v>0.99999403953552202</v>
      </c>
      <c r="J72">
        <f t="shared" si="21"/>
        <v>1</v>
      </c>
      <c r="K72" s="86">
        <v>0.95541089773178101</v>
      </c>
      <c r="L72">
        <f t="shared" si="22"/>
        <v>1</v>
      </c>
      <c r="M72">
        <v>0.99630546569824197</v>
      </c>
      <c r="N72">
        <f t="shared" si="22"/>
        <v>1</v>
      </c>
      <c r="O72">
        <v>0.99833446741104104</v>
      </c>
      <c r="P72">
        <f t="shared" si="22"/>
        <v>1</v>
      </c>
      <c r="Q72">
        <v>0.86547178000000002</v>
      </c>
      <c r="R72">
        <f t="shared" si="22"/>
        <v>1</v>
      </c>
      <c r="S72">
        <v>0.99999547004699696</v>
      </c>
      <c r="T72">
        <f t="shared" si="23"/>
        <v>1</v>
      </c>
      <c r="U72">
        <v>0.42062836999999997</v>
      </c>
      <c r="V72">
        <v>1</v>
      </c>
      <c r="X72">
        <v>0</v>
      </c>
    </row>
    <row r="73" spans="1:24">
      <c r="A73" s="1">
        <v>1</v>
      </c>
      <c r="B73" s="1" t="s">
        <v>73</v>
      </c>
      <c r="C73" s="1">
        <v>1</v>
      </c>
      <c r="D73" s="33">
        <v>1</v>
      </c>
      <c r="E73" s="33">
        <v>1</v>
      </c>
      <c r="F73" s="33">
        <v>1</v>
      </c>
      <c r="G73">
        <v>0.94742059700000003</v>
      </c>
      <c r="H73">
        <f t="shared" si="20"/>
        <v>1</v>
      </c>
      <c r="I73" s="85">
        <v>0.98367059230804399</v>
      </c>
      <c r="J73">
        <f t="shared" si="21"/>
        <v>1</v>
      </c>
      <c r="K73" s="86">
        <v>0.84762698411941495</v>
      </c>
      <c r="L73">
        <f t="shared" si="22"/>
        <v>1</v>
      </c>
      <c r="M73">
        <v>0.535830497741699</v>
      </c>
      <c r="N73">
        <f t="shared" si="22"/>
        <v>1</v>
      </c>
      <c r="O73">
        <v>0.91152811050414995</v>
      </c>
      <c r="P73">
        <f t="shared" si="22"/>
        <v>1</v>
      </c>
      <c r="Q73">
        <v>0.82550769999999996</v>
      </c>
      <c r="R73">
        <f t="shared" si="22"/>
        <v>1</v>
      </c>
      <c r="S73">
        <v>0.75047689676284801</v>
      </c>
      <c r="T73">
        <f t="shared" si="23"/>
        <v>1</v>
      </c>
      <c r="U73">
        <v>0.36113469999999998</v>
      </c>
      <c r="V73">
        <v>1</v>
      </c>
      <c r="X73">
        <v>0</v>
      </c>
    </row>
    <row r="74" spans="1:24">
      <c r="A74" s="1">
        <v>1</v>
      </c>
      <c r="B74" s="7" t="s">
        <v>74</v>
      </c>
      <c r="C74" s="1">
        <v>1</v>
      </c>
      <c r="D74" s="33">
        <v>1</v>
      </c>
      <c r="E74" s="33">
        <v>1</v>
      </c>
      <c r="F74" s="33">
        <v>1</v>
      </c>
      <c r="G74">
        <v>0.52754718099999998</v>
      </c>
      <c r="H74">
        <f t="shared" si="20"/>
        <v>1</v>
      </c>
      <c r="I74" s="85">
        <v>3.3218275755643997E-2</v>
      </c>
      <c r="J74">
        <f t="shared" si="21"/>
        <v>0</v>
      </c>
      <c r="K74" s="86">
        <v>0.64831012487411499</v>
      </c>
      <c r="L74">
        <f t="shared" si="22"/>
        <v>1</v>
      </c>
      <c r="M74" s="30">
        <v>0.91273683309554998</v>
      </c>
      <c r="N74">
        <f t="shared" si="22"/>
        <v>1</v>
      </c>
      <c r="O74">
        <v>0.736638724803925</v>
      </c>
      <c r="P74">
        <f t="shared" si="22"/>
        <v>1</v>
      </c>
      <c r="Q74">
        <v>0.70700687200000001</v>
      </c>
      <c r="R74">
        <f t="shared" si="22"/>
        <v>1</v>
      </c>
      <c r="S74">
        <v>0.59496939182281505</v>
      </c>
      <c r="T74">
        <f t="shared" si="23"/>
        <v>1</v>
      </c>
      <c r="U74">
        <v>0.41078869000000001</v>
      </c>
      <c r="V74">
        <v>1</v>
      </c>
      <c r="X74">
        <v>1</v>
      </c>
    </row>
    <row r="75" spans="1:24">
      <c r="A75" s="1">
        <v>1</v>
      </c>
      <c r="B75" s="1" t="s">
        <v>75</v>
      </c>
      <c r="C75" s="1">
        <v>1</v>
      </c>
      <c r="D75" s="33">
        <v>1</v>
      </c>
      <c r="E75" s="34">
        <v>1</v>
      </c>
      <c r="F75" s="33">
        <v>1</v>
      </c>
      <c r="G75">
        <v>0.32022920300000002</v>
      </c>
      <c r="H75">
        <f t="shared" si="20"/>
        <v>0</v>
      </c>
      <c r="I75" s="85">
        <v>0.116263255476952</v>
      </c>
      <c r="J75">
        <f t="shared" si="21"/>
        <v>0</v>
      </c>
      <c r="K75" s="86">
        <v>0.241262882947921</v>
      </c>
      <c r="L75">
        <f t="shared" si="22"/>
        <v>0</v>
      </c>
      <c r="M75">
        <v>0.11345025151968</v>
      </c>
      <c r="N75">
        <f t="shared" si="22"/>
        <v>0</v>
      </c>
      <c r="O75">
        <v>0.16975697875022899</v>
      </c>
      <c r="P75">
        <f t="shared" si="22"/>
        <v>0</v>
      </c>
      <c r="Q75">
        <v>0.75410795200000003</v>
      </c>
      <c r="R75">
        <f t="shared" si="22"/>
        <v>1</v>
      </c>
      <c r="S75">
        <v>0.94988131523132302</v>
      </c>
      <c r="T75">
        <f t="shared" si="23"/>
        <v>1</v>
      </c>
      <c r="U75">
        <v>0.22198000000000001</v>
      </c>
      <c r="V75">
        <v>0</v>
      </c>
      <c r="X75">
        <v>0</v>
      </c>
    </row>
    <row r="76" spans="1:24">
      <c r="A76" s="1">
        <v>1</v>
      </c>
      <c r="B76" s="1" t="s">
        <v>76</v>
      </c>
      <c r="C76" s="1">
        <v>1</v>
      </c>
      <c r="D76" s="33">
        <v>1</v>
      </c>
      <c r="E76" s="33">
        <v>1</v>
      </c>
      <c r="F76" s="33">
        <v>1</v>
      </c>
      <c r="G76">
        <v>0.73913353699999995</v>
      </c>
      <c r="H76">
        <f t="shared" si="20"/>
        <v>1</v>
      </c>
      <c r="I76" s="85">
        <v>0.17391926050186199</v>
      </c>
      <c r="J76">
        <f t="shared" si="21"/>
        <v>0</v>
      </c>
      <c r="K76" s="86">
        <v>0.68724733591079701</v>
      </c>
      <c r="L76">
        <f t="shared" si="22"/>
        <v>1</v>
      </c>
      <c r="M76">
        <v>0.74873900413513195</v>
      </c>
      <c r="N76">
        <f t="shared" si="22"/>
        <v>1</v>
      </c>
      <c r="O76">
        <v>0.36370909214019798</v>
      </c>
      <c r="P76">
        <f t="shared" si="22"/>
        <v>0</v>
      </c>
      <c r="Q76">
        <v>0.68554925899999997</v>
      </c>
      <c r="R76">
        <f t="shared" si="22"/>
        <v>1</v>
      </c>
      <c r="S76">
        <v>0.36704900860786399</v>
      </c>
      <c r="T76">
        <f t="shared" si="23"/>
        <v>0</v>
      </c>
      <c r="U76">
        <v>0.27211636</v>
      </c>
      <c r="V76">
        <v>1</v>
      </c>
      <c r="X76">
        <v>0</v>
      </c>
    </row>
    <row r="77" spans="1:24">
      <c r="A77" s="1">
        <v>1</v>
      </c>
      <c r="B77" s="1" t="s">
        <v>77</v>
      </c>
      <c r="C77" s="1">
        <v>1</v>
      </c>
      <c r="D77" s="33">
        <v>1</v>
      </c>
      <c r="E77" s="33">
        <v>1</v>
      </c>
      <c r="F77" s="33">
        <v>1</v>
      </c>
      <c r="G77">
        <v>0.89398777500000004</v>
      </c>
      <c r="H77">
        <f t="shared" si="20"/>
        <v>1</v>
      </c>
      <c r="I77" s="85">
        <v>0.99792611598968495</v>
      </c>
      <c r="J77">
        <f t="shared" si="21"/>
        <v>1</v>
      </c>
      <c r="K77" s="86">
        <v>0.91189324855804399</v>
      </c>
      <c r="L77">
        <f t="shared" si="22"/>
        <v>1</v>
      </c>
      <c r="M77">
        <v>0.94564437866210904</v>
      </c>
      <c r="N77">
        <f t="shared" si="22"/>
        <v>1</v>
      </c>
      <c r="O77">
        <v>0.93061506748199496</v>
      </c>
      <c r="P77">
        <f t="shared" si="22"/>
        <v>1</v>
      </c>
      <c r="Q77">
        <v>0.79770094199999997</v>
      </c>
      <c r="R77">
        <f t="shared" si="22"/>
        <v>1</v>
      </c>
      <c r="S77">
        <v>0.96033173799514804</v>
      </c>
      <c r="T77">
        <f t="shared" si="23"/>
        <v>1</v>
      </c>
      <c r="U77">
        <v>0.32230734999999999</v>
      </c>
      <c r="V77">
        <v>1</v>
      </c>
      <c r="X77">
        <v>0</v>
      </c>
    </row>
    <row r="78" spans="1:24">
      <c r="A78" s="1">
        <v>1</v>
      </c>
      <c r="B78" s="1" t="s">
        <v>78</v>
      </c>
      <c r="C78" s="1">
        <v>1</v>
      </c>
      <c r="D78" s="33">
        <v>1</v>
      </c>
      <c r="E78" s="34">
        <v>0</v>
      </c>
      <c r="F78" s="33">
        <v>1</v>
      </c>
      <c r="G78" s="30">
        <v>0.65659439600000002</v>
      </c>
      <c r="H78">
        <f t="shared" si="20"/>
        <v>1</v>
      </c>
      <c r="I78" s="85">
        <v>2.1368324756621999E-2</v>
      </c>
      <c r="J78">
        <f t="shared" si="21"/>
        <v>0</v>
      </c>
      <c r="K78" s="86">
        <v>7.2628870606422397E-2</v>
      </c>
      <c r="L78">
        <f t="shared" si="22"/>
        <v>0</v>
      </c>
      <c r="M78" s="30">
        <v>0.67752265930175803</v>
      </c>
      <c r="N78">
        <f t="shared" si="22"/>
        <v>1</v>
      </c>
      <c r="O78">
        <v>0.86492764949798595</v>
      </c>
      <c r="P78">
        <f t="shared" si="22"/>
        <v>1</v>
      </c>
      <c r="Q78">
        <v>0.55716979499999997</v>
      </c>
      <c r="R78">
        <f t="shared" si="22"/>
        <v>1</v>
      </c>
      <c r="S78">
        <v>0.33144363760948198</v>
      </c>
      <c r="T78">
        <f t="shared" si="23"/>
        <v>0</v>
      </c>
      <c r="U78">
        <v>0.30044042999999998</v>
      </c>
      <c r="V78">
        <v>1</v>
      </c>
      <c r="X78">
        <v>0</v>
      </c>
    </row>
    <row r="79" spans="1:24">
      <c r="A79" s="1">
        <v>1</v>
      </c>
      <c r="B79" s="1" t="s">
        <v>79</v>
      </c>
      <c r="C79" s="1">
        <v>1</v>
      </c>
      <c r="D79" s="33">
        <v>0</v>
      </c>
      <c r="E79" s="34">
        <v>1</v>
      </c>
      <c r="F79" s="33">
        <v>1</v>
      </c>
      <c r="G79">
        <v>0.84227681200000004</v>
      </c>
      <c r="H79">
        <f t="shared" si="20"/>
        <v>1</v>
      </c>
      <c r="I79" s="85">
        <v>0.75547444820404097</v>
      </c>
      <c r="J79">
        <f t="shared" si="21"/>
        <v>1</v>
      </c>
      <c r="K79" s="86">
        <v>0.55161023139953602</v>
      </c>
      <c r="L79">
        <f t="shared" si="22"/>
        <v>1</v>
      </c>
      <c r="M79">
        <v>0.60284203290939298</v>
      </c>
      <c r="N79">
        <f t="shared" si="22"/>
        <v>1</v>
      </c>
      <c r="O79">
        <v>0.50591892004013095</v>
      </c>
      <c r="P79">
        <f t="shared" si="22"/>
        <v>1</v>
      </c>
      <c r="Q79">
        <v>0.56747752399999996</v>
      </c>
      <c r="R79">
        <f t="shared" si="22"/>
        <v>1</v>
      </c>
      <c r="S79">
        <v>0.87797200679779097</v>
      </c>
      <c r="T79">
        <f t="shared" si="23"/>
        <v>1</v>
      </c>
      <c r="U79">
        <v>0.16569034999999999</v>
      </c>
      <c r="V79">
        <v>1</v>
      </c>
      <c r="X79">
        <v>0</v>
      </c>
    </row>
    <row r="80" spans="1:24">
      <c r="A80" s="1">
        <v>1</v>
      </c>
      <c r="B80" s="1" t="s">
        <v>80</v>
      </c>
      <c r="C80" s="1">
        <v>1</v>
      </c>
      <c r="D80" s="33">
        <v>1</v>
      </c>
      <c r="E80" s="33">
        <v>1</v>
      </c>
      <c r="F80" s="33">
        <v>1</v>
      </c>
      <c r="G80">
        <v>0.59793329200000001</v>
      </c>
      <c r="H80">
        <f t="shared" si="20"/>
        <v>1</v>
      </c>
      <c r="I80" s="85">
        <v>0.15222764015197701</v>
      </c>
      <c r="J80">
        <f t="shared" si="21"/>
        <v>0</v>
      </c>
      <c r="K80" s="86">
        <v>0.91267186403274503</v>
      </c>
      <c r="L80">
        <f t="shared" si="22"/>
        <v>1</v>
      </c>
      <c r="M80">
        <v>0.37534862756729098</v>
      </c>
      <c r="N80">
        <f t="shared" si="22"/>
        <v>0</v>
      </c>
      <c r="O80">
        <v>0.22469314932823201</v>
      </c>
      <c r="P80">
        <f t="shared" si="22"/>
        <v>0</v>
      </c>
      <c r="Q80">
        <v>0.25250974300000001</v>
      </c>
      <c r="R80">
        <f t="shared" si="22"/>
        <v>0</v>
      </c>
      <c r="S80">
        <v>0.44006228446960499</v>
      </c>
      <c r="T80">
        <f t="shared" si="23"/>
        <v>0</v>
      </c>
      <c r="U80">
        <v>0.13349214000000001</v>
      </c>
      <c r="V80">
        <v>0</v>
      </c>
      <c r="X80">
        <v>0</v>
      </c>
    </row>
    <row r="81" spans="1:24">
      <c r="A81" s="1">
        <v>1</v>
      </c>
      <c r="B81" s="7" t="s">
        <v>81</v>
      </c>
      <c r="C81" s="1">
        <v>1</v>
      </c>
      <c r="D81" s="33">
        <v>1</v>
      </c>
      <c r="E81" s="33">
        <v>1</v>
      </c>
      <c r="F81" s="33">
        <v>1</v>
      </c>
      <c r="G81">
        <v>0.61849725200000005</v>
      </c>
      <c r="H81">
        <f t="shared" si="20"/>
        <v>1</v>
      </c>
      <c r="I81" s="85">
        <v>0.97997343540191595</v>
      </c>
      <c r="J81">
        <f t="shared" si="21"/>
        <v>1</v>
      </c>
      <c r="K81" s="86">
        <v>0.55969965457916204</v>
      </c>
      <c r="L81">
        <f t="shared" si="22"/>
        <v>1</v>
      </c>
      <c r="M81">
        <v>0.38326436281204201</v>
      </c>
      <c r="N81">
        <f t="shared" si="22"/>
        <v>0</v>
      </c>
      <c r="O81">
        <v>0.38977947831153897</v>
      </c>
      <c r="P81">
        <f t="shared" si="22"/>
        <v>0</v>
      </c>
      <c r="Q81">
        <v>0.54121422799999996</v>
      </c>
      <c r="R81">
        <f t="shared" si="22"/>
        <v>1</v>
      </c>
      <c r="S81">
        <v>0.934803307056427</v>
      </c>
      <c r="T81">
        <f t="shared" si="23"/>
        <v>1</v>
      </c>
      <c r="U81">
        <v>0.25373119999999999</v>
      </c>
      <c r="V81">
        <v>0</v>
      </c>
      <c r="X81">
        <v>1</v>
      </c>
    </row>
    <row r="82" spans="1:24">
      <c r="A82" s="1">
        <v>1</v>
      </c>
      <c r="B82" s="1" t="s">
        <v>82</v>
      </c>
      <c r="C82" s="1">
        <v>1</v>
      </c>
      <c r="D82" s="33">
        <v>1</v>
      </c>
      <c r="E82" s="33">
        <v>1</v>
      </c>
      <c r="F82" s="33">
        <v>1</v>
      </c>
      <c r="G82">
        <v>0.74574983100000003</v>
      </c>
      <c r="H82">
        <f t="shared" si="20"/>
        <v>1</v>
      </c>
      <c r="I82" s="85">
        <v>0.96846026182174705</v>
      </c>
      <c r="J82">
        <f t="shared" si="21"/>
        <v>1</v>
      </c>
      <c r="K82" s="86">
        <v>0.96274399757385198</v>
      </c>
      <c r="L82">
        <f t="shared" si="22"/>
        <v>1</v>
      </c>
      <c r="M82">
        <v>0.68923366069793701</v>
      </c>
      <c r="N82">
        <f t="shared" si="22"/>
        <v>1</v>
      </c>
      <c r="O82">
        <v>0.79654610157012895</v>
      </c>
      <c r="P82">
        <f t="shared" si="22"/>
        <v>1</v>
      </c>
      <c r="Q82">
        <v>0.65643411900000004</v>
      </c>
      <c r="R82">
        <f t="shared" si="22"/>
        <v>1</v>
      </c>
      <c r="S82">
        <v>0.99676847457885698</v>
      </c>
      <c r="T82">
        <f t="shared" si="23"/>
        <v>1</v>
      </c>
      <c r="U82">
        <v>0.30743809999999999</v>
      </c>
      <c r="V82">
        <v>1</v>
      </c>
      <c r="X82">
        <v>0</v>
      </c>
    </row>
    <row r="83" spans="1:24">
      <c r="A83" s="1">
        <v>1</v>
      </c>
      <c r="B83" s="1" t="s">
        <v>83</v>
      </c>
      <c r="C83" s="1">
        <v>1</v>
      </c>
      <c r="D83" s="33">
        <v>1</v>
      </c>
      <c r="E83" s="33">
        <v>1</v>
      </c>
      <c r="F83" s="33">
        <v>1</v>
      </c>
      <c r="G83">
        <v>0.81117272399999996</v>
      </c>
      <c r="H83">
        <f t="shared" si="20"/>
        <v>1</v>
      </c>
      <c r="I83" s="85">
        <v>0.998721063137054</v>
      </c>
      <c r="J83">
        <f t="shared" si="21"/>
        <v>1</v>
      </c>
      <c r="K83" s="86">
        <v>0.92685586214065496</v>
      </c>
      <c r="L83">
        <f t="shared" si="22"/>
        <v>1</v>
      </c>
      <c r="M83">
        <v>0.63535863161087003</v>
      </c>
      <c r="N83">
        <f t="shared" si="22"/>
        <v>1</v>
      </c>
      <c r="O83">
        <v>0.95981222391128496</v>
      </c>
      <c r="P83">
        <f t="shared" si="22"/>
        <v>1</v>
      </c>
      <c r="Q83">
        <v>0.79514819400000003</v>
      </c>
      <c r="R83">
        <f t="shared" si="22"/>
        <v>1</v>
      </c>
      <c r="S83">
        <v>0.99862563610076904</v>
      </c>
      <c r="T83">
        <f t="shared" si="23"/>
        <v>1</v>
      </c>
      <c r="U83">
        <v>0.44765677999999998</v>
      </c>
      <c r="V83">
        <v>1</v>
      </c>
      <c r="X83">
        <v>0</v>
      </c>
    </row>
    <row r="84" spans="1:24">
      <c r="A84" s="1">
        <v>1</v>
      </c>
      <c r="B84" s="1" t="s">
        <v>84</v>
      </c>
      <c r="C84" s="1">
        <v>1</v>
      </c>
      <c r="D84" s="33">
        <v>1</v>
      </c>
      <c r="E84" s="33">
        <v>1</v>
      </c>
      <c r="F84" s="33">
        <v>1</v>
      </c>
      <c r="G84">
        <v>0.66278064299999995</v>
      </c>
      <c r="H84">
        <f t="shared" si="20"/>
        <v>1</v>
      </c>
      <c r="I84" s="85">
        <v>0.47188431024551403</v>
      </c>
      <c r="J84">
        <f t="shared" si="21"/>
        <v>0</v>
      </c>
      <c r="K84" s="86">
        <v>0.63944083452224698</v>
      </c>
      <c r="L84">
        <f t="shared" si="22"/>
        <v>1</v>
      </c>
      <c r="M84">
        <v>0.80443114042282104</v>
      </c>
      <c r="N84">
        <f t="shared" si="22"/>
        <v>1</v>
      </c>
      <c r="O84">
        <v>0.704060077667236</v>
      </c>
      <c r="P84">
        <f t="shared" si="22"/>
        <v>1</v>
      </c>
      <c r="Q84">
        <v>0.54924958899999998</v>
      </c>
      <c r="R84">
        <f t="shared" si="22"/>
        <v>1</v>
      </c>
      <c r="S84">
        <v>0.24050796031951899</v>
      </c>
      <c r="T84">
        <f t="shared" si="23"/>
        <v>0</v>
      </c>
      <c r="U84">
        <v>0.29012847000000003</v>
      </c>
      <c r="V84">
        <v>1</v>
      </c>
      <c r="X84">
        <v>0</v>
      </c>
    </row>
    <row r="85" spans="1:24">
      <c r="A85" s="1">
        <v>1</v>
      </c>
      <c r="B85" s="1" t="s">
        <v>85</v>
      </c>
      <c r="C85" s="1">
        <v>1</v>
      </c>
      <c r="D85" s="33">
        <v>1</v>
      </c>
      <c r="E85" s="33">
        <v>1</v>
      </c>
      <c r="F85" s="33">
        <v>1</v>
      </c>
      <c r="G85">
        <v>0.70047241400000004</v>
      </c>
      <c r="H85">
        <f t="shared" si="20"/>
        <v>1</v>
      </c>
      <c r="I85" s="85">
        <v>0.84997195005416903</v>
      </c>
      <c r="J85">
        <f t="shared" si="21"/>
        <v>1</v>
      </c>
      <c r="K85" s="86">
        <v>0.42608937621116599</v>
      </c>
      <c r="L85">
        <f t="shared" si="22"/>
        <v>0</v>
      </c>
      <c r="M85" s="30">
        <v>0.68496942520141602</v>
      </c>
      <c r="N85">
        <f t="shared" si="22"/>
        <v>1</v>
      </c>
      <c r="O85">
        <v>0.98874807357788097</v>
      </c>
      <c r="P85">
        <f t="shared" si="22"/>
        <v>1</v>
      </c>
      <c r="Q85">
        <v>0.82370376599999995</v>
      </c>
      <c r="R85">
        <f t="shared" si="22"/>
        <v>1</v>
      </c>
      <c r="S85">
        <v>0.97892159223556496</v>
      </c>
      <c r="T85">
        <f t="shared" si="23"/>
        <v>1</v>
      </c>
      <c r="U85">
        <v>0.21133146</v>
      </c>
      <c r="V85">
        <v>1</v>
      </c>
      <c r="X85">
        <v>0</v>
      </c>
    </row>
    <row r="86" spans="1:24">
      <c r="A86" s="1">
        <v>1</v>
      </c>
      <c r="B86" s="1" t="s">
        <v>86</v>
      </c>
      <c r="C86" s="1">
        <v>1</v>
      </c>
      <c r="D86" s="33">
        <v>1</v>
      </c>
      <c r="E86" s="33">
        <v>1</v>
      </c>
      <c r="F86" s="33">
        <v>1</v>
      </c>
      <c r="G86">
        <v>0.25022059699999999</v>
      </c>
      <c r="H86">
        <f t="shared" si="20"/>
        <v>0</v>
      </c>
      <c r="I86" s="85">
        <v>2.9953925404699999E-3</v>
      </c>
      <c r="J86">
        <f t="shared" si="21"/>
        <v>0</v>
      </c>
      <c r="K86" s="86">
        <v>0.110230647027492</v>
      </c>
      <c r="L86">
        <f t="shared" si="22"/>
        <v>0</v>
      </c>
      <c r="M86">
        <v>9.6101589500904E-2</v>
      </c>
      <c r="N86">
        <f t="shared" si="22"/>
        <v>0</v>
      </c>
      <c r="O86">
        <v>6.3703432679175997E-2</v>
      </c>
      <c r="P86">
        <f t="shared" si="22"/>
        <v>0</v>
      </c>
      <c r="Q86">
        <v>0.37127703400000001</v>
      </c>
      <c r="R86">
        <f t="shared" ref="R86:T86" si="24">IF(Q86&gt;$A$2,1,0)</f>
        <v>0</v>
      </c>
      <c r="S86">
        <v>0.53828513622283902</v>
      </c>
      <c r="T86">
        <f t="shared" si="24"/>
        <v>1</v>
      </c>
      <c r="U86">
        <v>0.28402323000000002</v>
      </c>
      <c r="V86">
        <v>1</v>
      </c>
      <c r="X86">
        <v>0</v>
      </c>
    </row>
    <row r="87" spans="1:24">
      <c r="A87" s="1">
        <v>1</v>
      </c>
      <c r="B87" s="1" t="s">
        <v>87</v>
      </c>
      <c r="C87" s="1">
        <v>1</v>
      </c>
      <c r="D87" s="33">
        <v>1</v>
      </c>
      <c r="E87" s="33">
        <v>1</v>
      </c>
      <c r="F87" s="33">
        <v>1</v>
      </c>
      <c r="G87">
        <v>0.71713185300000004</v>
      </c>
      <c r="H87">
        <f t="shared" ref="H87:H150" si="25">IF(G87&gt;$A$2,1,0)</f>
        <v>1</v>
      </c>
      <c r="I87" s="85">
        <v>0.14850363135337799</v>
      </c>
      <c r="J87">
        <f t="shared" ref="J87:J150" si="26">IF(I87&gt;$A$2,1,0)</f>
        <v>0</v>
      </c>
      <c r="K87" s="86">
        <v>0.59570658206939697</v>
      </c>
      <c r="L87">
        <f t="shared" ref="L87:T150" si="27">IF(K87&gt;$A$2,1,0)</f>
        <v>1</v>
      </c>
      <c r="M87">
        <v>0.89969509840011597</v>
      </c>
      <c r="N87">
        <f t="shared" si="27"/>
        <v>1</v>
      </c>
      <c r="O87">
        <v>0.65881514549255404</v>
      </c>
      <c r="P87">
        <f t="shared" si="27"/>
        <v>1</v>
      </c>
      <c r="Q87">
        <v>0.58771276500000003</v>
      </c>
      <c r="R87">
        <f t="shared" si="27"/>
        <v>1</v>
      </c>
      <c r="S87">
        <v>0.86930221319198597</v>
      </c>
      <c r="T87">
        <f t="shared" si="27"/>
        <v>1</v>
      </c>
      <c r="U87">
        <v>0.39890320000000001</v>
      </c>
      <c r="V87">
        <v>1</v>
      </c>
      <c r="X87">
        <v>0</v>
      </c>
    </row>
    <row r="88" spans="1:24">
      <c r="A88" s="1">
        <v>1</v>
      </c>
      <c r="B88" s="5" t="s">
        <v>88</v>
      </c>
      <c r="C88" s="1">
        <v>1</v>
      </c>
      <c r="D88" s="33">
        <v>1</v>
      </c>
      <c r="E88" s="34">
        <v>0</v>
      </c>
      <c r="F88" s="33">
        <v>1</v>
      </c>
      <c r="G88">
        <v>0.44767674800000001</v>
      </c>
      <c r="H88">
        <f t="shared" si="25"/>
        <v>0</v>
      </c>
      <c r="I88" s="85">
        <v>6.9959140382709999E-3</v>
      </c>
      <c r="J88">
        <f t="shared" si="26"/>
        <v>0</v>
      </c>
      <c r="K88" s="86">
        <v>5.0583913922309799E-2</v>
      </c>
      <c r="L88">
        <f t="shared" si="27"/>
        <v>0</v>
      </c>
      <c r="M88">
        <v>0.39341965317726102</v>
      </c>
      <c r="N88">
        <f t="shared" si="27"/>
        <v>0</v>
      </c>
      <c r="O88">
        <v>3.9920089766379997E-3</v>
      </c>
      <c r="P88">
        <f t="shared" si="27"/>
        <v>0</v>
      </c>
      <c r="Q88">
        <v>0.10070227800000001</v>
      </c>
      <c r="R88">
        <f t="shared" si="27"/>
        <v>0</v>
      </c>
      <c r="S88">
        <v>0.273705154657364</v>
      </c>
      <c r="T88">
        <f t="shared" si="27"/>
        <v>0</v>
      </c>
      <c r="U88">
        <v>0.29788910000000002</v>
      </c>
      <c r="V88">
        <v>1</v>
      </c>
      <c r="X88">
        <v>0</v>
      </c>
    </row>
    <row r="89" spans="1:24">
      <c r="A89" s="1">
        <v>1</v>
      </c>
      <c r="B89" s="1" t="s">
        <v>89</v>
      </c>
      <c r="C89" s="1">
        <v>1</v>
      </c>
      <c r="D89" s="33">
        <v>1</v>
      </c>
      <c r="E89" s="33">
        <v>1</v>
      </c>
      <c r="F89" s="33">
        <v>1</v>
      </c>
      <c r="G89">
        <v>0.57174050799999998</v>
      </c>
      <c r="H89">
        <f t="shared" si="25"/>
        <v>1</v>
      </c>
      <c r="I89" s="85">
        <v>0.77749943733215299</v>
      </c>
      <c r="J89">
        <f t="shared" si="26"/>
        <v>1</v>
      </c>
      <c r="K89" s="86">
        <v>0.28688070178031899</v>
      </c>
      <c r="L89">
        <f t="shared" si="27"/>
        <v>0</v>
      </c>
      <c r="M89">
        <v>0.66501498222351096</v>
      </c>
      <c r="N89">
        <f t="shared" si="27"/>
        <v>1</v>
      </c>
      <c r="O89">
        <v>0.27165976166725198</v>
      </c>
      <c r="P89">
        <f t="shared" si="27"/>
        <v>0</v>
      </c>
      <c r="Q89">
        <v>0.34470441899999998</v>
      </c>
      <c r="R89">
        <f t="shared" si="27"/>
        <v>0</v>
      </c>
      <c r="S89">
        <v>0.89250290393829301</v>
      </c>
      <c r="T89">
        <f t="shared" ref="T89:T150" si="28">IF(S89&gt;$A$2,1,0)</f>
        <v>1</v>
      </c>
      <c r="U89">
        <v>0.23252039999999999</v>
      </c>
      <c r="V89">
        <v>1</v>
      </c>
      <c r="X89">
        <v>0</v>
      </c>
    </row>
    <row r="90" spans="1:24">
      <c r="A90" s="1">
        <v>1</v>
      </c>
      <c r="B90" s="1" t="s">
        <v>90</v>
      </c>
      <c r="C90" s="1">
        <v>1</v>
      </c>
      <c r="D90" s="33">
        <v>1</v>
      </c>
      <c r="E90" s="33">
        <v>1</v>
      </c>
      <c r="F90" s="33">
        <v>1</v>
      </c>
      <c r="G90">
        <v>0.96021562800000004</v>
      </c>
      <c r="H90">
        <f t="shared" si="25"/>
        <v>1</v>
      </c>
      <c r="I90" s="85">
        <v>0.98374152183532704</v>
      </c>
      <c r="J90">
        <f t="shared" si="26"/>
        <v>1</v>
      </c>
      <c r="K90" s="86">
        <v>0.795873463153839</v>
      </c>
      <c r="L90">
        <f t="shared" si="27"/>
        <v>1</v>
      </c>
      <c r="M90">
        <v>0.96703487634658802</v>
      </c>
      <c r="N90">
        <f t="shared" si="27"/>
        <v>1</v>
      </c>
      <c r="O90">
        <v>0.93500167131423995</v>
      </c>
      <c r="P90">
        <f t="shared" si="27"/>
        <v>1</v>
      </c>
      <c r="Q90">
        <v>0.836585939</v>
      </c>
      <c r="R90">
        <f t="shared" si="27"/>
        <v>1</v>
      </c>
      <c r="S90">
        <v>0.91082864999771096</v>
      </c>
      <c r="T90">
        <f t="shared" si="28"/>
        <v>1</v>
      </c>
      <c r="U90">
        <v>0.46186660000000002</v>
      </c>
      <c r="V90">
        <v>1</v>
      </c>
      <c r="X90">
        <v>0</v>
      </c>
    </row>
    <row r="91" spans="1:24">
      <c r="A91" s="1">
        <v>1</v>
      </c>
      <c r="B91" s="1" t="s">
        <v>91</v>
      </c>
      <c r="C91" s="1">
        <v>1</v>
      </c>
      <c r="D91" s="33">
        <v>1</v>
      </c>
      <c r="E91" s="33">
        <v>1</v>
      </c>
      <c r="F91" s="33">
        <v>1</v>
      </c>
      <c r="G91">
        <v>0.92472451899999997</v>
      </c>
      <c r="H91">
        <f t="shared" si="25"/>
        <v>1</v>
      </c>
      <c r="I91" s="85">
        <v>0.99971026182174705</v>
      </c>
      <c r="J91">
        <f t="shared" si="26"/>
        <v>1</v>
      </c>
      <c r="K91" s="86">
        <v>0.90153837203979403</v>
      </c>
      <c r="L91">
        <f t="shared" si="27"/>
        <v>1</v>
      </c>
      <c r="M91">
        <v>0.95933407545089699</v>
      </c>
      <c r="N91">
        <f t="shared" si="27"/>
        <v>1</v>
      </c>
      <c r="O91">
        <v>0.95990169048309304</v>
      </c>
      <c r="P91">
        <f t="shared" si="27"/>
        <v>1</v>
      </c>
      <c r="Q91">
        <v>0.81950253200000001</v>
      </c>
      <c r="R91">
        <f t="shared" si="27"/>
        <v>1</v>
      </c>
      <c r="S91">
        <v>0.99964463710784901</v>
      </c>
      <c r="T91">
        <f t="shared" si="28"/>
        <v>1</v>
      </c>
      <c r="U91">
        <v>0.35735482000000002</v>
      </c>
      <c r="V91">
        <v>1</v>
      </c>
      <c r="X91">
        <v>0</v>
      </c>
    </row>
    <row r="92" spans="1:24">
      <c r="A92" s="1">
        <v>1</v>
      </c>
      <c r="B92" s="1" t="s">
        <v>92</v>
      </c>
      <c r="C92" s="1">
        <v>1</v>
      </c>
      <c r="D92" s="33">
        <v>1</v>
      </c>
      <c r="E92" s="33">
        <v>1</v>
      </c>
      <c r="F92" s="33">
        <v>1</v>
      </c>
      <c r="G92">
        <v>0.92831367300000001</v>
      </c>
      <c r="H92">
        <f t="shared" si="25"/>
        <v>1</v>
      </c>
      <c r="I92" s="85">
        <v>0.97101461887359597</v>
      </c>
      <c r="J92">
        <f t="shared" si="26"/>
        <v>1</v>
      </c>
      <c r="K92" s="86">
        <v>0.93485987186431796</v>
      </c>
      <c r="L92">
        <f t="shared" si="27"/>
        <v>1</v>
      </c>
      <c r="M92">
        <v>0.93818652629852295</v>
      </c>
      <c r="N92">
        <f t="shared" si="27"/>
        <v>1</v>
      </c>
      <c r="O92">
        <v>0.65788108110427901</v>
      </c>
      <c r="P92">
        <f t="shared" si="27"/>
        <v>1</v>
      </c>
      <c r="Q92">
        <v>0.83036452500000002</v>
      </c>
      <c r="R92">
        <f t="shared" si="27"/>
        <v>1</v>
      </c>
      <c r="S92">
        <v>0.81161975860595703</v>
      </c>
      <c r="T92">
        <f t="shared" si="28"/>
        <v>1</v>
      </c>
      <c r="U92">
        <v>0.2458746</v>
      </c>
      <c r="V92">
        <v>1</v>
      </c>
      <c r="X92">
        <v>0</v>
      </c>
    </row>
    <row r="93" spans="1:24">
      <c r="A93" s="1">
        <v>1</v>
      </c>
      <c r="B93" s="1" t="s">
        <v>93</v>
      </c>
      <c r="C93" s="1">
        <v>1</v>
      </c>
      <c r="D93" s="33">
        <v>1</v>
      </c>
      <c r="E93" s="33">
        <v>1</v>
      </c>
      <c r="F93" s="33">
        <v>1</v>
      </c>
      <c r="G93">
        <v>0.93181574300000003</v>
      </c>
      <c r="H93">
        <f t="shared" si="25"/>
        <v>1</v>
      </c>
      <c r="I93" s="85">
        <v>0.99999952316284202</v>
      </c>
      <c r="J93">
        <f t="shared" si="26"/>
        <v>1</v>
      </c>
      <c r="K93" s="86">
        <v>0.96343785524368197</v>
      </c>
      <c r="L93">
        <f t="shared" si="27"/>
        <v>1</v>
      </c>
      <c r="M93">
        <v>0.926719069480896</v>
      </c>
      <c r="N93">
        <f t="shared" si="27"/>
        <v>1</v>
      </c>
      <c r="O93">
        <v>0.98055052757263195</v>
      </c>
      <c r="P93">
        <f t="shared" si="27"/>
        <v>1</v>
      </c>
      <c r="Q93">
        <v>0.87946277900000003</v>
      </c>
      <c r="R93">
        <f t="shared" si="27"/>
        <v>1</v>
      </c>
      <c r="S93">
        <v>0.99999845027923595</v>
      </c>
      <c r="T93">
        <f t="shared" si="28"/>
        <v>1</v>
      </c>
      <c r="U93">
        <v>0.33326172999999998</v>
      </c>
      <c r="V93">
        <v>1</v>
      </c>
      <c r="X93">
        <v>0</v>
      </c>
    </row>
    <row r="94" spans="1:24">
      <c r="A94" s="1">
        <v>1</v>
      </c>
      <c r="B94" s="1" t="s">
        <v>94</v>
      </c>
      <c r="C94" s="1">
        <v>1</v>
      </c>
      <c r="D94" s="33">
        <v>1</v>
      </c>
      <c r="E94" s="33">
        <v>1</v>
      </c>
      <c r="F94" s="33">
        <v>1</v>
      </c>
      <c r="G94">
        <v>0.66943889899999998</v>
      </c>
      <c r="H94">
        <f t="shared" si="25"/>
        <v>1</v>
      </c>
      <c r="I94" s="85">
        <v>0.98941689729690596</v>
      </c>
      <c r="J94">
        <f t="shared" si="26"/>
        <v>1</v>
      </c>
      <c r="K94" s="86">
        <v>0.78717476129531805</v>
      </c>
      <c r="L94">
        <f t="shared" si="27"/>
        <v>1</v>
      </c>
      <c r="M94" s="30">
        <v>0.98782444000244096</v>
      </c>
      <c r="N94">
        <f t="shared" si="27"/>
        <v>1</v>
      </c>
      <c r="O94">
        <v>0.93664169311523404</v>
      </c>
      <c r="P94">
        <f t="shared" si="27"/>
        <v>1</v>
      </c>
      <c r="Q94">
        <v>0.79386562100000002</v>
      </c>
      <c r="R94">
        <f t="shared" si="27"/>
        <v>1</v>
      </c>
      <c r="S94">
        <v>0.97688758373260498</v>
      </c>
      <c r="T94">
        <f t="shared" si="28"/>
        <v>1</v>
      </c>
      <c r="U94">
        <v>0.38068142999999999</v>
      </c>
      <c r="V94">
        <v>1</v>
      </c>
      <c r="X94">
        <v>0</v>
      </c>
    </row>
    <row r="95" spans="1:24">
      <c r="A95" s="1">
        <v>1</v>
      </c>
      <c r="B95" s="1" t="s">
        <v>95</v>
      </c>
      <c r="C95" s="1">
        <v>1</v>
      </c>
      <c r="D95" s="33">
        <v>1</v>
      </c>
      <c r="E95" s="33">
        <v>1</v>
      </c>
      <c r="F95" s="33">
        <v>1</v>
      </c>
      <c r="G95">
        <v>0.54654359799999996</v>
      </c>
      <c r="H95">
        <f t="shared" si="25"/>
        <v>1</v>
      </c>
      <c r="I95" s="85">
        <v>0.69454103708267201</v>
      </c>
      <c r="J95">
        <f t="shared" si="26"/>
        <v>1</v>
      </c>
      <c r="K95" s="86">
        <v>0.57699841260910001</v>
      </c>
      <c r="L95">
        <f t="shared" si="27"/>
        <v>1</v>
      </c>
      <c r="M95">
        <v>0.17945462465286199</v>
      </c>
      <c r="N95">
        <f t="shared" si="27"/>
        <v>0</v>
      </c>
      <c r="O95">
        <v>0.47054600715637201</v>
      </c>
      <c r="P95">
        <f t="shared" si="27"/>
        <v>0</v>
      </c>
      <c r="Q95">
        <v>0.67277079799999995</v>
      </c>
      <c r="R95">
        <f t="shared" si="27"/>
        <v>1</v>
      </c>
      <c r="S95">
        <v>0.63465720415115401</v>
      </c>
      <c r="T95">
        <f t="shared" si="28"/>
        <v>1</v>
      </c>
      <c r="U95">
        <v>0.25762963</v>
      </c>
      <c r="V95">
        <v>1</v>
      </c>
      <c r="X95">
        <v>0</v>
      </c>
    </row>
    <row r="96" spans="1:24">
      <c r="A96" s="1">
        <v>1</v>
      </c>
      <c r="B96" s="1" t="s">
        <v>96</v>
      </c>
      <c r="C96" s="1">
        <v>1</v>
      </c>
      <c r="D96" s="33">
        <v>1</v>
      </c>
      <c r="E96" s="33">
        <v>1</v>
      </c>
      <c r="F96" s="33">
        <v>1</v>
      </c>
      <c r="G96">
        <v>0.80347436699999997</v>
      </c>
      <c r="H96">
        <f t="shared" si="25"/>
        <v>1</v>
      </c>
      <c r="I96" s="85">
        <v>0.998943030834198</v>
      </c>
      <c r="J96">
        <f t="shared" si="26"/>
        <v>1</v>
      </c>
      <c r="K96" s="86">
        <v>0.84874999523162797</v>
      </c>
      <c r="L96">
        <f t="shared" si="27"/>
        <v>1</v>
      </c>
      <c r="M96">
        <v>0.99448639154434204</v>
      </c>
      <c r="N96">
        <f t="shared" si="27"/>
        <v>1</v>
      </c>
      <c r="O96">
        <v>0.909473776817322</v>
      </c>
      <c r="P96">
        <f t="shared" si="27"/>
        <v>1</v>
      </c>
      <c r="Q96">
        <v>0.79026281799999998</v>
      </c>
      <c r="R96">
        <f t="shared" si="27"/>
        <v>1</v>
      </c>
      <c r="S96">
        <v>0.84159970283508301</v>
      </c>
      <c r="T96">
        <f t="shared" si="28"/>
        <v>1</v>
      </c>
      <c r="U96">
        <v>0.40472445000000001</v>
      </c>
      <c r="V96">
        <v>1</v>
      </c>
      <c r="X96">
        <v>0</v>
      </c>
    </row>
    <row r="97" spans="1:24">
      <c r="A97" s="1">
        <v>1</v>
      </c>
      <c r="B97" s="1" t="s">
        <v>97</v>
      </c>
      <c r="C97" s="1">
        <v>1</v>
      </c>
      <c r="D97" s="33">
        <v>1</v>
      </c>
      <c r="E97" s="33">
        <v>1</v>
      </c>
      <c r="F97" s="33">
        <v>1</v>
      </c>
      <c r="G97">
        <v>0.74670130000000001</v>
      </c>
      <c r="H97">
        <f t="shared" si="25"/>
        <v>1</v>
      </c>
      <c r="I97" s="85">
        <v>0.92513591051101696</v>
      </c>
      <c r="J97">
        <f t="shared" si="26"/>
        <v>1</v>
      </c>
      <c r="K97" s="86">
        <v>0.65025007724761896</v>
      </c>
      <c r="L97">
        <f t="shared" si="27"/>
        <v>1</v>
      </c>
      <c r="M97" s="30">
        <v>0.98677188158035301</v>
      </c>
      <c r="N97">
        <f t="shared" si="27"/>
        <v>1</v>
      </c>
      <c r="O97">
        <v>0.81540131568908703</v>
      </c>
      <c r="P97">
        <f t="shared" si="27"/>
        <v>1</v>
      </c>
      <c r="Q97">
        <v>0.77710086099999998</v>
      </c>
      <c r="R97">
        <f t="shared" si="27"/>
        <v>1</v>
      </c>
      <c r="S97">
        <v>0.98206216096877996</v>
      </c>
      <c r="T97">
        <f t="shared" si="28"/>
        <v>1</v>
      </c>
      <c r="U97">
        <v>0.47136255999999999</v>
      </c>
      <c r="V97">
        <v>1</v>
      </c>
      <c r="X97">
        <v>0</v>
      </c>
    </row>
    <row r="98" spans="1:24">
      <c r="A98" s="1">
        <v>1</v>
      </c>
      <c r="B98" s="1" t="s">
        <v>98</v>
      </c>
      <c r="C98" s="1">
        <v>1</v>
      </c>
      <c r="D98" s="33">
        <v>1</v>
      </c>
      <c r="E98" s="33">
        <v>1</v>
      </c>
      <c r="F98" s="33">
        <v>1</v>
      </c>
      <c r="G98">
        <v>0.90447455600000004</v>
      </c>
      <c r="H98">
        <f t="shared" si="25"/>
        <v>1</v>
      </c>
      <c r="I98" s="85">
        <v>0.98380476236343395</v>
      </c>
      <c r="J98">
        <f t="shared" si="26"/>
        <v>1</v>
      </c>
      <c r="K98" s="86">
        <v>0.94415187835693304</v>
      </c>
      <c r="L98">
        <f t="shared" si="27"/>
        <v>1</v>
      </c>
      <c r="M98">
        <v>0.996587634086609</v>
      </c>
      <c r="N98">
        <f t="shared" si="27"/>
        <v>1</v>
      </c>
      <c r="O98">
        <v>0.928156197071075</v>
      </c>
      <c r="P98">
        <f t="shared" si="27"/>
        <v>1</v>
      </c>
      <c r="Q98">
        <v>0.73905938900000001</v>
      </c>
      <c r="R98">
        <f t="shared" si="27"/>
        <v>1</v>
      </c>
      <c r="S98">
        <v>0.99089699983596802</v>
      </c>
      <c r="T98">
        <f t="shared" si="28"/>
        <v>1</v>
      </c>
      <c r="U98">
        <v>0.4384807</v>
      </c>
      <c r="V98">
        <v>1</v>
      </c>
      <c r="X98">
        <v>0</v>
      </c>
    </row>
    <row r="99" spans="1:24">
      <c r="A99" s="1">
        <v>1</v>
      </c>
      <c r="B99" s="1" t="s">
        <v>99</v>
      </c>
      <c r="C99" s="1">
        <v>1</v>
      </c>
      <c r="D99" s="33">
        <v>1</v>
      </c>
      <c r="E99" s="33">
        <v>1</v>
      </c>
      <c r="F99" s="33">
        <v>1</v>
      </c>
      <c r="G99">
        <v>0.87930578000000004</v>
      </c>
      <c r="H99">
        <f t="shared" si="25"/>
        <v>1</v>
      </c>
      <c r="I99" s="85">
        <v>0.99939322471618597</v>
      </c>
      <c r="J99">
        <f t="shared" si="26"/>
        <v>1</v>
      </c>
      <c r="K99" s="86">
        <v>0.85502606630325295</v>
      </c>
      <c r="L99">
        <f t="shared" si="27"/>
        <v>1</v>
      </c>
      <c r="M99" s="30">
        <v>0.80409610271453902</v>
      </c>
      <c r="N99">
        <f t="shared" si="27"/>
        <v>1</v>
      </c>
      <c r="O99">
        <v>0.86767220497131403</v>
      </c>
      <c r="P99">
        <f t="shared" si="27"/>
        <v>1</v>
      </c>
      <c r="Q99">
        <v>0.77351433000000003</v>
      </c>
      <c r="R99">
        <f t="shared" si="27"/>
        <v>1</v>
      </c>
      <c r="S99">
        <v>0.99052131175994895</v>
      </c>
      <c r="T99">
        <f t="shared" si="28"/>
        <v>1</v>
      </c>
      <c r="U99">
        <v>0.39848864000000001</v>
      </c>
      <c r="V99">
        <v>1</v>
      </c>
      <c r="X99">
        <v>0</v>
      </c>
    </row>
    <row r="100" spans="1:24">
      <c r="A100" s="1">
        <v>1</v>
      </c>
      <c r="B100" s="1" t="s">
        <v>100</v>
      </c>
      <c r="C100" s="1">
        <v>1</v>
      </c>
      <c r="D100" s="33">
        <v>1</v>
      </c>
      <c r="E100" s="33">
        <v>1</v>
      </c>
      <c r="F100" s="33">
        <v>1</v>
      </c>
      <c r="G100">
        <v>0.93830192099999998</v>
      </c>
      <c r="H100">
        <f t="shared" si="25"/>
        <v>1</v>
      </c>
      <c r="I100" s="85">
        <v>0.99872833490371704</v>
      </c>
      <c r="J100">
        <f t="shared" si="26"/>
        <v>1</v>
      </c>
      <c r="K100" s="86">
        <v>0.87926256656646695</v>
      </c>
      <c r="L100">
        <f t="shared" si="27"/>
        <v>1</v>
      </c>
      <c r="M100">
        <v>0.85122829675674405</v>
      </c>
      <c r="N100">
        <f t="shared" si="27"/>
        <v>1</v>
      </c>
      <c r="O100">
        <v>0.67587196826934803</v>
      </c>
      <c r="P100">
        <f t="shared" si="27"/>
        <v>1</v>
      </c>
      <c r="Q100">
        <v>0.79803311799999999</v>
      </c>
      <c r="R100">
        <f t="shared" si="27"/>
        <v>1</v>
      </c>
      <c r="S100">
        <v>0.99006897211074796</v>
      </c>
      <c r="T100">
        <f t="shared" si="28"/>
        <v>1</v>
      </c>
      <c r="U100">
        <v>0.22822586</v>
      </c>
      <c r="V100">
        <v>1</v>
      </c>
      <c r="X100">
        <v>0</v>
      </c>
    </row>
    <row r="101" spans="1:24">
      <c r="A101" s="1">
        <v>1</v>
      </c>
      <c r="B101" s="1" t="s">
        <v>101</v>
      </c>
      <c r="C101" s="1">
        <v>1</v>
      </c>
      <c r="D101" s="33">
        <v>0</v>
      </c>
      <c r="E101" s="33">
        <v>1</v>
      </c>
      <c r="F101" s="33">
        <v>1</v>
      </c>
      <c r="G101">
        <v>0.72515308899999997</v>
      </c>
      <c r="H101">
        <f t="shared" si="25"/>
        <v>1</v>
      </c>
      <c r="I101" s="85">
        <v>0.62662959098815896</v>
      </c>
      <c r="J101">
        <f t="shared" si="26"/>
        <v>1</v>
      </c>
      <c r="K101" s="86">
        <v>0.16254945099353699</v>
      </c>
      <c r="L101">
        <f t="shared" si="27"/>
        <v>0</v>
      </c>
      <c r="M101">
        <v>0.87615513801574696</v>
      </c>
      <c r="N101">
        <f t="shared" si="27"/>
        <v>1</v>
      </c>
      <c r="O101">
        <v>0.74828320741653398</v>
      </c>
      <c r="P101">
        <f t="shared" si="27"/>
        <v>1</v>
      </c>
      <c r="Q101">
        <v>0.51434016199999999</v>
      </c>
      <c r="R101">
        <f t="shared" si="27"/>
        <v>1</v>
      </c>
      <c r="S101">
        <v>0.81472456455230702</v>
      </c>
      <c r="T101">
        <f t="shared" si="28"/>
        <v>1</v>
      </c>
      <c r="U101">
        <v>0.37094840000000001</v>
      </c>
      <c r="V101">
        <v>1</v>
      </c>
      <c r="X101">
        <v>0</v>
      </c>
    </row>
    <row r="102" spans="1:24">
      <c r="A102" s="1">
        <v>1</v>
      </c>
      <c r="B102" s="1" t="s">
        <v>102</v>
      </c>
      <c r="C102" s="1">
        <v>1</v>
      </c>
      <c r="D102" s="33">
        <v>1</v>
      </c>
      <c r="E102" s="33">
        <v>1</v>
      </c>
      <c r="F102" s="33">
        <v>1</v>
      </c>
      <c r="G102">
        <v>0.91743576500000001</v>
      </c>
      <c r="H102">
        <f t="shared" si="25"/>
        <v>1</v>
      </c>
      <c r="I102" s="85">
        <v>0.99999964237213101</v>
      </c>
      <c r="J102">
        <f t="shared" si="26"/>
        <v>1</v>
      </c>
      <c r="K102" s="86">
        <v>0.981079220771789</v>
      </c>
      <c r="L102">
        <f t="shared" si="27"/>
        <v>1</v>
      </c>
      <c r="M102">
        <v>0.96434128284454301</v>
      </c>
      <c r="N102">
        <f t="shared" si="27"/>
        <v>1</v>
      </c>
      <c r="O102">
        <v>0.97712153196334794</v>
      </c>
      <c r="P102">
        <f t="shared" si="27"/>
        <v>1</v>
      </c>
      <c r="Q102">
        <v>0.89530056700000005</v>
      </c>
      <c r="R102">
        <f t="shared" si="27"/>
        <v>1</v>
      </c>
      <c r="S102">
        <v>0.99999725818634</v>
      </c>
      <c r="T102">
        <f t="shared" si="28"/>
        <v>1</v>
      </c>
      <c r="U102">
        <v>0.44632840000000001</v>
      </c>
      <c r="V102">
        <v>1</v>
      </c>
      <c r="X102">
        <v>0</v>
      </c>
    </row>
    <row r="103" spans="1:24">
      <c r="A103" s="1">
        <v>1</v>
      </c>
      <c r="B103" s="1" t="s">
        <v>103</v>
      </c>
      <c r="C103" s="1">
        <v>1</v>
      </c>
      <c r="D103" s="33">
        <v>1</v>
      </c>
      <c r="E103" s="34">
        <v>1</v>
      </c>
      <c r="F103" s="33">
        <v>1</v>
      </c>
      <c r="G103">
        <v>0.77436876300000002</v>
      </c>
      <c r="H103">
        <f t="shared" si="25"/>
        <v>1</v>
      </c>
      <c r="I103" s="85">
        <v>0.99473118782043501</v>
      </c>
      <c r="J103">
        <f t="shared" si="26"/>
        <v>1</v>
      </c>
      <c r="K103" s="86">
        <v>0.816070556640625</v>
      </c>
      <c r="L103">
        <f t="shared" si="27"/>
        <v>1</v>
      </c>
      <c r="M103">
        <v>0.84103655815124501</v>
      </c>
      <c r="N103">
        <f t="shared" si="27"/>
        <v>1</v>
      </c>
      <c r="O103">
        <v>0.96541988849639904</v>
      </c>
      <c r="P103">
        <f t="shared" si="27"/>
        <v>1</v>
      </c>
      <c r="Q103">
        <v>0.72815722199999999</v>
      </c>
      <c r="R103">
        <f t="shared" si="27"/>
        <v>1</v>
      </c>
      <c r="S103">
        <v>0.95984548330306996</v>
      </c>
      <c r="T103">
        <f t="shared" si="28"/>
        <v>1</v>
      </c>
      <c r="U103">
        <v>0.33012688000000001</v>
      </c>
      <c r="V103">
        <v>1</v>
      </c>
      <c r="X103">
        <v>0</v>
      </c>
    </row>
    <row r="104" spans="1:24">
      <c r="A104" s="1">
        <v>1</v>
      </c>
      <c r="B104" s="1" t="s">
        <v>104</v>
      </c>
      <c r="C104" s="1">
        <v>1</v>
      </c>
      <c r="D104" s="33">
        <v>1</v>
      </c>
      <c r="E104" s="33">
        <v>1</v>
      </c>
      <c r="F104" s="33">
        <v>1</v>
      </c>
      <c r="G104">
        <v>0.78342449700000005</v>
      </c>
      <c r="H104">
        <f t="shared" si="25"/>
        <v>1</v>
      </c>
      <c r="I104" s="85">
        <v>0.99997580051422097</v>
      </c>
      <c r="J104">
        <f t="shared" si="26"/>
        <v>1</v>
      </c>
      <c r="K104" s="86">
        <v>0.71486920118331898</v>
      </c>
      <c r="L104">
        <f t="shared" si="27"/>
        <v>1</v>
      </c>
      <c r="M104">
        <v>0.82956594228744496</v>
      </c>
      <c r="N104">
        <f t="shared" si="27"/>
        <v>1</v>
      </c>
      <c r="O104">
        <v>0.66572135686874401</v>
      </c>
      <c r="P104">
        <f t="shared" si="27"/>
        <v>1</v>
      </c>
      <c r="Q104">
        <v>0.77969908700000001</v>
      </c>
      <c r="R104">
        <f t="shared" si="27"/>
        <v>1</v>
      </c>
      <c r="S104">
        <v>0.99703490734100297</v>
      </c>
      <c r="T104">
        <f t="shared" si="28"/>
        <v>1</v>
      </c>
      <c r="U104">
        <v>0.23464758999999999</v>
      </c>
      <c r="V104">
        <v>1</v>
      </c>
      <c r="X104">
        <v>0</v>
      </c>
    </row>
    <row r="105" spans="1:24">
      <c r="A105" s="1">
        <v>1</v>
      </c>
      <c r="B105" s="1" t="s">
        <v>105</v>
      </c>
      <c r="C105" s="1">
        <v>1</v>
      </c>
      <c r="D105" s="33">
        <v>1</v>
      </c>
      <c r="E105" s="33">
        <v>1</v>
      </c>
      <c r="F105" s="33">
        <v>1</v>
      </c>
      <c r="G105">
        <v>0.14400958999999999</v>
      </c>
      <c r="H105">
        <f t="shared" si="25"/>
        <v>0</v>
      </c>
      <c r="I105" s="85">
        <v>9.0293120592829998E-3</v>
      </c>
      <c r="J105">
        <f t="shared" si="26"/>
        <v>0</v>
      </c>
      <c r="K105" s="86">
        <v>0.65664297342300404</v>
      </c>
      <c r="L105">
        <f t="shared" si="27"/>
        <v>1</v>
      </c>
      <c r="M105">
        <v>5.7153578847646998E-2</v>
      </c>
      <c r="N105">
        <f t="shared" si="27"/>
        <v>0</v>
      </c>
      <c r="O105">
        <v>2.30916775763E-3</v>
      </c>
      <c r="P105">
        <f t="shared" si="27"/>
        <v>0</v>
      </c>
      <c r="Q105">
        <v>0.241846547</v>
      </c>
      <c r="R105">
        <f t="shared" si="27"/>
        <v>0</v>
      </c>
      <c r="S105">
        <v>0.13311493396759</v>
      </c>
      <c r="T105">
        <f t="shared" si="28"/>
        <v>0</v>
      </c>
      <c r="U105">
        <v>0.26240629999999998</v>
      </c>
      <c r="V105">
        <v>0</v>
      </c>
      <c r="X105">
        <v>0</v>
      </c>
    </row>
    <row r="106" spans="1:24">
      <c r="A106" s="1">
        <v>1</v>
      </c>
      <c r="B106" s="1" t="s">
        <v>106</v>
      </c>
      <c r="C106" s="1">
        <v>1</v>
      </c>
      <c r="D106" s="33">
        <v>0</v>
      </c>
      <c r="E106" s="33">
        <v>1</v>
      </c>
      <c r="F106" s="33">
        <v>1</v>
      </c>
      <c r="G106">
        <v>0.40514287399999999</v>
      </c>
      <c r="H106">
        <f t="shared" si="25"/>
        <v>0</v>
      </c>
      <c r="I106" s="85">
        <v>0.20910334587097201</v>
      </c>
      <c r="J106">
        <f t="shared" si="26"/>
        <v>0</v>
      </c>
      <c r="K106" s="86">
        <v>0.86614745855331399</v>
      </c>
      <c r="L106">
        <f t="shared" si="27"/>
        <v>1</v>
      </c>
      <c r="M106">
        <v>0.52797311544418302</v>
      </c>
      <c r="N106">
        <f t="shared" si="27"/>
        <v>1</v>
      </c>
      <c r="O106">
        <v>9.8706118762492995E-2</v>
      </c>
      <c r="P106">
        <f t="shared" si="27"/>
        <v>0</v>
      </c>
      <c r="Q106">
        <v>0.31428617199999997</v>
      </c>
      <c r="R106">
        <f t="shared" si="27"/>
        <v>0</v>
      </c>
      <c r="S106">
        <v>0.471929341554642</v>
      </c>
      <c r="T106">
        <f t="shared" si="28"/>
        <v>0</v>
      </c>
      <c r="U106">
        <v>0.27056520000000001</v>
      </c>
      <c r="V106">
        <v>1</v>
      </c>
      <c r="X106">
        <v>0</v>
      </c>
    </row>
    <row r="107" spans="1:24">
      <c r="A107" s="1">
        <v>1</v>
      </c>
      <c r="B107" s="1" t="s">
        <v>107</v>
      </c>
      <c r="C107" s="1">
        <v>1</v>
      </c>
      <c r="D107" s="33">
        <v>1</v>
      </c>
      <c r="E107" s="33">
        <v>1</v>
      </c>
      <c r="F107" s="33">
        <v>1</v>
      </c>
      <c r="G107">
        <v>0.821143866</v>
      </c>
      <c r="H107">
        <f t="shared" si="25"/>
        <v>1</v>
      </c>
      <c r="I107" s="85">
        <v>0.89738923311233498</v>
      </c>
      <c r="J107">
        <f t="shared" si="26"/>
        <v>1</v>
      </c>
      <c r="K107" s="86">
        <v>0.59882384538650502</v>
      </c>
      <c r="L107">
        <f t="shared" si="27"/>
        <v>1</v>
      </c>
      <c r="M107">
        <v>0.84194135665893499</v>
      </c>
      <c r="N107">
        <f t="shared" si="27"/>
        <v>1</v>
      </c>
      <c r="O107">
        <v>0.93678301572799705</v>
      </c>
      <c r="P107">
        <f t="shared" si="27"/>
        <v>1</v>
      </c>
      <c r="Q107">
        <v>0.74145621100000003</v>
      </c>
      <c r="R107">
        <f t="shared" si="27"/>
        <v>1</v>
      </c>
      <c r="S107">
        <v>0.90981745719909701</v>
      </c>
      <c r="T107">
        <f t="shared" si="28"/>
        <v>1</v>
      </c>
      <c r="U107">
        <v>0.37418547000000002</v>
      </c>
      <c r="V107">
        <v>1</v>
      </c>
      <c r="X107">
        <v>0</v>
      </c>
    </row>
    <row r="108" spans="1:24">
      <c r="A108" s="1">
        <v>1</v>
      </c>
      <c r="B108" s="1" t="s">
        <v>108</v>
      </c>
      <c r="C108" s="1">
        <v>1</v>
      </c>
      <c r="D108" s="33">
        <v>0</v>
      </c>
      <c r="E108" s="33">
        <v>1</v>
      </c>
      <c r="F108" s="33">
        <v>1</v>
      </c>
      <c r="G108">
        <v>0.54979717699999997</v>
      </c>
      <c r="H108">
        <f t="shared" si="25"/>
        <v>1</v>
      </c>
      <c r="I108" s="85">
        <v>0.32496285438537598</v>
      </c>
      <c r="J108">
        <f t="shared" si="26"/>
        <v>0</v>
      </c>
      <c r="K108" s="86">
        <v>0.32316705584526001</v>
      </c>
      <c r="L108">
        <f t="shared" si="27"/>
        <v>0</v>
      </c>
      <c r="M108">
        <v>0.114543579518795</v>
      </c>
      <c r="N108">
        <f t="shared" si="27"/>
        <v>0</v>
      </c>
      <c r="O108">
        <v>0.45078319311142001</v>
      </c>
      <c r="P108">
        <f t="shared" si="27"/>
        <v>0</v>
      </c>
      <c r="Q108">
        <v>0.81526720500000005</v>
      </c>
      <c r="R108">
        <f t="shared" si="27"/>
        <v>1</v>
      </c>
      <c r="S108">
        <v>0.79522055387497004</v>
      </c>
      <c r="T108">
        <f t="shared" si="28"/>
        <v>1</v>
      </c>
      <c r="U108">
        <v>0.40527489999999999</v>
      </c>
      <c r="V108">
        <v>1</v>
      </c>
      <c r="X108">
        <v>0</v>
      </c>
    </row>
    <row r="109" spans="1:24">
      <c r="A109" s="1">
        <v>1</v>
      </c>
      <c r="B109" s="1" t="s">
        <v>109</v>
      </c>
      <c r="C109" s="1">
        <v>1</v>
      </c>
      <c r="D109" s="33">
        <v>1</v>
      </c>
      <c r="E109" s="33">
        <v>1</v>
      </c>
      <c r="F109" s="33">
        <v>1</v>
      </c>
      <c r="G109">
        <v>6.4801163999999994E-2</v>
      </c>
      <c r="H109">
        <f t="shared" si="25"/>
        <v>0</v>
      </c>
      <c r="I109" s="85">
        <v>3.5161932464690001E-3</v>
      </c>
      <c r="J109">
        <f t="shared" si="26"/>
        <v>0</v>
      </c>
      <c r="K109" s="86">
        <v>0.62116330862045199</v>
      </c>
      <c r="L109">
        <f t="shared" si="27"/>
        <v>1</v>
      </c>
      <c r="M109">
        <v>0.64013379812240601</v>
      </c>
      <c r="N109">
        <f t="shared" si="27"/>
        <v>1</v>
      </c>
      <c r="O109">
        <v>5.8596301823855002E-2</v>
      </c>
      <c r="P109">
        <f t="shared" si="27"/>
        <v>0</v>
      </c>
      <c r="Q109">
        <v>0.18056718999999999</v>
      </c>
      <c r="R109">
        <f t="shared" si="27"/>
        <v>0</v>
      </c>
      <c r="S109">
        <v>0.81290119886398304</v>
      </c>
      <c r="T109">
        <f t="shared" si="28"/>
        <v>1</v>
      </c>
      <c r="U109">
        <v>0.23164114</v>
      </c>
      <c r="V109">
        <v>0</v>
      </c>
      <c r="X109">
        <v>0</v>
      </c>
    </row>
    <row r="110" spans="1:24">
      <c r="A110" s="1">
        <v>1</v>
      </c>
      <c r="B110" s="7" t="s">
        <v>110</v>
      </c>
      <c r="C110" s="1">
        <v>1</v>
      </c>
      <c r="D110" s="33">
        <v>1</v>
      </c>
      <c r="E110" s="34">
        <v>0</v>
      </c>
      <c r="F110" s="33">
        <v>1</v>
      </c>
      <c r="G110" s="30">
        <v>0.74419462700000005</v>
      </c>
      <c r="H110">
        <f t="shared" si="25"/>
        <v>1</v>
      </c>
      <c r="I110" s="85">
        <v>8.3197221159934998E-2</v>
      </c>
      <c r="J110">
        <f t="shared" si="26"/>
        <v>0</v>
      </c>
      <c r="K110" s="86">
        <v>0.83892118930816595</v>
      </c>
      <c r="L110">
        <f t="shared" si="27"/>
        <v>1</v>
      </c>
      <c r="M110">
        <v>0.69007235765457198</v>
      </c>
      <c r="N110">
        <f t="shared" si="27"/>
        <v>1</v>
      </c>
      <c r="O110">
        <v>0.50247806310653698</v>
      </c>
      <c r="P110">
        <f t="shared" si="27"/>
        <v>1</v>
      </c>
      <c r="Q110">
        <v>0.52239930599999995</v>
      </c>
      <c r="R110">
        <f t="shared" si="27"/>
        <v>1</v>
      </c>
      <c r="S110">
        <v>0.98376715183258101</v>
      </c>
      <c r="T110">
        <f t="shared" si="28"/>
        <v>1</v>
      </c>
      <c r="U110">
        <v>7.0365349999999993E-2</v>
      </c>
      <c r="V110">
        <v>0</v>
      </c>
      <c r="X110">
        <v>1</v>
      </c>
    </row>
    <row r="111" spans="1:24">
      <c r="A111" s="1">
        <v>1</v>
      </c>
      <c r="B111" s="1" t="s">
        <v>111</v>
      </c>
      <c r="C111" s="1">
        <v>1</v>
      </c>
      <c r="D111" s="33">
        <v>1</v>
      </c>
      <c r="E111" s="33">
        <v>1</v>
      </c>
      <c r="F111" s="33">
        <v>1</v>
      </c>
      <c r="G111">
        <v>0.89310991799999995</v>
      </c>
      <c r="H111">
        <f t="shared" si="25"/>
        <v>1</v>
      </c>
      <c r="I111" s="85">
        <v>0.61498028039932295</v>
      </c>
      <c r="J111">
        <f t="shared" si="26"/>
        <v>1</v>
      </c>
      <c r="K111" s="86">
        <v>0.80008643865585305</v>
      </c>
      <c r="L111">
        <f t="shared" si="27"/>
        <v>1</v>
      </c>
      <c r="M111">
        <v>0.87717306613922097</v>
      </c>
      <c r="N111">
        <f t="shared" si="27"/>
        <v>1</v>
      </c>
      <c r="O111">
        <v>0.87772744894027699</v>
      </c>
      <c r="P111">
        <f t="shared" si="27"/>
        <v>1</v>
      </c>
      <c r="Q111">
        <v>0.76871722899999995</v>
      </c>
      <c r="R111">
        <f t="shared" si="27"/>
        <v>1</v>
      </c>
      <c r="S111">
        <v>0.998313307762146</v>
      </c>
      <c r="T111">
        <f t="shared" si="28"/>
        <v>1</v>
      </c>
      <c r="U111">
        <v>0.30478364000000002</v>
      </c>
      <c r="V111">
        <v>1</v>
      </c>
      <c r="X111">
        <v>0</v>
      </c>
    </row>
    <row r="112" spans="1:24">
      <c r="A112" s="1" t="s">
        <v>112</v>
      </c>
      <c r="B112" s="1"/>
      <c r="C112" s="22"/>
      <c r="D112" s="35"/>
      <c r="E112" s="35"/>
      <c r="F112" s="35"/>
      <c r="K112" s="86"/>
      <c r="X112">
        <v>2</v>
      </c>
    </row>
    <row r="113" spans="1:24">
      <c r="A113" s="1">
        <v>0</v>
      </c>
      <c r="B113" s="1" t="s">
        <v>113</v>
      </c>
      <c r="C113" s="1">
        <v>0</v>
      </c>
      <c r="D113" s="33">
        <v>1</v>
      </c>
      <c r="E113" s="36">
        <v>0</v>
      </c>
      <c r="F113" s="37">
        <v>0</v>
      </c>
      <c r="G113">
        <v>0.40492498900000001</v>
      </c>
      <c r="H113">
        <f t="shared" si="25"/>
        <v>0</v>
      </c>
      <c r="I113" s="85">
        <v>0.46507799625396701</v>
      </c>
      <c r="J113">
        <f t="shared" si="26"/>
        <v>0</v>
      </c>
      <c r="K113" s="86">
        <v>0.98689937591552701</v>
      </c>
      <c r="L113">
        <f t="shared" si="27"/>
        <v>1</v>
      </c>
      <c r="M113">
        <v>0.69656014442443903</v>
      </c>
      <c r="N113">
        <f t="shared" si="27"/>
        <v>1</v>
      </c>
      <c r="O113">
        <v>0.23990303277969399</v>
      </c>
      <c r="P113">
        <f t="shared" si="27"/>
        <v>0</v>
      </c>
      <c r="Q113">
        <v>0.324868351</v>
      </c>
      <c r="R113">
        <f t="shared" si="27"/>
        <v>0</v>
      </c>
      <c r="S113">
        <v>0.90933609008789096</v>
      </c>
      <c r="T113">
        <f t="shared" si="28"/>
        <v>1</v>
      </c>
      <c r="U113" s="1">
        <v>0.24872810000000001</v>
      </c>
      <c r="V113">
        <v>1</v>
      </c>
      <c r="X113">
        <v>0</v>
      </c>
    </row>
    <row r="114" spans="1:24">
      <c r="A114" s="1">
        <v>0</v>
      </c>
      <c r="B114" s="1" t="s">
        <v>114</v>
      </c>
      <c r="C114" s="1">
        <v>0</v>
      </c>
      <c r="D114" s="33">
        <v>1</v>
      </c>
      <c r="E114" s="37">
        <v>1</v>
      </c>
      <c r="F114" s="37">
        <v>0</v>
      </c>
      <c r="G114">
        <v>0.319865018</v>
      </c>
      <c r="H114">
        <f t="shared" si="25"/>
        <v>0</v>
      </c>
      <c r="I114" s="85">
        <v>0.67942470312118497</v>
      </c>
      <c r="J114">
        <f t="shared" si="26"/>
        <v>1</v>
      </c>
      <c r="K114" s="86">
        <v>0.83051407337188698</v>
      </c>
      <c r="L114">
        <f t="shared" si="27"/>
        <v>1</v>
      </c>
      <c r="M114">
        <v>0.17657586932182301</v>
      </c>
      <c r="N114">
        <f t="shared" si="27"/>
        <v>0</v>
      </c>
      <c r="O114">
        <v>0.38515335321426403</v>
      </c>
      <c r="P114">
        <f t="shared" si="27"/>
        <v>0</v>
      </c>
      <c r="Q114">
        <v>0.25410169399999999</v>
      </c>
      <c r="R114">
        <f t="shared" si="27"/>
        <v>0</v>
      </c>
      <c r="S114">
        <v>0.33932092785835299</v>
      </c>
      <c r="T114">
        <f t="shared" si="28"/>
        <v>0</v>
      </c>
      <c r="U114" s="1">
        <v>0.13793301999999999</v>
      </c>
      <c r="V114">
        <v>0</v>
      </c>
      <c r="X114">
        <v>0</v>
      </c>
    </row>
    <row r="115" spans="1:24">
      <c r="A115" s="1">
        <v>0</v>
      </c>
      <c r="B115" s="1" t="s">
        <v>115</v>
      </c>
      <c r="C115" s="1">
        <v>0</v>
      </c>
      <c r="D115" s="33">
        <v>1</v>
      </c>
      <c r="E115" s="37">
        <v>1</v>
      </c>
      <c r="F115" s="37">
        <v>1</v>
      </c>
      <c r="G115">
        <v>0.49751874800000001</v>
      </c>
      <c r="H115">
        <f t="shared" si="25"/>
        <v>0</v>
      </c>
      <c r="I115" s="85">
        <v>0.99851340055465698</v>
      </c>
      <c r="J115">
        <f t="shared" si="26"/>
        <v>1</v>
      </c>
      <c r="K115" s="86">
        <v>0.86669462919235196</v>
      </c>
      <c r="L115">
        <f t="shared" si="27"/>
        <v>1</v>
      </c>
      <c r="M115">
        <v>0.87869119644164995</v>
      </c>
      <c r="N115">
        <f t="shared" si="27"/>
        <v>1</v>
      </c>
      <c r="O115">
        <v>0.86947584152221702</v>
      </c>
      <c r="P115">
        <f t="shared" si="27"/>
        <v>1</v>
      </c>
      <c r="Q115">
        <v>0.72661596500000003</v>
      </c>
      <c r="R115">
        <f t="shared" si="27"/>
        <v>1</v>
      </c>
      <c r="S115">
        <v>0.99946814775466897</v>
      </c>
      <c r="T115">
        <f t="shared" si="28"/>
        <v>1</v>
      </c>
      <c r="U115" s="1">
        <v>0.39887968000000001</v>
      </c>
      <c r="V115">
        <v>1</v>
      </c>
      <c r="X115">
        <v>0</v>
      </c>
    </row>
    <row r="116" spans="1:24">
      <c r="A116" s="1">
        <v>0</v>
      </c>
      <c r="B116" s="1" t="s">
        <v>116</v>
      </c>
      <c r="C116" s="1">
        <v>0</v>
      </c>
      <c r="D116" s="33">
        <v>1</v>
      </c>
      <c r="E116" s="37">
        <v>1</v>
      </c>
      <c r="F116" s="37">
        <v>1</v>
      </c>
      <c r="G116">
        <v>5.2347607999999997E-2</v>
      </c>
      <c r="H116">
        <f t="shared" si="25"/>
        <v>0</v>
      </c>
      <c r="I116" s="85">
        <v>2.4653289467095999E-2</v>
      </c>
      <c r="J116">
        <f t="shared" si="26"/>
        <v>0</v>
      </c>
      <c r="K116" s="86">
        <v>0.242124363780021</v>
      </c>
      <c r="L116">
        <f t="shared" si="27"/>
        <v>0</v>
      </c>
      <c r="M116">
        <v>7.2827793657779999E-2</v>
      </c>
      <c r="N116">
        <f t="shared" si="27"/>
        <v>0</v>
      </c>
      <c r="O116">
        <v>0.18784366548061401</v>
      </c>
      <c r="P116">
        <f t="shared" si="27"/>
        <v>0</v>
      </c>
      <c r="Q116">
        <v>0.17889010899999999</v>
      </c>
      <c r="R116">
        <f t="shared" si="27"/>
        <v>0</v>
      </c>
      <c r="S116">
        <v>0.33426150679588301</v>
      </c>
      <c r="T116">
        <f t="shared" si="28"/>
        <v>0</v>
      </c>
      <c r="U116" s="1">
        <v>0.12839133</v>
      </c>
      <c r="V116">
        <v>0</v>
      </c>
      <c r="X116">
        <v>0</v>
      </c>
    </row>
    <row r="117" spans="1:24">
      <c r="A117" s="1">
        <v>0</v>
      </c>
      <c r="B117" s="1" t="s">
        <v>117</v>
      </c>
      <c r="C117" s="1">
        <v>0</v>
      </c>
      <c r="D117" s="33">
        <v>0</v>
      </c>
      <c r="E117" s="37">
        <v>0</v>
      </c>
      <c r="F117" s="37">
        <v>0</v>
      </c>
      <c r="G117">
        <v>0.68683761399999999</v>
      </c>
      <c r="H117">
        <f t="shared" si="25"/>
        <v>1</v>
      </c>
      <c r="I117" s="85">
        <v>0.74175828695297197</v>
      </c>
      <c r="J117">
        <f t="shared" si="26"/>
        <v>1</v>
      </c>
      <c r="K117" s="86">
        <v>0.98564702272415095</v>
      </c>
      <c r="L117">
        <f t="shared" si="27"/>
        <v>1</v>
      </c>
      <c r="M117">
        <v>0.949793100357056</v>
      </c>
      <c r="N117">
        <f t="shared" si="27"/>
        <v>1</v>
      </c>
      <c r="O117">
        <v>0.97401154041290305</v>
      </c>
      <c r="P117">
        <f t="shared" si="27"/>
        <v>1</v>
      </c>
      <c r="Q117">
        <v>0.50800532099999995</v>
      </c>
      <c r="R117">
        <f t="shared" si="27"/>
        <v>1</v>
      </c>
      <c r="S117">
        <v>0.25943076610565202</v>
      </c>
      <c r="T117">
        <f t="shared" si="28"/>
        <v>0</v>
      </c>
      <c r="U117" s="1">
        <v>0.42695865</v>
      </c>
      <c r="V117">
        <v>1</v>
      </c>
      <c r="X117">
        <v>0</v>
      </c>
    </row>
    <row r="118" spans="1:24">
      <c r="A118" s="1">
        <v>0</v>
      </c>
      <c r="B118" s="1" t="s">
        <v>118</v>
      </c>
      <c r="C118" s="1">
        <v>0</v>
      </c>
      <c r="D118" s="33">
        <v>0</v>
      </c>
      <c r="E118" s="36">
        <v>0</v>
      </c>
      <c r="F118" s="37">
        <v>0</v>
      </c>
      <c r="G118">
        <v>9.2366681000000006E-2</v>
      </c>
      <c r="H118">
        <f t="shared" si="25"/>
        <v>0</v>
      </c>
      <c r="I118" s="85">
        <v>9.3565357383300005E-4</v>
      </c>
      <c r="J118">
        <f t="shared" si="26"/>
        <v>0</v>
      </c>
      <c r="K118" s="86">
        <v>3.0953874811530099E-2</v>
      </c>
      <c r="L118">
        <f t="shared" si="27"/>
        <v>0</v>
      </c>
      <c r="M118">
        <v>4.0434744209051E-2</v>
      </c>
      <c r="N118">
        <f t="shared" si="27"/>
        <v>0</v>
      </c>
      <c r="O118">
        <v>1.0145456530153999E-2</v>
      </c>
      <c r="P118">
        <f t="shared" si="27"/>
        <v>0</v>
      </c>
      <c r="Q118">
        <v>0.12418972</v>
      </c>
      <c r="R118">
        <f t="shared" si="27"/>
        <v>0</v>
      </c>
      <c r="S118">
        <v>9.0815136209129992E-3</v>
      </c>
      <c r="T118">
        <f t="shared" si="28"/>
        <v>0</v>
      </c>
      <c r="U118" s="1">
        <v>3.1248232000000001E-2</v>
      </c>
      <c r="V118">
        <v>0</v>
      </c>
      <c r="X118">
        <v>0</v>
      </c>
    </row>
    <row r="119" spans="1:24">
      <c r="A119" s="1">
        <v>0</v>
      </c>
      <c r="B119" s="1" t="s">
        <v>119</v>
      </c>
      <c r="C119" s="1">
        <v>0</v>
      </c>
      <c r="D119" s="33">
        <v>0</v>
      </c>
      <c r="E119" s="36">
        <v>0</v>
      </c>
      <c r="F119" s="37">
        <v>0</v>
      </c>
      <c r="G119" s="30">
        <v>0.13004492200000001</v>
      </c>
      <c r="H119">
        <f t="shared" si="25"/>
        <v>0</v>
      </c>
      <c r="I119" s="85">
        <v>0.10998443514108699</v>
      </c>
      <c r="J119">
        <f t="shared" si="26"/>
        <v>0</v>
      </c>
      <c r="K119" s="86">
        <v>4.5490325428545397E-3</v>
      </c>
      <c r="L119">
        <f t="shared" si="27"/>
        <v>0</v>
      </c>
      <c r="M119">
        <v>0.35944852232933</v>
      </c>
      <c r="N119">
        <f t="shared" si="27"/>
        <v>0</v>
      </c>
      <c r="O119">
        <v>0.24566952884197199</v>
      </c>
      <c r="P119">
        <f t="shared" si="27"/>
        <v>0</v>
      </c>
      <c r="Q119">
        <v>0.15185247399999999</v>
      </c>
      <c r="R119">
        <f t="shared" si="27"/>
        <v>0</v>
      </c>
      <c r="S119">
        <v>1.3599799945951001E-2</v>
      </c>
      <c r="T119">
        <f t="shared" si="28"/>
        <v>0</v>
      </c>
      <c r="U119" s="1">
        <v>4.2395863999999998E-2</v>
      </c>
      <c r="V119">
        <v>0</v>
      </c>
      <c r="X119">
        <v>0</v>
      </c>
    </row>
    <row r="120" spans="1:24">
      <c r="A120" s="1">
        <v>0</v>
      </c>
      <c r="B120" s="1" t="s">
        <v>120</v>
      </c>
      <c r="C120" s="1">
        <v>0</v>
      </c>
      <c r="D120" s="33">
        <v>0</v>
      </c>
      <c r="E120" s="36">
        <v>0</v>
      </c>
      <c r="F120" s="37">
        <v>0</v>
      </c>
      <c r="G120">
        <v>0.21847116899999999</v>
      </c>
      <c r="H120">
        <f t="shared" si="25"/>
        <v>0</v>
      </c>
      <c r="I120" s="85">
        <v>4.9882610328500004E-3</v>
      </c>
      <c r="J120">
        <f t="shared" si="26"/>
        <v>0</v>
      </c>
      <c r="K120" s="86">
        <v>4.0145657956600099E-2</v>
      </c>
      <c r="L120">
        <f t="shared" si="27"/>
        <v>0</v>
      </c>
      <c r="M120">
        <v>0.14880901575088501</v>
      </c>
      <c r="N120">
        <f t="shared" si="27"/>
        <v>0</v>
      </c>
      <c r="O120">
        <v>6.6256321966648005E-2</v>
      </c>
      <c r="P120">
        <f t="shared" si="27"/>
        <v>0</v>
      </c>
      <c r="Q120" s="30">
        <v>0.192178443</v>
      </c>
      <c r="R120">
        <f t="shared" si="27"/>
        <v>0</v>
      </c>
      <c r="S120">
        <v>0.22383089363575001</v>
      </c>
      <c r="T120">
        <f t="shared" si="28"/>
        <v>0</v>
      </c>
      <c r="U120" s="1">
        <v>1.9430457000000002E-2</v>
      </c>
      <c r="V120">
        <v>0</v>
      </c>
      <c r="X120">
        <v>0</v>
      </c>
    </row>
    <row r="121" spans="1:24">
      <c r="A121" s="1">
        <v>0</v>
      </c>
      <c r="B121" s="1" t="s">
        <v>121</v>
      </c>
      <c r="C121" s="1">
        <v>0</v>
      </c>
      <c r="D121" s="33">
        <v>0</v>
      </c>
      <c r="E121" s="36">
        <v>0</v>
      </c>
      <c r="F121" s="37">
        <v>0</v>
      </c>
      <c r="G121">
        <v>0.21155607700000001</v>
      </c>
      <c r="H121">
        <f t="shared" si="25"/>
        <v>0</v>
      </c>
      <c r="I121" s="85">
        <v>0.37753617763519298</v>
      </c>
      <c r="J121">
        <f t="shared" si="26"/>
        <v>0</v>
      </c>
      <c r="K121" s="86">
        <v>0.38999563455581598</v>
      </c>
      <c r="L121">
        <f t="shared" si="27"/>
        <v>0</v>
      </c>
      <c r="M121">
        <v>0.74530923366546598</v>
      </c>
      <c r="N121">
        <f t="shared" si="27"/>
        <v>1</v>
      </c>
      <c r="O121">
        <v>0.15091267228126501</v>
      </c>
      <c r="P121">
        <f t="shared" si="27"/>
        <v>0</v>
      </c>
      <c r="Q121">
        <v>0.294101477</v>
      </c>
      <c r="R121">
        <f t="shared" si="27"/>
        <v>0</v>
      </c>
      <c r="S121">
        <v>7.2870180010795996E-2</v>
      </c>
      <c r="T121">
        <f t="shared" si="28"/>
        <v>0</v>
      </c>
      <c r="U121" s="1">
        <v>0.29935479999999998</v>
      </c>
      <c r="V121">
        <v>1</v>
      </c>
      <c r="X121">
        <v>0</v>
      </c>
    </row>
    <row r="122" spans="1:24">
      <c r="A122" s="1">
        <v>0</v>
      </c>
      <c r="B122" s="1" t="s">
        <v>122</v>
      </c>
      <c r="C122" s="1">
        <v>0</v>
      </c>
      <c r="D122" s="33">
        <v>0</v>
      </c>
      <c r="E122" s="36">
        <v>0</v>
      </c>
      <c r="F122" s="37">
        <v>0</v>
      </c>
      <c r="G122">
        <v>0.34137046300000001</v>
      </c>
      <c r="H122">
        <f t="shared" si="25"/>
        <v>0</v>
      </c>
      <c r="I122" s="85">
        <v>1.0708537884057E-2</v>
      </c>
      <c r="J122">
        <f t="shared" si="26"/>
        <v>0</v>
      </c>
      <c r="K122" s="86">
        <v>1.3528076233342201E-3</v>
      </c>
      <c r="L122">
        <f t="shared" si="27"/>
        <v>0</v>
      </c>
      <c r="M122">
        <v>0.154425293207169</v>
      </c>
      <c r="N122">
        <f t="shared" si="27"/>
        <v>0</v>
      </c>
      <c r="O122">
        <v>8.5240686312319999E-3</v>
      </c>
      <c r="P122">
        <f t="shared" si="27"/>
        <v>0</v>
      </c>
      <c r="Q122">
        <v>0.28259795900000001</v>
      </c>
      <c r="R122">
        <f t="shared" si="27"/>
        <v>0</v>
      </c>
      <c r="S122">
        <v>5.7650957256556001E-2</v>
      </c>
      <c r="T122">
        <f t="shared" si="28"/>
        <v>0</v>
      </c>
      <c r="U122" s="1">
        <v>0.14908173999999999</v>
      </c>
      <c r="V122">
        <v>0</v>
      </c>
      <c r="X122">
        <v>0</v>
      </c>
    </row>
    <row r="123" spans="1:24">
      <c r="A123" s="1">
        <v>0</v>
      </c>
      <c r="B123" s="1" t="s">
        <v>123</v>
      </c>
      <c r="C123" s="1">
        <v>0</v>
      </c>
      <c r="D123" s="33">
        <v>1</v>
      </c>
      <c r="E123" s="37">
        <v>1</v>
      </c>
      <c r="F123" s="37">
        <v>0</v>
      </c>
      <c r="G123">
        <v>0.67211359699999995</v>
      </c>
      <c r="H123">
        <f t="shared" si="25"/>
        <v>1</v>
      </c>
      <c r="I123" s="85">
        <v>0.99639755487442005</v>
      </c>
      <c r="J123">
        <f t="shared" si="26"/>
        <v>1</v>
      </c>
      <c r="K123" s="86">
        <v>0.163235649466514</v>
      </c>
      <c r="L123">
        <f t="shared" si="27"/>
        <v>0</v>
      </c>
      <c r="M123">
        <v>0.37681514024734503</v>
      </c>
      <c r="N123">
        <f t="shared" si="27"/>
        <v>0</v>
      </c>
      <c r="O123">
        <v>0.87905699014663696</v>
      </c>
      <c r="P123">
        <f t="shared" si="27"/>
        <v>1</v>
      </c>
      <c r="Q123">
        <v>0.602393925</v>
      </c>
      <c r="R123">
        <f t="shared" si="27"/>
        <v>1</v>
      </c>
      <c r="S123">
        <v>0.90979623794555597</v>
      </c>
      <c r="T123">
        <f t="shared" si="28"/>
        <v>1</v>
      </c>
      <c r="U123" s="1">
        <v>8.1026100000000004E-2</v>
      </c>
      <c r="V123">
        <v>0</v>
      </c>
      <c r="X123">
        <v>0</v>
      </c>
    </row>
    <row r="124" spans="1:24">
      <c r="A124" s="1">
        <v>0</v>
      </c>
      <c r="B124" s="1" t="s">
        <v>124</v>
      </c>
      <c r="C124" s="1">
        <v>0</v>
      </c>
      <c r="D124" s="33">
        <v>0</v>
      </c>
      <c r="E124" s="36">
        <v>0</v>
      </c>
      <c r="F124" s="37">
        <v>0</v>
      </c>
      <c r="G124">
        <v>0.18359980000000001</v>
      </c>
      <c r="H124">
        <f t="shared" si="25"/>
        <v>0</v>
      </c>
      <c r="I124" s="85">
        <v>1.050401828252E-3</v>
      </c>
      <c r="J124">
        <f t="shared" si="26"/>
        <v>0</v>
      </c>
      <c r="K124" s="86">
        <v>0.44164031744003202</v>
      </c>
      <c r="L124">
        <f t="shared" si="27"/>
        <v>0</v>
      </c>
      <c r="M124">
        <v>7.9025253653526001E-2</v>
      </c>
      <c r="N124">
        <f t="shared" si="27"/>
        <v>0</v>
      </c>
      <c r="O124">
        <v>1.2375780381262001E-2</v>
      </c>
      <c r="P124">
        <f t="shared" si="27"/>
        <v>0</v>
      </c>
      <c r="Q124" s="30">
        <v>0.19917531299999999</v>
      </c>
      <c r="R124">
        <f t="shared" si="27"/>
        <v>0</v>
      </c>
      <c r="S124">
        <v>1.7938646487900001E-4</v>
      </c>
      <c r="T124">
        <f t="shared" si="28"/>
        <v>0</v>
      </c>
      <c r="U124" s="1">
        <v>0.12316436</v>
      </c>
      <c r="V124">
        <v>0</v>
      </c>
      <c r="X124">
        <v>0</v>
      </c>
    </row>
    <row r="125" spans="1:24">
      <c r="A125" s="1">
        <v>0</v>
      </c>
      <c r="B125" s="1" t="s">
        <v>125</v>
      </c>
      <c r="C125" s="1">
        <v>0</v>
      </c>
      <c r="D125" s="33">
        <v>1</v>
      </c>
      <c r="E125" s="37">
        <v>0</v>
      </c>
      <c r="F125" s="37">
        <v>0</v>
      </c>
      <c r="G125">
        <v>0.32832473499999998</v>
      </c>
      <c r="H125">
        <f t="shared" si="25"/>
        <v>0</v>
      </c>
      <c r="I125" s="85">
        <v>0.45137915015220598</v>
      </c>
      <c r="J125">
        <f t="shared" si="26"/>
        <v>0</v>
      </c>
      <c r="K125" s="86">
        <v>0.16828174889087599</v>
      </c>
      <c r="L125">
        <f t="shared" si="27"/>
        <v>0</v>
      </c>
      <c r="M125">
        <v>0.69685864448547397</v>
      </c>
      <c r="N125">
        <f t="shared" si="27"/>
        <v>1</v>
      </c>
      <c r="O125">
        <v>0.607075214385986</v>
      </c>
      <c r="P125">
        <f t="shared" si="27"/>
        <v>1</v>
      </c>
      <c r="Q125">
        <v>0.58444273499999999</v>
      </c>
      <c r="R125">
        <f t="shared" si="27"/>
        <v>1</v>
      </c>
      <c r="S125">
        <v>0.34623482823371898</v>
      </c>
      <c r="T125">
        <f t="shared" si="28"/>
        <v>0</v>
      </c>
      <c r="U125" s="1">
        <v>0.31452691999999999</v>
      </c>
      <c r="V125">
        <v>1</v>
      </c>
      <c r="X125">
        <v>0</v>
      </c>
    </row>
    <row r="126" spans="1:24">
      <c r="A126" s="1">
        <v>0</v>
      </c>
      <c r="B126" s="1" t="s">
        <v>126</v>
      </c>
      <c r="C126" s="1">
        <v>0</v>
      </c>
      <c r="D126" s="33">
        <v>0</v>
      </c>
      <c r="E126" s="36">
        <v>0</v>
      </c>
      <c r="F126" s="37">
        <v>0</v>
      </c>
      <c r="G126">
        <v>0.16103057600000001</v>
      </c>
      <c r="H126">
        <f t="shared" si="25"/>
        <v>0</v>
      </c>
      <c r="I126" s="85">
        <v>1.0744755854830001E-3</v>
      </c>
      <c r="J126">
        <f t="shared" si="26"/>
        <v>0</v>
      </c>
      <c r="K126" s="86">
        <v>1.43127189949154E-2</v>
      </c>
      <c r="L126">
        <f t="shared" si="27"/>
        <v>0</v>
      </c>
      <c r="M126">
        <v>0.45027369260788003</v>
      </c>
      <c r="N126">
        <f t="shared" si="27"/>
        <v>0</v>
      </c>
      <c r="O126">
        <v>0.10640145093202601</v>
      </c>
      <c r="P126">
        <f t="shared" si="27"/>
        <v>0</v>
      </c>
      <c r="Q126" s="30">
        <v>0.20559909900000001</v>
      </c>
      <c r="R126">
        <f t="shared" si="27"/>
        <v>0</v>
      </c>
      <c r="S126">
        <v>2.0033853128552999E-2</v>
      </c>
      <c r="T126">
        <f t="shared" si="28"/>
        <v>0</v>
      </c>
      <c r="U126" s="1">
        <v>0.20256509</v>
      </c>
      <c r="V126">
        <v>0</v>
      </c>
      <c r="X126">
        <v>0</v>
      </c>
    </row>
    <row r="127" spans="1:24">
      <c r="A127" s="1">
        <v>0</v>
      </c>
      <c r="B127" s="1" t="s">
        <v>127</v>
      </c>
      <c r="C127" s="1">
        <v>0</v>
      </c>
      <c r="D127" s="33">
        <v>1</v>
      </c>
      <c r="E127" s="37">
        <v>1</v>
      </c>
      <c r="F127" s="37">
        <v>1</v>
      </c>
      <c r="G127">
        <v>0.48207375400000002</v>
      </c>
      <c r="H127">
        <f t="shared" si="25"/>
        <v>0</v>
      </c>
      <c r="I127" s="85">
        <v>0.48430040478706399</v>
      </c>
      <c r="J127">
        <f t="shared" si="26"/>
        <v>0</v>
      </c>
      <c r="K127" s="86">
        <v>2.7602287009358399E-2</v>
      </c>
      <c r="L127">
        <f t="shared" si="27"/>
        <v>0</v>
      </c>
      <c r="M127">
        <v>0.92792457342147805</v>
      </c>
      <c r="N127">
        <f t="shared" si="27"/>
        <v>1</v>
      </c>
      <c r="O127">
        <v>0.211236357688904</v>
      </c>
      <c r="P127">
        <f t="shared" si="27"/>
        <v>0</v>
      </c>
      <c r="Q127">
        <v>0.49204018700000002</v>
      </c>
      <c r="R127">
        <f t="shared" si="27"/>
        <v>0</v>
      </c>
      <c r="S127">
        <v>0.61535024642944303</v>
      </c>
      <c r="T127">
        <f t="shared" si="28"/>
        <v>1</v>
      </c>
      <c r="U127" s="1">
        <v>0.35981864000000002</v>
      </c>
      <c r="V127">
        <v>1</v>
      </c>
      <c r="X127">
        <v>0</v>
      </c>
    </row>
    <row r="128" spans="1:24">
      <c r="A128" s="1">
        <v>0</v>
      </c>
      <c r="B128" s="1" t="s">
        <v>128</v>
      </c>
      <c r="C128" s="1">
        <v>0</v>
      </c>
      <c r="D128" s="33">
        <v>0</v>
      </c>
      <c r="E128" s="36">
        <v>0</v>
      </c>
      <c r="F128" s="37">
        <v>0</v>
      </c>
      <c r="G128">
        <v>0.65249872200000003</v>
      </c>
      <c r="H128">
        <f t="shared" si="25"/>
        <v>1</v>
      </c>
      <c r="I128" s="85">
        <v>0.62760376930236805</v>
      </c>
      <c r="J128">
        <f t="shared" si="26"/>
        <v>1</v>
      </c>
      <c r="K128" s="86">
        <v>3.7907458841800599E-2</v>
      </c>
      <c r="L128">
        <f t="shared" si="27"/>
        <v>0</v>
      </c>
      <c r="M128">
        <v>0.78605490922927901</v>
      </c>
      <c r="N128">
        <f t="shared" si="27"/>
        <v>1</v>
      </c>
      <c r="O128">
        <v>0.919980227947235</v>
      </c>
      <c r="P128">
        <f t="shared" si="27"/>
        <v>1</v>
      </c>
      <c r="Q128">
        <v>0.44131434000000003</v>
      </c>
      <c r="R128">
        <f t="shared" si="27"/>
        <v>0</v>
      </c>
      <c r="S128">
        <v>0.22456596791744199</v>
      </c>
      <c r="T128">
        <f t="shared" si="28"/>
        <v>0</v>
      </c>
      <c r="U128" s="1">
        <v>6.9127229999999998E-2</v>
      </c>
      <c r="V128">
        <v>0</v>
      </c>
      <c r="X128">
        <v>0</v>
      </c>
    </row>
    <row r="129" spans="1:24">
      <c r="A129" s="1">
        <v>0</v>
      </c>
      <c r="B129" s="1" t="s">
        <v>129</v>
      </c>
      <c r="C129" s="1">
        <v>0</v>
      </c>
      <c r="D129" s="33">
        <v>0</v>
      </c>
      <c r="E129" s="36">
        <v>0</v>
      </c>
      <c r="F129" s="37">
        <v>0</v>
      </c>
      <c r="G129">
        <v>0.79253077500000002</v>
      </c>
      <c r="H129">
        <f t="shared" si="25"/>
        <v>1</v>
      </c>
      <c r="I129" s="85">
        <v>0.248823046684265</v>
      </c>
      <c r="J129">
        <f t="shared" si="26"/>
        <v>0</v>
      </c>
      <c r="K129" s="86">
        <v>4.6837881207466098E-2</v>
      </c>
      <c r="L129">
        <f t="shared" si="27"/>
        <v>0</v>
      </c>
      <c r="M129">
        <v>0.66452068090438798</v>
      </c>
      <c r="N129">
        <f t="shared" si="27"/>
        <v>1</v>
      </c>
      <c r="O129">
        <v>0.36167594790458701</v>
      </c>
      <c r="P129">
        <f t="shared" si="27"/>
        <v>0</v>
      </c>
      <c r="Q129">
        <v>0.63653963800000002</v>
      </c>
      <c r="R129">
        <f t="shared" si="27"/>
        <v>1</v>
      </c>
      <c r="S129">
        <v>0.394922465085983</v>
      </c>
      <c r="T129">
        <f t="shared" si="28"/>
        <v>0</v>
      </c>
      <c r="U129" s="1">
        <v>0.26186981999999998</v>
      </c>
      <c r="V129">
        <v>1</v>
      </c>
      <c r="X129">
        <v>0</v>
      </c>
    </row>
    <row r="130" spans="1:24">
      <c r="A130" s="1">
        <v>0</v>
      </c>
      <c r="B130" s="1" t="s">
        <v>130</v>
      </c>
      <c r="C130" s="1">
        <v>0</v>
      </c>
      <c r="D130" s="33">
        <v>0</v>
      </c>
      <c r="E130" s="36">
        <v>0</v>
      </c>
      <c r="F130" s="37">
        <v>0</v>
      </c>
      <c r="G130">
        <v>0.114243276</v>
      </c>
      <c r="H130">
        <f t="shared" si="25"/>
        <v>0</v>
      </c>
      <c r="I130" s="85">
        <v>2.2235008145798899E-5</v>
      </c>
      <c r="J130">
        <f t="shared" si="26"/>
        <v>0</v>
      </c>
      <c r="K130" s="86">
        <v>3.1022855546325402E-3</v>
      </c>
      <c r="L130">
        <f t="shared" si="27"/>
        <v>0</v>
      </c>
      <c r="M130">
        <v>9.0863913297653004E-2</v>
      </c>
      <c r="N130">
        <f t="shared" si="27"/>
        <v>0</v>
      </c>
      <c r="O130">
        <v>6.6693201661110002E-3</v>
      </c>
      <c r="P130">
        <f t="shared" si="27"/>
        <v>0</v>
      </c>
      <c r="Q130">
        <v>6.1877076000000003E-2</v>
      </c>
      <c r="R130">
        <f t="shared" si="27"/>
        <v>0</v>
      </c>
      <c r="S130" s="30">
        <v>6.7323286202736199E-5</v>
      </c>
      <c r="T130">
        <f t="shared" si="28"/>
        <v>0</v>
      </c>
      <c r="U130" s="1">
        <v>2.8040447999999999E-2</v>
      </c>
      <c r="V130">
        <v>0</v>
      </c>
      <c r="X130">
        <v>0</v>
      </c>
    </row>
    <row r="131" spans="1:24">
      <c r="A131" s="1">
        <v>0</v>
      </c>
      <c r="B131" s="1" t="s">
        <v>131</v>
      </c>
      <c r="C131" s="1">
        <v>0</v>
      </c>
      <c r="D131" s="33">
        <v>1</v>
      </c>
      <c r="E131" s="36">
        <v>0</v>
      </c>
      <c r="F131" s="37">
        <v>0</v>
      </c>
      <c r="G131">
        <v>0.444800943</v>
      </c>
      <c r="H131">
        <f t="shared" si="25"/>
        <v>0</v>
      </c>
      <c r="I131" s="85">
        <v>0.91546380519866899</v>
      </c>
      <c r="J131">
        <f t="shared" si="26"/>
        <v>1</v>
      </c>
      <c r="K131" s="86">
        <v>3.4056231379508898E-3</v>
      </c>
      <c r="L131">
        <f t="shared" si="27"/>
        <v>0</v>
      </c>
      <c r="M131">
        <v>0.33593824505806003</v>
      </c>
      <c r="N131">
        <f t="shared" si="27"/>
        <v>0</v>
      </c>
      <c r="O131">
        <v>0.64489811658859297</v>
      </c>
      <c r="P131">
        <f t="shared" si="27"/>
        <v>1</v>
      </c>
      <c r="Q131">
        <v>0.45745956900000001</v>
      </c>
      <c r="R131">
        <f t="shared" si="27"/>
        <v>0</v>
      </c>
      <c r="S131">
        <v>0.52050322294235196</v>
      </c>
      <c r="T131">
        <f t="shared" si="28"/>
        <v>1</v>
      </c>
      <c r="U131" s="1">
        <v>4.9585341999999998E-2</v>
      </c>
      <c r="V131">
        <v>0</v>
      </c>
      <c r="X131">
        <v>0</v>
      </c>
    </row>
    <row r="132" spans="1:24">
      <c r="A132" s="1">
        <v>0</v>
      </c>
      <c r="B132" s="1" t="s">
        <v>132</v>
      </c>
      <c r="C132" s="1">
        <v>0</v>
      </c>
      <c r="D132" s="33">
        <v>0</v>
      </c>
      <c r="E132" s="36">
        <v>0</v>
      </c>
      <c r="F132" s="37">
        <v>0</v>
      </c>
      <c r="G132">
        <v>0.14809878200000001</v>
      </c>
      <c r="H132">
        <f t="shared" si="25"/>
        <v>0</v>
      </c>
      <c r="I132" s="85">
        <v>4.8471736954499998E-4</v>
      </c>
      <c r="J132">
        <f t="shared" si="26"/>
        <v>0</v>
      </c>
      <c r="K132" s="86">
        <v>1.9273665966466E-3</v>
      </c>
      <c r="L132">
        <f t="shared" si="27"/>
        <v>0</v>
      </c>
      <c r="M132">
        <v>7.7015645802020999E-2</v>
      </c>
      <c r="N132">
        <f t="shared" si="27"/>
        <v>0</v>
      </c>
      <c r="O132">
        <v>8.9345080777999998E-3</v>
      </c>
      <c r="P132">
        <f t="shared" si="27"/>
        <v>0</v>
      </c>
      <c r="Q132" s="30">
        <v>8.1187262999999996E-2</v>
      </c>
      <c r="R132">
        <f t="shared" si="27"/>
        <v>0</v>
      </c>
      <c r="S132" s="30">
        <v>8.3392160013320005E-3</v>
      </c>
      <c r="T132">
        <f t="shared" si="28"/>
        <v>0</v>
      </c>
      <c r="U132" s="1">
        <v>1.8897687999999999E-2</v>
      </c>
      <c r="V132">
        <v>0</v>
      </c>
      <c r="X132">
        <v>0</v>
      </c>
    </row>
    <row r="133" spans="1:24">
      <c r="A133" s="1">
        <v>0</v>
      </c>
      <c r="B133" s="1" t="s">
        <v>133</v>
      </c>
      <c r="C133" s="1">
        <v>0</v>
      </c>
      <c r="D133" s="33">
        <v>0</v>
      </c>
      <c r="E133" s="37">
        <v>0</v>
      </c>
      <c r="F133" s="37">
        <v>0</v>
      </c>
      <c r="G133">
        <v>0.345602244</v>
      </c>
      <c r="H133">
        <f t="shared" si="25"/>
        <v>0</v>
      </c>
      <c r="I133" s="85">
        <v>0.123068027198315</v>
      </c>
      <c r="J133">
        <f t="shared" si="26"/>
        <v>0</v>
      </c>
      <c r="K133" s="86">
        <v>0.30081361532211298</v>
      </c>
      <c r="L133">
        <f t="shared" si="27"/>
        <v>0</v>
      </c>
      <c r="M133">
        <v>0.62776362895965598</v>
      </c>
      <c r="N133">
        <f t="shared" si="27"/>
        <v>1</v>
      </c>
      <c r="O133">
        <v>0.60592883825302102</v>
      </c>
      <c r="P133">
        <f t="shared" si="27"/>
        <v>1</v>
      </c>
      <c r="Q133">
        <v>0.47302904699999998</v>
      </c>
      <c r="R133">
        <f t="shared" si="27"/>
        <v>0</v>
      </c>
      <c r="S133">
        <v>1.8010228872299E-2</v>
      </c>
      <c r="T133">
        <f t="shared" si="28"/>
        <v>0</v>
      </c>
      <c r="U133" s="1">
        <v>0.32116603999999999</v>
      </c>
      <c r="V133">
        <v>1</v>
      </c>
      <c r="X133">
        <v>0</v>
      </c>
    </row>
    <row r="134" spans="1:24">
      <c r="A134" s="1">
        <v>0</v>
      </c>
      <c r="B134" s="1" t="s">
        <v>134</v>
      </c>
      <c r="C134" s="1">
        <v>0</v>
      </c>
      <c r="D134" s="33">
        <v>0</v>
      </c>
      <c r="E134" s="37">
        <v>1</v>
      </c>
      <c r="F134" s="37">
        <v>0</v>
      </c>
      <c r="G134" s="30">
        <v>0.58619093899999997</v>
      </c>
      <c r="H134">
        <f t="shared" si="25"/>
        <v>1</v>
      </c>
      <c r="I134" s="85">
        <v>0.16854396462440499</v>
      </c>
      <c r="J134">
        <f t="shared" si="26"/>
        <v>0</v>
      </c>
      <c r="K134" s="86">
        <v>0.323064595460891</v>
      </c>
      <c r="L134">
        <f t="shared" si="27"/>
        <v>0</v>
      </c>
      <c r="M134">
        <v>0.534101903438568</v>
      </c>
      <c r="N134">
        <f t="shared" si="27"/>
        <v>1</v>
      </c>
      <c r="O134">
        <v>0.21499323844909701</v>
      </c>
      <c r="P134">
        <f t="shared" si="27"/>
        <v>0</v>
      </c>
      <c r="Q134">
        <v>0.34502524099999998</v>
      </c>
      <c r="R134">
        <f t="shared" si="27"/>
        <v>0</v>
      </c>
      <c r="S134">
        <v>0.86735320091247603</v>
      </c>
      <c r="T134">
        <f t="shared" si="28"/>
        <v>1</v>
      </c>
      <c r="U134" s="1">
        <v>0.28288594</v>
      </c>
      <c r="V134">
        <v>1</v>
      </c>
      <c r="X134">
        <v>0</v>
      </c>
    </row>
    <row r="135" spans="1:24">
      <c r="A135" s="1">
        <v>0</v>
      </c>
      <c r="B135" s="5" t="s">
        <v>135</v>
      </c>
      <c r="C135" s="1">
        <v>0</v>
      </c>
      <c r="D135" s="33">
        <v>0</v>
      </c>
      <c r="E135" s="36">
        <v>0</v>
      </c>
      <c r="F135" s="37">
        <v>0</v>
      </c>
      <c r="G135">
        <v>0.21742378200000001</v>
      </c>
      <c r="H135">
        <f t="shared" si="25"/>
        <v>0</v>
      </c>
      <c r="I135" s="85">
        <v>6.2469313852490001E-3</v>
      </c>
      <c r="J135">
        <f t="shared" si="26"/>
        <v>0</v>
      </c>
      <c r="K135" s="86">
        <v>3.1578183174133301E-2</v>
      </c>
      <c r="L135">
        <f t="shared" si="27"/>
        <v>0</v>
      </c>
      <c r="M135">
        <v>0.33271002769470198</v>
      </c>
      <c r="N135">
        <f t="shared" si="27"/>
        <v>0</v>
      </c>
      <c r="O135">
        <v>5.6018708273770004E-3</v>
      </c>
      <c r="P135">
        <f t="shared" si="27"/>
        <v>0</v>
      </c>
      <c r="Q135">
        <v>0.15950769200000001</v>
      </c>
      <c r="R135">
        <f t="shared" si="27"/>
        <v>0</v>
      </c>
      <c r="S135">
        <v>2.6462469249964E-2</v>
      </c>
      <c r="T135">
        <f t="shared" si="28"/>
        <v>0</v>
      </c>
      <c r="U135" s="5">
        <v>0.11458362</v>
      </c>
      <c r="V135">
        <v>0</v>
      </c>
      <c r="X135">
        <v>0</v>
      </c>
    </row>
    <row r="136" spans="1:24">
      <c r="A136" s="1">
        <v>0</v>
      </c>
      <c r="B136" s="1" t="s">
        <v>136</v>
      </c>
      <c r="C136" s="1">
        <v>0</v>
      </c>
      <c r="D136" s="33">
        <v>0</v>
      </c>
      <c r="E136" s="36">
        <v>0</v>
      </c>
      <c r="F136" s="37">
        <v>0</v>
      </c>
      <c r="G136">
        <v>0.15395832100000001</v>
      </c>
      <c r="H136">
        <f t="shared" si="25"/>
        <v>0</v>
      </c>
      <c r="I136" s="85">
        <v>1.6253557056189E-2</v>
      </c>
      <c r="J136">
        <f t="shared" si="26"/>
        <v>0</v>
      </c>
      <c r="K136" s="86">
        <v>9.8178550601005499E-2</v>
      </c>
      <c r="L136">
        <f t="shared" si="27"/>
        <v>0</v>
      </c>
      <c r="M136">
        <v>0.173988297581673</v>
      </c>
      <c r="N136">
        <f t="shared" si="27"/>
        <v>0</v>
      </c>
      <c r="O136">
        <v>0.39923295378684998</v>
      </c>
      <c r="P136">
        <f t="shared" si="27"/>
        <v>0</v>
      </c>
      <c r="Q136">
        <v>0.278975904</v>
      </c>
      <c r="R136">
        <f t="shared" si="27"/>
        <v>0</v>
      </c>
      <c r="S136">
        <v>0.107612326741219</v>
      </c>
      <c r="T136">
        <f t="shared" si="28"/>
        <v>0</v>
      </c>
      <c r="U136" s="1">
        <v>0.10010731</v>
      </c>
      <c r="V136">
        <v>0</v>
      </c>
      <c r="X136">
        <v>0</v>
      </c>
    </row>
    <row r="137" spans="1:24">
      <c r="A137" s="1">
        <v>0</v>
      </c>
      <c r="B137" s="7" t="s">
        <v>137</v>
      </c>
      <c r="C137" s="1">
        <v>0</v>
      </c>
      <c r="D137" s="33">
        <v>0</v>
      </c>
      <c r="E137" s="36">
        <v>0</v>
      </c>
      <c r="F137" s="37">
        <v>0</v>
      </c>
      <c r="G137">
        <v>0.61738157299999996</v>
      </c>
      <c r="H137">
        <f t="shared" si="25"/>
        <v>1</v>
      </c>
      <c r="I137" s="85">
        <v>5.0595472566780002E-3</v>
      </c>
      <c r="J137">
        <f t="shared" si="26"/>
        <v>0</v>
      </c>
      <c r="K137" s="86">
        <v>5.2227698266506098E-2</v>
      </c>
      <c r="L137">
        <f t="shared" si="27"/>
        <v>0</v>
      </c>
      <c r="M137">
        <v>0.52416670322418202</v>
      </c>
      <c r="N137">
        <f t="shared" si="27"/>
        <v>1</v>
      </c>
      <c r="O137">
        <v>2.5256697088479999E-2</v>
      </c>
      <c r="P137">
        <f t="shared" si="27"/>
        <v>0</v>
      </c>
      <c r="Q137">
        <v>0.29286119300000002</v>
      </c>
      <c r="R137">
        <f t="shared" si="27"/>
        <v>0</v>
      </c>
      <c r="S137">
        <v>0.115154884755611</v>
      </c>
      <c r="T137">
        <f t="shared" si="28"/>
        <v>0</v>
      </c>
      <c r="U137" s="7">
        <v>0.21544276000000001</v>
      </c>
      <c r="V137">
        <v>0</v>
      </c>
      <c r="X137">
        <v>1</v>
      </c>
    </row>
    <row r="138" spans="1:24">
      <c r="A138" s="1">
        <v>0</v>
      </c>
      <c r="B138" s="7" t="s">
        <v>138</v>
      </c>
      <c r="C138" s="1">
        <v>0</v>
      </c>
      <c r="D138" s="33">
        <v>0</v>
      </c>
      <c r="E138" s="37">
        <v>1</v>
      </c>
      <c r="F138" s="37">
        <v>0</v>
      </c>
      <c r="G138">
        <v>0.72320407600000003</v>
      </c>
      <c r="H138">
        <f t="shared" si="25"/>
        <v>1</v>
      </c>
      <c r="I138" s="85">
        <v>0.208128497004509</v>
      </c>
      <c r="J138">
        <f t="shared" si="26"/>
        <v>0</v>
      </c>
      <c r="K138" s="86">
        <v>2.0503947511315301E-2</v>
      </c>
      <c r="L138">
        <f t="shared" si="27"/>
        <v>0</v>
      </c>
      <c r="M138">
        <v>0.62502425909042403</v>
      </c>
      <c r="N138">
        <f t="shared" si="27"/>
        <v>1</v>
      </c>
      <c r="O138">
        <v>0.123142540454865</v>
      </c>
      <c r="P138">
        <f t="shared" si="27"/>
        <v>0</v>
      </c>
      <c r="Q138">
        <v>0.51171475600000005</v>
      </c>
      <c r="R138">
        <f t="shared" si="27"/>
        <v>1</v>
      </c>
      <c r="S138">
        <v>0.69543290138244596</v>
      </c>
      <c r="T138">
        <f t="shared" si="28"/>
        <v>1</v>
      </c>
      <c r="U138" s="7">
        <v>0.20623374</v>
      </c>
      <c r="V138">
        <v>0</v>
      </c>
      <c r="X138">
        <v>1</v>
      </c>
    </row>
    <row r="139" spans="1:24">
      <c r="A139" s="1">
        <v>0</v>
      </c>
      <c r="B139" s="1" t="s">
        <v>139</v>
      </c>
      <c r="C139" s="1">
        <v>0</v>
      </c>
      <c r="D139" s="33">
        <v>1</v>
      </c>
      <c r="E139" s="37">
        <v>0</v>
      </c>
      <c r="F139" s="37">
        <v>0</v>
      </c>
      <c r="G139">
        <v>0.68158495399999997</v>
      </c>
      <c r="H139">
        <f t="shared" si="25"/>
        <v>1</v>
      </c>
      <c r="I139" s="85">
        <v>9.5651904121000001E-4</v>
      </c>
      <c r="J139">
        <f t="shared" si="26"/>
        <v>0</v>
      </c>
      <c r="K139" s="86">
        <v>0.177945896983146</v>
      </c>
      <c r="L139">
        <f t="shared" si="27"/>
        <v>0</v>
      </c>
      <c r="M139">
        <v>0.783794045448303</v>
      </c>
      <c r="N139">
        <f t="shared" si="27"/>
        <v>1</v>
      </c>
      <c r="O139">
        <v>0.46363031864166299</v>
      </c>
      <c r="P139">
        <f t="shared" si="27"/>
        <v>0</v>
      </c>
      <c r="Q139">
        <v>0.36019250800000002</v>
      </c>
      <c r="R139">
        <f t="shared" si="27"/>
        <v>0</v>
      </c>
      <c r="S139">
        <v>1.3524333946406999E-2</v>
      </c>
      <c r="T139">
        <f t="shared" si="28"/>
        <v>0</v>
      </c>
      <c r="U139" s="1">
        <v>0.15145037</v>
      </c>
      <c r="V139">
        <v>1</v>
      </c>
      <c r="X139">
        <v>0</v>
      </c>
    </row>
    <row r="140" spans="1:24">
      <c r="A140" s="1">
        <v>0</v>
      </c>
      <c r="B140" s="1" t="s">
        <v>140</v>
      </c>
      <c r="C140" s="1">
        <v>0</v>
      </c>
      <c r="D140" s="33">
        <v>0</v>
      </c>
      <c r="E140" s="36">
        <v>0</v>
      </c>
      <c r="F140" s="37">
        <v>0</v>
      </c>
      <c r="G140">
        <v>8.7811775999999994E-2</v>
      </c>
      <c r="H140">
        <f t="shared" si="25"/>
        <v>0</v>
      </c>
      <c r="I140" s="85">
        <v>9.8772346973420005E-3</v>
      </c>
      <c r="J140">
        <f t="shared" si="26"/>
        <v>0</v>
      </c>
      <c r="K140" s="86">
        <v>0.182502046227455</v>
      </c>
      <c r="L140">
        <f t="shared" si="27"/>
        <v>0</v>
      </c>
      <c r="M140">
        <v>0.16845862567424799</v>
      </c>
      <c r="N140">
        <f t="shared" si="27"/>
        <v>0</v>
      </c>
      <c r="O140">
        <v>0.183295488357544</v>
      </c>
      <c r="P140">
        <f t="shared" si="27"/>
        <v>0</v>
      </c>
      <c r="Q140">
        <v>0.23260703699999999</v>
      </c>
      <c r="R140">
        <f t="shared" si="27"/>
        <v>0</v>
      </c>
      <c r="S140">
        <v>6.6208593547344E-2</v>
      </c>
      <c r="T140">
        <f t="shared" si="28"/>
        <v>0</v>
      </c>
      <c r="U140" s="1">
        <v>0.16535759999999999</v>
      </c>
      <c r="V140">
        <v>0</v>
      </c>
      <c r="X140">
        <v>0</v>
      </c>
    </row>
    <row r="141" spans="1:24">
      <c r="A141" s="1">
        <v>0</v>
      </c>
      <c r="B141" s="1" t="s">
        <v>141</v>
      </c>
      <c r="C141" s="1">
        <v>0</v>
      </c>
      <c r="D141" s="33">
        <v>1</v>
      </c>
      <c r="E141" s="37">
        <v>0</v>
      </c>
      <c r="F141" s="37">
        <v>0</v>
      </c>
      <c r="G141">
        <v>0.46235465999999997</v>
      </c>
      <c r="H141">
        <f t="shared" si="25"/>
        <v>0</v>
      </c>
      <c r="I141" s="85">
        <v>0.113512247800827</v>
      </c>
      <c r="J141">
        <f t="shared" si="26"/>
        <v>0</v>
      </c>
      <c r="K141" s="86">
        <v>0.33689060807228</v>
      </c>
      <c r="L141">
        <f t="shared" si="27"/>
        <v>0</v>
      </c>
      <c r="M141">
        <v>0.32136338949203502</v>
      </c>
      <c r="N141">
        <f t="shared" si="27"/>
        <v>0</v>
      </c>
      <c r="O141">
        <v>0.61143517494201705</v>
      </c>
      <c r="P141">
        <f t="shared" si="27"/>
        <v>1</v>
      </c>
      <c r="Q141">
        <v>0.371427864</v>
      </c>
      <c r="R141">
        <f t="shared" si="27"/>
        <v>0</v>
      </c>
      <c r="S141">
        <v>0.62851065397262595</v>
      </c>
      <c r="T141">
        <f t="shared" si="28"/>
        <v>1</v>
      </c>
      <c r="U141" s="1">
        <v>0.41233150000000002</v>
      </c>
      <c r="V141">
        <v>1</v>
      </c>
      <c r="X141">
        <v>0</v>
      </c>
    </row>
    <row r="142" spans="1:24">
      <c r="A142" s="1">
        <v>0</v>
      </c>
      <c r="B142" s="1" t="s">
        <v>142</v>
      </c>
      <c r="C142" s="1">
        <v>0</v>
      </c>
      <c r="D142" s="33">
        <v>0</v>
      </c>
      <c r="E142" s="36">
        <v>0</v>
      </c>
      <c r="F142" s="37">
        <v>0</v>
      </c>
      <c r="G142">
        <v>4.5337439E-2</v>
      </c>
      <c r="H142">
        <f t="shared" si="25"/>
        <v>0</v>
      </c>
      <c r="I142" s="85">
        <v>0.11313610523939099</v>
      </c>
      <c r="J142">
        <f t="shared" si="26"/>
        <v>0</v>
      </c>
      <c r="K142" s="86">
        <v>0.28575626015663103</v>
      </c>
      <c r="L142">
        <f t="shared" si="27"/>
        <v>0</v>
      </c>
      <c r="M142">
        <v>0.205748811364174</v>
      </c>
      <c r="N142">
        <f t="shared" si="27"/>
        <v>0</v>
      </c>
      <c r="O142">
        <v>0.19186441600322701</v>
      </c>
      <c r="P142">
        <f t="shared" si="27"/>
        <v>0</v>
      </c>
      <c r="Q142">
        <v>0.16844914899999999</v>
      </c>
      <c r="R142">
        <f t="shared" si="27"/>
        <v>0</v>
      </c>
      <c r="S142">
        <v>0.11658179014921199</v>
      </c>
      <c r="T142">
        <f t="shared" si="28"/>
        <v>0</v>
      </c>
      <c r="U142" s="1">
        <v>0.30779984999999999</v>
      </c>
      <c r="V142">
        <v>1</v>
      </c>
      <c r="X142">
        <v>0</v>
      </c>
    </row>
    <row r="143" spans="1:24">
      <c r="A143" s="1">
        <v>0</v>
      </c>
      <c r="B143" s="1" t="s">
        <v>143</v>
      </c>
      <c r="C143" s="1">
        <v>0</v>
      </c>
      <c r="D143" s="33">
        <v>0</v>
      </c>
      <c r="E143" s="36">
        <v>0</v>
      </c>
      <c r="F143" s="37">
        <v>0</v>
      </c>
      <c r="G143">
        <v>8.6714483999999994E-2</v>
      </c>
      <c r="H143">
        <f t="shared" si="25"/>
        <v>0</v>
      </c>
      <c r="I143" s="85">
        <v>3.1317487359046998E-2</v>
      </c>
      <c r="J143">
        <f t="shared" si="26"/>
        <v>0</v>
      </c>
      <c r="K143" s="86">
        <v>0.161272212862968</v>
      </c>
      <c r="L143">
        <f t="shared" si="27"/>
        <v>0</v>
      </c>
      <c r="M143">
        <v>0.25566124916076699</v>
      </c>
      <c r="N143">
        <f t="shared" si="27"/>
        <v>0</v>
      </c>
      <c r="O143">
        <v>7.2701469063759003E-2</v>
      </c>
      <c r="P143">
        <f t="shared" si="27"/>
        <v>0</v>
      </c>
      <c r="Q143">
        <v>0.221723899</v>
      </c>
      <c r="R143">
        <f t="shared" si="27"/>
        <v>0</v>
      </c>
      <c r="S143">
        <v>0.38930556178093001</v>
      </c>
      <c r="T143">
        <f t="shared" si="28"/>
        <v>0</v>
      </c>
      <c r="U143" s="1">
        <v>6.6522390000000001E-2</v>
      </c>
      <c r="V143">
        <v>0</v>
      </c>
      <c r="X143">
        <v>0</v>
      </c>
    </row>
    <row r="144" spans="1:24">
      <c r="A144" s="1">
        <v>0</v>
      </c>
      <c r="B144" s="7" t="s">
        <v>144</v>
      </c>
      <c r="C144" s="1">
        <v>0</v>
      </c>
      <c r="D144" s="33">
        <v>0</v>
      </c>
      <c r="E144" s="37">
        <v>1</v>
      </c>
      <c r="F144" s="37">
        <v>0</v>
      </c>
      <c r="G144">
        <v>4.2680099999999999E-2</v>
      </c>
      <c r="H144">
        <f t="shared" si="25"/>
        <v>0</v>
      </c>
      <c r="I144" s="85">
        <v>6.5806682687299999E-4</v>
      </c>
      <c r="J144">
        <f t="shared" si="26"/>
        <v>0</v>
      </c>
      <c r="K144" s="86">
        <v>6.5402515232563005E-2</v>
      </c>
      <c r="L144">
        <f t="shared" si="27"/>
        <v>0</v>
      </c>
      <c r="M144">
        <v>4.0468983352183997E-2</v>
      </c>
      <c r="N144">
        <f t="shared" si="27"/>
        <v>0</v>
      </c>
      <c r="O144">
        <v>5.3003206849100001E-3</v>
      </c>
      <c r="P144">
        <f t="shared" si="27"/>
        <v>0</v>
      </c>
      <c r="Q144">
        <v>0.118700691</v>
      </c>
      <c r="R144">
        <f t="shared" si="27"/>
        <v>0</v>
      </c>
      <c r="S144">
        <v>2.2026919759810001E-3</v>
      </c>
      <c r="T144">
        <f t="shared" si="28"/>
        <v>0</v>
      </c>
      <c r="U144" s="7">
        <v>0.17215748</v>
      </c>
      <c r="V144">
        <v>1</v>
      </c>
      <c r="X144">
        <v>1</v>
      </c>
    </row>
    <row r="145" spans="1:24">
      <c r="A145" s="1">
        <v>0</v>
      </c>
      <c r="B145" s="1" t="s">
        <v>145</v>
      </c>
      <c r="C145" s="1">
        <v>0</v>
      </c>
      <c r="D145" s="33">
        <v>0</v>
      </c>
      <c r="E145" s="36">
        <v>0</v>
      </c>
      <c r="F145" s="37">
        <v>0</v>
      </c>
      <c r="G145">
        <v>0.22201642399999999</v>
      </c>
      <c r="H145">
        <f t="shared" si="25"/>
        <v>0</v>
      </c>
      <c r="I145" s="85">
        <v>2.3398615419865001E-2</v>
      </c>
      <c r="J145">
        <f t="shared" si="26"/>
        <v>0</v>
      </c>
      <c r="K145" s="86">
        <v>5.4242376238107598E-2</v>
      </c>
      <c r="L145">
        <f t="shared" si="27"/>
        <v>0</v>
      </c>
      <c r="M145">
        <v>0.341254562139511</v>
      </c>
      <c r="N145">
        <f t="shared" si="27"/>
        <v>0</v>
      </c>
      <c r="O145">
        <v>0.122298136353493</v>
      </c>
      <c r="P145">
        <f t="shared" si="27"/>
        <v>0</v>
      </c>
      <c r="Q145">
        <v>0.34122833600000002</v>
      </c>
      <c r="R145">
        <f t="shared" si="27"/>
        <v>0</v>
      </c>
      <c r="S145">
        <v>0.29692572355270402</v>
      </c>
      <c r="T145">
        <f t="shared" si="28"/>
        <v>0</v>
      </c>
      <c r="U145" s="1">
        <v>0.17578347</v>
      </c>
      <c r="V145">
        <v>0</v>
      </c>
      <c r="X145">
        <v>0</v>
      </c>
    </row>
    <row r="146" spans="1:24">
      <c r="A146" s="1">
        <v>0</v>
      </c>
      <c r="B146" s="1" t="s">
        <v>146</v>
      </c>
      <c r="C146" s="1">
        <v>0</v>
      </c>
      <c r="D146" s="33">
        <v>0</v>
      </c>
      <c r="E146" s="36">
        <v>0</v>
      </c>
      <c r="F146" s="37">
        <v>0</v>
      </c>
      <c r="G146">
        <v>0.37068325299999999</v>
      </c>
      <c r="H146">
        <f t="shared" si="25"/>
        <v>0</v>
      </c>
      <c r="I146" s="85">
        <v>0.15568350255489399</v>
      </c>
      <c r="J146">
        <f t="shared" si="26"/>
        <v>0</v>
      </c>
      <c r="K146" s="86">
        <v>1.2665695510804599E-2</v>
      </c>
      <c r="L146">
        <f t="shared" si="27"/>
        <v>0</v>
      </c>
      <c r="M146">
        <v>0.30652663111686701</v>
      </c>
      <c r="N146">
        <f t="shared" si="27"/>
        <v>0</v>
      </c>
      <c r="O146">
        <v>8.8502004742622001E-2</v>
      </c>
      <c r="P146">
        <f t="shared" si="27"/>
        <v>0</v>
      </c>
      <c r="Q146">
        <v>0.46304795100000001</v>
      </c>
      <c r="R146">
        <f t="shared" si="27"/>
        <v>0</v>
      </c>
      <c r="S146">
        <v>0.43151649832725503</v>
      </c>
      <c r="T146">
        <f t="shared" si="28"/>
        <v>0</v>
      </c>
      <c r="U146" s="1">
        <v>0.31983932999999998</v>
      </c>
      <c r="V146">
        <v>1</v>
      </c>
      <c r="X146">
        <v>0</v>
      </c>
    </row>
    <row r="147" spans="1:24">
      <c r="A147" s="1">
        <v>0</v>
      </c>
      <c r="B147" s="1" t="s">
        <v>147</v>
      </c>
      <c r="C147" s="1">
        <v>0</v>
      </c>
      <c r="D147" s="33">
        <v>1</v>
      </c>
      <c r="E147" s="37">
        <v>1</v>
      </c>
      <c r="F147" s="37">
        <v>1</v>
      </c>
      <c r="G147">
        <v>0.43576168999999998</v>
      </c>
      <c r="H147">
        <f t="shared" si="25"/>
        <v>0</v>
      </c>
      <c r="I147" s="85">
        <v>0.93705779314041104</v>
      </c>
      <c r="J147">
        <f t="shared" si="26"/>
        <v>1</v>
      </c>
      <c r="K147" s="86">
        <v>5.7329967617988503E-2</v>
      </c>
      <c r="L147">
        <f t="shared" si="27"/>
        <v>0</v>
      </c>
      <c r="M147">
        <v>0.91523414850234996</v>
      </c>
      <c r="N147">
        <f t="shared" si="27"/>
        <v>1</v>
      </c>
      <c r="O147">
        <v>0.94986861944198597</v>
      </c>
      <c r="P147">
        <f t="shared" si="27"/>
        <v>1</v>
      </c>
      <c r="Q147" s="30">
        <v>0.48547178499999999</v>
      </c>
      <c r="R147">
        <f t="shared" si="27"/>
        <v>0</v>
      </c>
      <c r="S147">
        <v>0.79708635807037398</v>
      </c>
      <c r="T147">
        <f t="shared" si="28"/>
        <v>1</v>
      </c>
      <c r="U147" s="1">
        <v>0.20700355000000001</v>
      </c>
      <c r="V147">
        <v>0</v>
      </c>
      <c r="X147">
        <v>0</v>
      </c>
    </row>
    <row r="148" spans="1:24">
      <c r="A148" s="1">
        <v>0</v>
      </c>
      <c r="B148" s="1" t="s">
        <v>148</v>
      </c>
      <c r="C148" s="1">
        <v>0</v>
      </c>
      <c r="D148" s="33">
        <v>1</v>
      </c>
      <c r="E148" s="37">
        <v>1</v>
      </c>
      <c r="F148" s="37">
        <v>0</v>
      </c>
      <c r="G148">
        <v>0.26864349799999998</v>
      </c>
      <c r="H148">
        <f t="shared" si="25"/>
        <v>0</v>
      </c>
      <c r="I148" s="85">
        <v>9.5679432153702004E-2</v>
      </c>
      <c r="J148">
        <f t="shared" si="26"/>
        <v>0</v>
      </c>
      <c r="K148" s="86">
        <v>6.1278823763131998E-2</v>
      </c>
      <c r="L148">
        <f t="shared" si="27"/>
        <v>0</v>
      </c>
      <c r="M148">
        <v>0.38314357399940502</v>
      </c>
      <c r="N148">
        <f t="shared" si="27"/>
        <v>0</v>
      </c>
      <c r="O148">
        <v>0.26656627655029302</v>
      </c>
      <c r="P148">
        <f t="shared" si="27"/>
        <v>0</v>
      </c>
      <c r="Q148">
        <v>0.38442054399999998</v>
      </c>
      <c r="R148">
        <f t="shared" si="27"/>
        <v>0</v>
      </c>
      <c r="S148">
        <v>0.33640739321708701</v>
      </c>
      <c r="T148">
        <f t="shared" si="28"/>
        <v>0</v>
      </c>
      <c r="U148" s="1">
        <v>0.27132207000000003</v>
      </c>
      <c r="V148">
        <v>1</v>
      </c>
      <c r="X148">
        <v>0</v>
      </c>
    </row>
    <row r="149" spans="1:24">
      <c r="A149" s="1">
        <v>0</v>
      </c>
      <c r="B149" s="1" t="s">
        <v>149</v>
      </c>
      <c r="C149" s="1">
        <v>0</v>
      </c>
      <c r="D149" s="33">
        <v>0</v>
      </c>
      <c r="E149" s="36">
        <v>0</v>
      </c>
      <c r="F149" s="37">
        <v>0</v>
      </c>
      <c r="G149">
        <v>9.3046798999999999E-2</v>
      </c>
      <c r="H149">
        <f t="shared" si="25"/>
        <v>0</v>
      </c>
      <c r="I149" s="85">
        <v>7.9451434314251002E-2</v>
      </c>
      <c r="J149">
        <f t="shared" si="26"/>
        <v>0</v>
      </c>
      <c r="K149" s="86">
        <v>0.19453126192092801</v>
      </c>
      <c r="L149">
        <f t="shared" si="27"/>
        <v>0</v>
      </c>
      <c r="M149">
        <v>0.12949481606483501</v>
      </c>
      <c r="N149">
        <f t="shared" si="27"/>
        <v>0</v>
      </c>
      <c r="O149">
        <v>0.28276324272155801</v>
      </c>
      <c r="P149">
        <f t="shared" si="27"/>
        <v>0</v>
      </c>
      <c r="Q149">
        <v>0.28880471000000002</v>
      </c>
      <c r="R149">
        <f t="shared" si="27"/>
        <v>0</v>
      </c>
      <c r="S149">
        <v>2.4640170158799998E-4</v>
      </c>
      <c r="T149">
        <f t="shared" si="28"/>
        <v>0</v>
      </c>
      <c r="U149" s="1">
        <v>0.17862702999999999</v>
      </c>
      <c r="V149">
        <v>0</v>
      </c>
      <c r="X149">
        <v>0</v>
      </c>
    </row>
    <row r="150" spans="1:24">
      <c r="A150" s="1">
        <v>0</v>
      </c>
      <c r="B150" s="1" t="s">
        <v>150</v>
      </c>
      <c r="C150" s="1">
        <v>0</v>
      </c>
      <c r="D150" s="33">
        <v>0</v>
      </c>
      <c r="E150" s="36">
        <v>0</v>
      </c>
      <c r="F150" s="37">
        <v>0</v>
      </c>
      <c r="G150" s="30">
        <v>7.5298591999999998E-2</v>
      </c>
      <c r="H150">
        <f t="shared" si="25"/>
        <v>0</v>
      </c>
      <c r="I150" s="85">
        <v>1.1197886429726999E-2</v>
      </c>
      <c r="J150">
        <f t="shared" si="26"/>
        <v>0</v>
      </c>
      <c r="K150" s="86">
        <v>1.1772517114877701E-2</v>
      </c>
      <c r="L150">
        <f t="shared" si="27"/>
        <v>0</v>
      </c>
      <c r="M150">
        <v>2.1215751767159001E-2</v>
      </c>
      <c r="N150">
        <f t="shared" si="27"/>
        <v>0</v>
      </c>
      <c r="O150">
        <v>6.0390243306760001E-3</v>
      </c>
      <c r="P150">
        <f t="shared" si="27"/>
        <v>0</v>
      </c>
      <c r="Q150">
        <v>0.108713672</v>
      </c>
      <c r="R150">
        <f t="shared" si="27"/>
        <v>0</v>
      </c>
      <c r="S150">
        <v>1.65014294907E-4</v>
      </c>
      <c r="T150">
        <f t="shared" si="28"/>
        <v>0</v>
      </c>
      <c r="U150" s="1">
        <v>5.0896737999999997E-2</v>
      </c>
      <c r="V150">
        <v>0</v>
      </c>
      <c r="X150">
        <v>0</v>
      </c>
    </row>
    <row r="151" spans="1:24">
      <c r="A151" s="1">
        <v>0</v>
      </c>
      <c r="B151" s="1" t="s">
        <v>151</v>
      </c>
      <c r="C151" s="1">
        <v>0</v>
      </c>
      <c r="D151" s="33">
        <v>0</v>
      </c>
      <c r="E151" s="36">
        <v>0</v>
      </c>
      <c r="F151" s="37">
        <v>0</v>
      </c>
      <c r="G151">
        <v>2.9657106999999999E-2</v>
      </c>
      <c r="H151">
        <f t="shared" ref="H151:H214" si="29">IF(G151&gt;$A$2,1,0)</f>
        <v>0</v>
      </c>
      <c r="I151" s="85">
        <v>4.9470929661799999E-4</v>
      </c>
      <c r="J151">
        <f t="shared" ref="J151:J214" si="30">IF(I151&gt;$A$2,1,0)</f>
        <v>0</v>
      </c>
      <c r="K151" s="86">
        <v>3.9059288799762698E-2</v>
      </c>
      <c r="L151">
        <f t="shared" ref="L151:T214" si="31">IF(K151&gt;$A$2,1,0)</f>
        <v>0</v>
      </c>
      <c r="M151">
        <v>0.172415256500244</v>
      </c>
      <c r="N151">
        <f t="shared" si="31"/>
        <v>0</v>
      </c>
      <c r="O151">
        <v>2.4732016026969999E-3</v>
      </c>
      <c r="P151">
        <f t="shared" si="31"/>
        <v>0</v>
      </c>
      <c r="Q151">
        <v>4.7716212000000001E-2</v>
      </c>
      <c r="R151">
        <f t="shared" si="31"/>
        <v>0</v>
      </c>
      <c r="S151">
        <v>3.1596182379869998E-3</v>
      </c>
      <c r="T151">
        <f t="shared" si="31"/>
        <v>0</v>
      </c>
      <c r="U151" s="1">
        <v>5.9371689999999998E-2</v>
      </c>
      <c r="V151">
        <v>0</v>
      </c>
      <c r="X151">
        <v>0</v>
      </c>
    </row>
    <row r="152" spans="1:24">
      <c r="A152" s="1">
        <v>0</v>
      </c>
      <c r="B152" s="1" t="s">
        <v>152</v>
      </c>
      <c r="C152" s="1">
        <v>0</v>
      </c>
      <c r="D152" s="33">
        <v>1</v>
      </c>
      <c r="E152" s="36">
        <v>0</v>
      </c>
      <c r="F152" s="37">
        <v>0</v>
      </c>
      <c r="G152">
        <v>8.9194423999999994E-2</v>
      </c>
      <c r="H152">
        <f t="shared" si="29"/>
        <v>0</v>
      </c>
      <c r="I152" s="85">
        <v>2.0464716479182E-2</v>
      </c>
      <c r="J152">
        <f t="shared" si="30"/>
        <v>0</v>
      </c>
      <c r="K152" s="86">
        <v>8.7223695591092092E-3</v>
      </c>
      <c r="L152">
        <f t="shared" si="31"/>
        <v>0</v>
      </c>
      <c r="M152">
        <v>0.22759442031383501</v>
      </c>
      <c r="N152">
        <f t="shared" si="31"/>
        <v>0</v>
      </c>
      <c r="O152">
        <v>0.181229382753372</v>
      </c>
      <c r="P152">
        <f t="shared" si="31"/>
        <v>0</v>
      </c>
      <c r="Q152">
        <v>0.19782868000000001</v>
      </c>
      <c r="R152">
        <f t="shared" si="31"/>
        <v>0</v>
      </c>
      <c r="S152">
        <v>6.0440223664045001E-2</v>
      </c>
      <c r="T152">
        <f t="shared" si="31"/>
        <v>0</v>
      </c>
      <c r="U152" s="1">
        <v>0.12799648999999999</v>
      </c>
      <c r="V152">
        <v>0</v>
      </c>
      <c r="X152">
        <v>0</v>
      </c>
    </row>
    <row r="153" spans="1:24">
      <c r="A153" s="1">
        <v>0</v>
      </c>
      <c r="B153" s="1" t="s">
        <v>153</v>
      </c>
      <c r="C153" s="1">
        <v>0</v>
      </c>
      <c r="D153" s="33">
        <v>0</v>
      </c>
      <c r="E153" s="36">
        <v>0</v>
      </c>
      <c r="F153" s="37">
        <v>0</v>
      </c>
      <c r="G153">
        <v>0.27714216699999999</v>
      </c>
      <c r="H153">
        <f t="shared" si="29"/>
        <v>0</v>
      </c>
      <c r="I153" s="85">
        <v>0.16540710628032701</v>
      </c>
      <c r="J153">
        <f t="shared" si="30"/>
        <v>0</v>
      </c>
      <c r="K153" s="86">
        <v>0.72700786590576105</v>
      </c>
      <c r="L153">
        <f t="shared" si="31"/>
        <v>1</v>
      </c>
      <c r="M153">
        <v>0.27447038888931302</v>
      </c>
      <c r="N153">
        <f t="shared" si="31"/>
        <v>0</v>
      </c>
      <c r="O153">
        <v>4.0767029859130003E-3</v>
      </c>
      <c r="P153">
        <f t="shared" si="31"/>
        <v>0</v>
      </c>
      <c r="Q153">
        <v>0.287677407</v>
      </c>
      <c r="R153">
        <f t="shared" si="31"/>
        <v>0</v>
      </c>
      <c r="S153">
        <v>0.27442213892936701</v>
      </c>
      <c r="T153">
        <f t="shared" ref="T153:T216" si="32">IF(S153&gt;$A$2,1,0)</f>
        <v>0</v>
      </c>
      <c r="U153" s="1">
        <v>0.22397755</v>
      </c>
      <c r="V153">
        <v>1</v>
      </c>
      <c r="X153">
        <v>0</v>
      </c>
    </row>
    <row r="154" spans="1:24">
      <c r="A154" s="1">
        <v>0</v>
      </c>
      <c r="B154" s="1" t="s">
        <v>154</v>
      </c>
      <c r="C154" s="1">
        <v>0</v>
      </c>
      <c r="D154" s="33">
        <v>0</v>
      </c>
      <c r="E154" s="36">
        <v>0</v>
      </c>
      <c r="F154" s="37">
        <v>0</v>
      </c>
      <c r="G154">
        <v>0.69189155099999999</v>
      </c>
      <c r="H154">
        <f t="shared" si="29"/>
        <v>1</v>
      </c>
      <c r="I154" s="85">
        <v>0.35899472236633301</v>
      </c>
      <c r="J154">
        <f t="shared" si="30"/>
        <v>0</v>
      </c>
      <c r="K154" s="86">
        <v>1.9421549513936001E-2</v>
      </c>
      <c r="L154">
        <f t="shared" si="31"/>
        <v>0</v>
      </c>
      <c r="M154">
        <v>0.75104337930679299</v>
      </c>
      <c r="N154">
        <f t="shared" si="31"/>
        <v>1</v>
      </c>
      <c r="O154">
        <v>0.13371261954307601</v>
      </c>
      <c r="P154">
        <f t="shared" si="31"/>
        <v>0</v>
      </c>
      <c r="Q154" s="30">
        <v>0.50876939300000001</v>
      </c>
      <c r="R154">
        <f t="shared" si="31"/>
        <v>1</v>
      </c>
      <c r="S154" s="30">
        <v>0.125111654400826</v>
      </c>
      <c r="T154">
        <f t="shared" si="32"/>
        <v>0</v>
      </c>
      <c r="U154" s="1">
        <v>0.24756448</v>
      </c>
      <c r="V154">
        <v>1</v>
      </c>
      <c r="X154">
        <v>0</v>
      </c>
    </row>
    <row r="155" spans="1:24">
      <c r="A155" s="1">
        <v>0</v>
      </c>
      <c r="B155" s="1" t="s">
        <v>155</v>
      </c>
      <c r="C155" s="1">
        <v>0</v>
      </c>
      <c r="D155" s="33">
        <v>0</v>
      </c>
      <c r="E155" s="36">
        <v>0</v>
      </c>
      <c r="F155" s="37">
        <v>0</v>
      </c>
      <c r="G155">
        <v>0.13613502699999999</v>
      </c>
      <c r="H155">
        <f t="shared" si="29"/>
        <v>0</v>
      </c>
      <c r="I155" s="85">
        <v>2.178432419896E-3</v>
      </c>
      <c r="J155">
        <f t="shared" si="30"/>
        <v>0</v>
      </c>
      <c r="K155" s="86">
        <v>2.8435993008315498E-3</v>
      </c>
      <c r="L155">
        <f t="shared" si="31"/>
        <v>0</v>
      </c>
      <c r="M155">
        <v>0.21263769268989599</v>
      </c>
      <c r="N155">
        <f t="shared" si="31"/>
        <v>0</v>
      </c>
      <c r="O155">
        <v>1.3141228817403001E-2</v>
      </c>
      <c r="P155">
        <f t="shared" si="31"/>
        <v>0</v>
      </c>
      <c r="Q155">
        <v>0.22622299200000001</v>
      </c>
      <c r="R155">
        <f t="shared" si="31"/>
        <v>0</v>
      </c>
      <c r="S155">
        <v>3.2369878143072003E-2</v>
      </c>
      <c r="T155">
        <f t="shared" si="32"/>
        <v>0</v>
      </c>
      <c r="U155" s="1">
        <v>0.18793589999999999</v>
      </c>
      <c r="V155">
        <v>0</v>
      </c>
      <c r="X155">
        <v>0</v>
      </c>
    </row>
    <row r="156" spans="1:24">
      <c r="A156" s="1">
        <v>0</v>
      </c>
      <c r="B156" s="1" t="s">
        <v>156</v>
      </c>
      <c r="C156" s="1">
        <v>0</v>
      </c>
      <c r="D156" s="33">
        <v>0</v>
      </c>
      <c r="E156" s="37">
        <v>0</v>
      </c>
      <c r="F156" s="37">
        <v>0</v>
      </c>
      <c r="G156">
        <v>0.170646399</v>
      </c>
      <c r="H156">
        <f t="shared" si="29"/>
        <v>0</v>
      </c>
      <c r="I156" s="85">
        <v>6.0789310373369999E-3</v>
      </c>
      <c r="J156">
        <f t="shared" si="30"/>
        <v>0</v>
      </c>
      <c r="K156" s="86">
        <v>8.6166083812713595E-2</v>
      </c>
      <c r="L156">
        <f t="shared" si="31"/>
        <v>0</v>
      </c>
      <c r="M156">
        <v>0.40117624402046198</v>
      </c>
      <c r="N156">
        <f t="shared" si="31"/>
        <v>0</v>
      </c>
      <c r="O156">
        <v>0.262449860572815</v>
      </c>
      <c r="P156">
        <f t="shared" si="31"/>
        <v>0</v>
      </c>
      <c r="Q156">
        <v>0.430238336</v>
      </c>
      <c r="R156">
        <f t="shared" si="31"/>
        <v>0</v>
      </c>
      <c r="S156">
        <v>2.2987179458141001E-2</v>
      </c>
      <c r="T156">
        <f t="shared" si="32"/>
        <v>0</v>
      </c>
      <c r="U156" s="1">
        <v>0.28798010000000002</v>
      </c>
      <c r="V156">
        <v>0</v>
      </c>
      <c r="X156">
        <v>0</v>
      </c>
    </row>
    <row r="157" spans="1:24">
      <c r="A157" s="1">
        <v>0</v>
      </c>
      <c r="B157" s="2" t="s">
        <v>157</v>
      </c>
      <c r="C157" s="1">
        <v>0</v>
      </c>
      <c r="D157" s="33">
        <v>1</v>
      </c>
      <c r="E157" s="37">
        <v>1</v>
      </c>
      <c r="F157" s="37">
        <v>1</v>
      </c>
      <c r="G157">
        <v>0.38115981199999999</v>
      </c>
      <c r="H157">
        <f t="shared" si="29"/>
        <v>0</v>
      </c>
      <c r="I157" s="85">
        <v>0.69164097309112604</v>
      </c>
      <c r="J157">
        <f t="shared" si="30"/>
        <v>1</v>
      </c>
      <c r="K157" s="86">
        <v>0.425920069217681</v>
      </c>
      <c r="L157">
        <f t="shared" si="31"/>
        <v>0</v>
      </c>
      <c r="M157">
        <v>0.92014485597610496</v>
      </c>
      <c r="N157">
        <f t="shared" si="31"/>
        <v>1</v>
      </c>
      <c r="O157">
        <v>0.88306361436843905</v>
      </c>
      <c r="P157">
        <f t="shared" si="31"/>
        <v>1</v>
      </c>
      <c r="Q157">
        <v>0.68476027299999997</v>
      </c>
      <c r="R157">
        <f t="shared" si="31"/>
        <v>1</v>
      </c>
      <c r="S157">
        <v>0.15023069083690599</v>
      </c>
      <c r="T157">
        <f t="shared" si="32"/>
        <v>0</v>
      </c>
      <c r="U157" s="2">
        <v>0.28003790000000001</v>
      </c>
      <c r="V157">
        <v>1</v>
      </c>
      <c r="X157">
        <v>0</v>
      </c>
    </row>
    <row r="158" spans="1:24">
      <c r="A158" s="1">
        <v>1</v>
      </c>
      <c r="B158" s="1" t="s">
        <v>158</v>
      </c>
      <c r="C158" s="1">
        <v>1</v>
      </c>
      <c r="D158" s="33">
        <v>1</v>
      </c>
      <c r="E158" s="37">
        <v>1</v>
      </c>
      <c r="F158" s="37">
        <v>1</v>
      </c>
      <c r="G158">
        <v>0.84810411900000005</v>
      </c>
      <c r="H158">
        <f t="shared" si="29"/>
        <v>1</v>
      </c>
      <c r="I158" s="85">
        <v>0.46718046069145203</v>
      </c>
      <c r="J158">
        <f t="shared" si="30"/>
        <v>0</v>
      </c>
      <c r="K158" s="86">
        <v>0.98477596044540405</v>
      </c>
      <c r="L158">
        <f t="shared" si="31"/>
        <v>1</v>
      </c>
      <c r="M158">
        <v>0.57954901456832897</v>
      </c>
      <c r="N158">
        <f t="shared" si="31"/>
        <v>1</v>
      </c>
      <c r="O158">
        <v>0.66682308912277199</v>
      </c>
      <c r="P158">
        <f t="shared" si="31"/>
        <v>1</v>
      </c>
      <c r="Q158">
        <v>0.55431526900000005</v>
      </c>
      <c r="R158">
        <f t="shared" si="31"/>
        <v>1</v>
      </c>
      <c r="S158">
        <v>0.14648202061653101</v>
      </c>
      <c r="T158">
        <f t="shared" si="32"/>
        <v>0</v>
      </c>
      <c r="U158">
        <v>0.2382031</v>
      </c>
      <c r="V158">
        <v>1</v>
      </c>
      <c r="X158">
        <v>0</v>
      </c>
    </row>
    <row r="159" spans="1:24">
      <c r="A159" s="1">
        <v>1</v>
      </c>
      <c r="B159" s="1" t="s">
        <v>159</v>
      </c>
      <c r="C159" s="1">
        <v>1</v>
      </c>
      <c r="D159" s="33">
        <v>1</v>
      </c>
      <c r="E159" s="37">
        <v>1</v>
      </c>
      <c r="F159" s="37">
        <v>1</v>
      </c>
      <c r="G159">
        <v>0.82445323500000001</v>
      </c>
      <c r="H159">
        <f t="shared" si="29"/>
        <v>1</v>
      </c>
      <c r="I159" s="85">
        <v>0.75465220212936401</v>
      </c>
      <c r="J159">
        <f t="shared" si="30"/>
        <v>1</v>
      </c>
      <c r="K159" s="86">
        <v>0.14312036335468201</v>
      </c>
      <c r="L159">
        <f t="shared" si="31"/>
        <v>0</v>
      </c>
      <c r="M159">
        <v>0.65766990184783902</v>
      </c>
      <c r="N159">
        <f t="shared" si="31"/>
        <v>1</v>
      </c>
      <c r="O159">
        <v>0.68707549571991</v>
      </c>
      <c r="P159">
        <f t="shared" si="31"/>
        <v>1</v>
      </c>
      <c r="Q159">
        <v>0.63961213800000005</v>
      </c>
      <c r="R159">
        <f t="shared" si="31"/>
        <v>1</v>
      </c>
      <c r="S159">
        <v>0.52408224344253496</v>
      </c>
      <c r="T159">
        <f t="shared" si="32"/>
        <v>1</v>
      </c>
      <c r="U159">
        <v>0.26648327999999999</v>
      </c>
      <c r="V159">
        <v>1</v>
      </c>
      <c r="X159">
        <v>0</v>
      </c>
    </row>
    <row r="160" spans="1:24">
      <c r="A160" s="1">
        <v>1</v>
      </c>
      <c r="B160" s="1" t="s">
        <v>160</v>
      </c>
      <c r="C160" s="1">
        <v>1</v>
      </c>
      <c r="D160" s="33">
        <v>0</v>
      </c>
      <c r="E160" s="36">
        <v>0</v>
      </c>
      <c r="F160" s="37">
        <v>1</v>
      </c>
      <c r="G160">
        <v>0.70930600200000005</v>
      </c>
      <c r="H160">
        <f t="shared" si="29"/>
        <v>1</v>
      </c>
      <c r="I160" s="85">
        <v>0.72099423408508301</v>
      </c>
      <c r="J160">
        <f t="shared" si="30"/>
        <v>1</v>
      </c>
      <c r="K160" s="86">
        <v>0.66264885663986195</v>
      </c>
      <c r="L160">
        <f t="shared" si="31"/>
        <v>1</v>
      </c>
      <c r="M160">
        <v>0.154357194900513</v>
      </c>
      <c r="N160">
        <f t="shared" si="31"/>
        <v>0</v>
      </c>
      <c r="O160">
        <v>0.491449534893036</v>
      </c>
      <c r="P160">
        <f t="shared" si="31"/>
        <v>0</v>
      </c>
      <c r="Q160">
        <v>0.51857733699999997</v>
      </c>
      <c r="R160">
        <f t="shared" si="31"/>
        <v>1</v>
      </c>
      <c r="S160">
        <v>6.0552224516869001E-2</v>
      </c>
      <c r="T160">
        <f t="shared" si="32"/>
        <v>0</v>
      </c>
      <c r="U160">
        <v>8.0761650000000004E-2</v>
      </c>
      <c r="V160">
        <v>0</v>
      </c>
      <c r="X160">
        <v>0</v>
      </c>
    </row>
    <row r="161" spans="1:24">
      <c r="A161" s="1">
        <v>1</v>
      </c>
      <c r="B161" s="1" t="s">
        <v>161</v>
      </c>
      <c r="C161" s="1">
        <v>1</v>
      </c>
      <c r="D161" s="33">
        <v>1</v>
      </c>
      <c r="E161" s="37">
        <v>1</v>
      </c>
      <c r="F161" s="37">
        <v>1</v>
      </c>
      <c r="G161">
        <v>0.88627594700000001</v>
      </c>
      <c r="H161">
        <f t="shared" si="29"/>
        <v>1</v>
      </c>
      <c r="I161" s="85">
        <v>0.99121487140655495</v>
      </c>
      <c r="J161">
        <f t="shared" si="30"/>
        <v>1</v>
      </c>
      <c r="K161" s="86">
        <v>0.99602818489074696</v>
      </c>
      <c r="L161">
        <f t="shared" si="31"/>
        <v>1</v>
      </c>
      <c r="M161">
        <v>0.56497138738632202</v>
      </c>
      <c r="N161">
        <f t="shared" si="31"/>
        <v>1</v>
      </c>
      <c r="O161">
        <v>0.96865850687027</v>
      </c>
      <c r="P161">
        <f t="shared" si="31"/>
        <v>1</v>
      </c>
      <c r="Q161">
        <v>0.37476036000000001</v>
      </c>
      <c r="R161">
        <f t="shared" si="31"/>
        <v>0</v>
      </c>
      <c r="S161">
        <v>0.99936419725418102</v>
      </c>
      <c r="T161">
        <f t="shared" si="32"/>
        <v>1</v>
      </c>
      <c r="U161">
        <v>0.38462069999999998</v>
      </c>
      <c r="V161">
        <v>1</v>
      </c>
      <c r="X161">
        <v>0</v>
      </c>
    </row>
    <row r="162" spans="1:24">
      <c r="A162" s="1">
        <v>1</v>
      </c>
      <c r="B162" s="1" t="s">
        <v>162</v>
      </c>
      <c r="C162" s="1">
        <v>1</v>
      </c>
      <c r="D162" s="33">
        <v>1</v>
      </c>
      <c r="E162" s="37">
        <v>1</v>
      </c>
      <c r="F162" s="37">
        <v>1</v>
      </c>
      <c r="G162">
        <v>0.52725118400000004</v>
      </c>
      <c r="H162">
        <f t="shared" si="29"/>
        <v>1</v>
      </c>
      <c r="I162" s="85">
        <v>0.57196128368377697</v>
      </c>
      <c r="J162">
        <f t="shared" si="30"/>
        <v>1</v>
      </c>
      <c r="K162" s="86">
        <v>0.978063404560089</v>
      </c>
      <c r="L162">
        <f t="shared" si="31"/>
        <v>1</v>
      </c>
      <c r="M162">
        <v>0.86625963449478205</v>
      </c>
      <c r="N162">
        <f t="shared" si="31"/>
        <v>1</v>
      </c>
      <c r="O162">
        <v>0.74152666330337502</v>
      </c>
      <c r="P162">
        <f t="shared" si="31"/>
        <v>1</v>
      </c>
      <c r="Q162">
        <v>0.54382687799999996</v>
      </c>
      <c r="R162">
        <f t="shared" si="31"/>
        <v>1</v>
      </c>
      <c r="S162">
        <v>0.449039906263351</v>
      </c>
      <c r="T162">
        <f t="shared" si="32"/>
        <v>0</v>
      </c>
      <c r="U162">
        <v>0.22416369999999999</v>
      </c>
      <c r="V162">
        <v>1</v>
      </c>
      <c r="X162">
        <v>0</v>
      </c>
    </row>
    <row r="163" spans="1:24">
      <c r="A163" s="1">
        <v>1</v>
      </c>
      <c r="B163" s="1" t="s">
        <v>163</v>
      </c>
      <c r="C163" s="1">
        <v>1</v>
      </c>
      <c r="D163" s="33">
        <v>1</v>
      </c>
      <c r="E163" s="37">
        <v>1</v>
      </c>
      <c r="F163" s="37">
        <v>1</v>
      </c>
      <c r="G163">
        <v>0.92557740200000005</v>
      </c>
      <c r="H163">
        <f t="shared" si="29"/>
        <v>1</v>
      </c>
      <c r="I163" s="85">
        <v>0.99997830390930198</v>
      </c>
      <c r="J163">
        <f t="shared" si="30"/>
        <v>1</v>
      </c>
      <c r="K163" s="86">
        <v>0.958016157150268</v>
      </c>
      <c r="L163">
        <f t="shared" si="31"/>
        <v>1</v>
      </c>
      <c r="M163">
        <v>0.930530846118927</v>
      </c>
      <c r="N163">
        <f t="shared" si="31"/>
        <v>1</v>
      </c>
      <c r="O163">
        <v>0.997553050518036</v>
      </c>
      <c r="P163">
        <f t="shared" si="31"/>
        <v>1</v>
      </c>
      <c r="Q163">
        <v>0.750007808</v>
      </c>
      <c r="R163">
        <f t="shared" si="31"/>
        <v>1</v>
      </c>
      <c r="S163">
        <v>0.99881750345230103</v>
      </c>
      <c r="T163">
        <f t="shared" si="32"/>
        <v>1</v>
      </c>
      <c r="U163">
        <v>0.34387434</v>
      </c>
      <c r="V163">
        <v>1</v>
      </c>
      <c r="X163">
        <v>0</v>
      </c>
    </row>
    <row r="164" spans="1:24">
      <c r="A164" s="1">
        <v>1</v>
      </c>
      <c r="B164" s="1" t="s">
        <v>164</v>
      </c>
      <c r="C164" s="1">
        <v>1</v>
      </c>
      <c r="D164" s="33">
        <v>1</v>
      </c>
      <c r="E164" s="37">
        <v>1</v>
      </c>
      <c r="F164" s="37">
        <v>1</v>
      </c>
      <c r="G164">
        <v>0.93678951300000002</v>
      </c>
      <c r="H164">
        <f t="shared" si="29"/>
        <v>1</v>
      </c>
      <c r="I164" s="85">
        <v>0.99994051456451405</v>
      </c>
      <c r="J164">
        <f t="shared" si="30"/>
        <v>1</v>
      </c>
      <c r="K164" s="86">
        <v>0.88288646936416604</v>
      </c>
      <c r="L164">
        <f t="shared" si="31"/>
        <v>1</v>
      </c>
      <c r="M164">
        <v>0.57586473226547197</v>
      </c>
      <c r="N164">
        <f t="shared" si="31"/>
        <v>1</v>
      </c>
      <c r="O164">
        <v>0.99935132265090898</v>
      </c>
      <c r="P164">
        <f t="shared" si="31"/>
        <v>1</v>
      </c>
      <c r="Q164">
        <v>0.67605286799999997</v>
      </c>
      <c r="R164">
        <f t="shared" si="31"/>
        <v>1</v>
      </c>
      <c r="S164">
        <v>0.99964630603790305</v>
      </c>
      <c r="T164">
        <f t="shared" si="32"/>
        <v>1</v>
      </c>
      <c r="U164">
        <v>0.41901840000000001</v>
      </c>
      <c r="V164">
        <v>1</v>
      </c>
      <c r="X164">
        <v>0</v>
      </c>
    </row>
    <row r="165" spans="1:24">
      <c r="A165" s="1">
        <v>1</v>
      </c>
      <c r="B165" s="1" t="s">
        <v>165</v>
      </c>
      <c r="C165" s="1">
        <v>1</v>
      </c>
      <c r="D165" s="33">
        <v>1</v>
      </c>
      <c r="E165" s="37">
        <v>1</v>
      </c>
      <c r="F165" s="37">
        <v>1</v>
      </c>
      <c r="G165">
        <v>0.71858334499999998</v>
      </c>
      <c r="H165">
        <f t="shared" si="29"/>
        <v>1</v>
      </c>
      <c r="I165" s="85">
        <v>0.67674064636230502</v>
      </c>
      <c r="J165">
        <f t="shared" si="30"/>
        <v>1</v>
      </c>
      <c r="K165" s="86">
        <v>0.174581468105316</v>
      </c>
      <c r="L165">
        <f t="shared" si="31"/>
        <v>0</v>
      </c>
      <c r="M165">
        <v>0.77885890007018999</v>
      </c>
      <c r="N165">
        <f t="shared" si="31"/>
        <v>1</v>
      </c>
      <c r="O165">
        <v>0.57467889785766602</v>
      </c>
      <c r="P165">
        <f t="shared" si="31"/>
        <v>1</v>
      </c>
      <c r="Q165">
        <v>0.63435465099999999</v>
      </c>
      <c r="R165">
        <f t="shared" si="31"/>
        <v>1</v>
      </c>
      <c r="S165">
        <v>0.16960798203945199</v>
      </c>
      <c r="T165">
        <f t="shared" si="32"/>
        <v>0</v>
      </c>
      <c r="U165">
        <v>0.33894651999999997</v>
      </c>
      <c r="V165">
        <v>1</v>
      </c>
      <c r="X165">
        <v>0</v>
      </c>
    </row>
    <row r="166" spans="1:24">
      <c r="A166" s="1">
        <v>1</v>
      </c>
      <c r="B166" s="1" t="s">
        <v>166</v>
      </c>
      <c r="C166" s="1">
        <v>1</v>
      </c>
      <c r="D166" s="33">
        <v>1</v>
      </c>
      <c r="E166" s="37">
        <v>1</v>
      </c>
      <c r="F166" s="37">
        <v>1</v>
      </c>
      <c r="G166">
        <v>0.97170287399999999</v>
      </c>
      <c r="H166">
        <f t="shared" si="29"/>
        <v>1</v>
      </c>
      <c r="I166" s="85">
        <v>0.99997019767761197</v>
      </c>
      <c r="J166">
        <f t="shared" si="30"/>
        <v>1</v>
      </c>
      <c r="K166" s="86">
        <v>0.97332078218460005</v>
      </c>
      <c r="L166">
        <f t="shared" si="31"/>
        <v>1</v>
      </c>
      <c r="M166">
        <v>0.95046681165695202</v>
      </c>
      <c r="N166">
        <f t="shared" si="31"/>
        <v>1</v>
      </c>
      <c r="O166">
        <v>0.99515461921691895</v>
      </c>
      <c r="P166">
        <f t="shared" si="31"/>
        <v>1</v>
      </c>
      <c r="Q166">
        <v>0.73172956700000003</v>
      </c>
      <c r="R166">
        <f t="shared" si="31"/>
        <v>1</v>
      </c>
      <c r="S166">
        <v>0.97991245985031095</v>
      </c>
      <c r="T166">
        <f t="shared" si="32"/>
        <v>1</v>
      </c>
      <c r="U166">
        <v>0.2719318</v>
      </c>
      <c r="V166">
        <v>1</v>
      </c>
      <c r="X166">
        <v>0</v>
      </c>
    </row>
    <row r="167" spans="1:24">
      <c r="A167" s="1">
        <v>1</v>
      </c>
      <c r="B167" s="7" t="s">
        <v>167</v>
      </c>
      <c r="C167" s="1">
        <v>1</v>
      </c>
      <c r="D167" s="33">
        <v>1</v>
      </c>
      <c r="E167" s="37">
        <v>1</v>
      </c>
      <c r="F167" s="37">
        <v>0</v>
      </c>
      <c r="G167">
        <v>0.64382189499999998</v>
      </c>
      <c r="H167">
        <f t="shared" si="29"/>
        <v>1</v>
      </c>
      <c r="I167" s="85">
        <v>0.62473458051681496</v>
      </c>
      <c r="J167">
        <f t="shared" si="30"/>
        <v>1</v>
      </c>
      <c r="K167" s="86">
        <v>0.123745739459991</v>
      </c>
      <c r="L167">
        <f t="shared" si="31"/>
        <v>0</v>
      </c>
      <c r="M167">
        <v>0.50145471096038796</v>
      </c>
      <c r="N167">
        <f t="shared" si="31"/>
        <v>1</v>
      </c>
      <c r="O167">
        <v>0.79426699876785301</v>
      </c>
      <c r="P167">
        <f t="shared" si="31"/>
        <v>1</v>
      </c>
      <c r="Q167">
        <v>0.54229706499999997</v>
      </c>
      <c r="R167">
        <f t="shared" si="31"/>
        <v>1</v>
      </c>
      <c r="S167">
        <v>8.2216270267962993E-2</v>
      </c>
      <c r="T167">
        <f t="shared" si="32"/>
        <v>0</v>
      </c>
      <c r="U167">
        <v>0.22376436999999999</v>
      </c>
      <c r="V167">
        <v>1</v>
      </c>
      <c r="X167">
        <v>1</v>
      </c>
    </row>
    <row r="168" spans="1:24">
      <c r="A168" s="1">
        <v>1</v>
      </c>
      <c r="B168" s="1" t="s">
        <v>168</v>
      </c>
      <c r="C168" s="1">
        <v>1</v>
      </c>
      <c r="D168" s="33">
        <v>1</v>
      </c>
      <c r="E168" s="37">
        <v>1</v>
      </c>
      <c r="F168" s="37">
        <v>1</v>
      </c>
      <c r="G168">
        <v>0.59039038399999999</v>
      </c>
      <c r="H168">
        <f t="shared" si="29"/>
        <v>1</v>
      </c>
      <c r="I168" s="85">
        <v>0.97945934534072898</v>
      </c>
      <c r="J168">
        <f t="shared" si="30"/>
        <v>1</v>
      </c>
      <c r="K168" s="86">
        <v>0.52954071760177601</v>
      </c>
      <c r="L168">
        <f t="shared" si="31"/>
        <v>1</v>
      </c>
      <c r="M168">
        <v>0.63400560617446899</v>
      </c>
      <c r="N168">
        <f t="shared" si="31"/>
        <v>1</v>
      </c>
      <c r="O168">
        <v>0.74047529697418202</v>
      </c>
      <c r="P168">
        <f t="shared" si="31"/>
        <v>1</v>
      </c>
      <c r="Q168">
        <v>0.50101768999999996</v>
      </c>
      <c r="R168">
        <f t="shared" si="31"/>
        <v>1</v>
      </c>
      <c r="S168">
        <v>0.71294367313384999</v>
      </c>
      <c r="T168">
        <f t="shared" si="32"/>
        <v>1</v>
      </c>
      <c r="U168">
        <v>0.43390378000000002</v>
      </c>
      <c r="V168">
        <v>1</v>
      </c>
      <c r="X168">
        <v>0</v>
      </c>
    </row>
    <row r="169" spans="1:24">
      <c r="A169" s="1">
        <v>1</v>
      </c>
      <c r="B169" s="1" t="s">
        <v>169</v>
      </c>
      <c r="C169" s="1">
        <v>1</v>
      </c>
      <c r="D169" s="33">
        <v>1</v>
      </c>
      <c r="E169" s="37">
        <v>1</v>
      </c>
      <c r="F169" s="37">
        <v>1</v>
      </c>
      <c r="G169">
        <v>0.52116775500000001</v>
      </c>
      <c r="H169">
        <f t="shared" si="29"/>
        <v>1</v>
      </c>
      <c r="I169" s="85">
        <v>0.999644875526428</v>
      </c>
      <c r="J169">
        <f t="shared" si="30"/>
        <v>1</v>
      </c>
      <c r="K169" s="86">
        <v>0.907684445381164</v>
      </c>
      <c r="L169">
        <f t="shared" si="31"/>
        <v>1</v>
      </c>
      <c r="M169">
        <v>0.77165520191192605</v>
      </c>
      <c r="N169">
        <f t="shared" si="31"/>
        <v>1</v>
      </c>
      <c r="O169">
        <v>0.89380311965942405</v>
      </c>
      <c r="P169">
        <f t="shared" si="31"/>
        <v>1</v>
      </c>
      <c r="Q169">
        <v>0.78780669000000003</v>
      </c>
      <c r="R169">
        <f t="shared" si="31"/>
        <v>1</v>
      </c>
      <c r="S169">
        <v>0.86855161190033003</v>
      </c>
      <c r="T169">
        <f t="shared" si="32"/>
        <v>1</v>
      </c>
      <c r="U169">
        <v>0.39844669999999999</v>
      </c>
      <c r="V169">
        <v>1</v>
      </c>
      <c r="X169">
        <v>0</v>
      </c>
    </row>
    <row r="170" spans="1:24">
      <c r="A170" s="1">
        <v>1</v>
      </c>
      <c r="B170" s="1" t="s">
        <v>170</v>
      </c>
      <c r="C170" s="1">
        <v>1</v>
      </c>
      <c r="D170" s="33">
        <v>1</v>
      </c>
      <c r="E170" s="37">
        <v>1</v>
      </c>
      <c r="F170" s="37">
        <v>1</v>
      </c>
      <c r="G170">
        <v>0.57611685999999995</v>
      </c>
      <c r="H170">
        <f t="shared" si="29"/>
        <v>1</v>
      </c>
      <c r="I170" s="85">
        <v>0.77178299427032504</v>
      </c>
      <c r="J170">
        <f t="shared" si="30"/>
        <v>1</v>
      </c>
      <c r="K170" s="86">
        <v>0.86639279127120905</v>
      </c>
      <c r="L170">
        <f t="shared" si="31"/>
        <v>1</v>
      </c>
      <c r="M170">
        <v>0.979947209358215</v>
      </c>
      <c r="N170">
        <f t="shared" si="31"/>
        <v>1</v>
      </c>
      <c r="O170">
        <v>0.99299967288971003</v>
      </c>
      <c r="P170">
        <f t="shared" si="31"/>
        <v>1</v>
      </c>
      <c r="Q170">
        <v>0.56585311900000002</v>
      </c>
      <c r="R170">
        <f t="shared" si="31"/>
        <v>1</v>
      </c>
      <c r="S170">
        <v>0.95061790943145796</v>
      </c>
      <c r="T170">
        <f t="shared" si="32"/>
        <v>1</v>
      </c>
      <c r="U170">
        <v>0.43631825000000002</v>
      </c>
      <c r="V170">
        <v>1</v>
      </c>
      <c r="X170">
        <v>0</v>
      </c>
    </row>
    <row r="171" spans="1:24">
      <c r="A171" s="1">
        <v>1</v>
      </c>
      <c r="B171" s="1" t="s">
        <v>171</v>
      </c>
      <c r="C171" s="1">
        <v>1</v>
      </c>
      <c r="D171" s="33">
        <v>1</v>
      </c>
      <c r="E171" s="37">
        <v>1</v>
      </c>
      <c r="F171" s="37">
        <v>1</v>
      </c>
      <c r="G171">
        <v>0.94435274599999997</v>
      </c>
      <c r="H171">
        <f t="shared" si="29"/>
        <v>1</v>
      </c>
      <c r="I171" s="85">
        <v>0.99996519088745095</v>
      </c>
      <c r="J171">
        <f t="shared" si="30"/>
        <v>1</v>
      </c>
      <c r="K171" s="86">
        <v>0.90608781576156605</v>
      </c>
      <c r="L171">
        <f t="shared" si="31"/>
        <v>1</v>
      </c>
      <c r="M171">
        <v>0.97070169448852495</v>
      </c>
      <c r="N171">
        <f t="shared" si="31"/>
        <v>1</v>
      </c>
      <c r="O171">
        <v>0.99873477220535301</v>
      </c>
      <c r="P171">
        <f t="shared" si="31"/>
        <v>1</v>
      </c>
      <c r="Q171">
        <v>0.87460738400000004</v>
      </c>
      <c r="R171">
        <f t="shared" si="31"/>
        <v>1</v>
      </c>
      <c r="S171">
        <v>0.99913245439529397</v>
      </c>
      <c r="T171">
        <f t="shared" si="32"/>
        <v>1</v>
      </c>
      <c r="U171">
        <v>0.5250899</v>
      </c>
      <c r="V171">
        <v>1</v>
      </c>
      <c r="X171">
        <v>0</v>
      </c>
    </row>
    <row r="172" spans="1:24">
      <c r="A172" s="1">
        <v>1</v>
      </c>
      <c r="B172" s="1" t="s">
        <v>172</v>
      </c>
      <c r="C172" s="1">
        <v>1</v>
      </c>
      <c r="D172" s="33">
        <v>1</v>
      </c>
      <c r="E172" s="37">
        <v>1</v>
      </c>
      <c r="F172" s="37">
        <v>1</v>
      </c>
      <c r="G172">
        <v>0.96190178400000004</v>
      </c>
      <c r="H172">
        <f t="shared" si="29"/>
        <v>1</v>
      </c>
      <c r="I172" s="85">
        <v>0.99912375211715698</v>
      </c>
      <c r="J172">
        <f t="shared" si="30"/>
        <v>1</v>
      </c>
      <c r="K172" s="86">
        <v>0.99956375360488803</v>
      </c>
      <c r="L172">
        <f t="shared" si="31"/>
        <v>1</v>
      </c>
      <c r="M172">
        <v>0.99372583627700795</v>
      </c>
      <c r="N172">
        <f t="shared" si="31"/>
        <v>1</v>
      </c>
      <c r="O172">
        <v>0.99422484636306796</v>
      </c>
      <c r="P172">
        <f t="shared" si="31"/>
        <v>1</v>
      </c>
      <c r="Q172">
        <v>0.73848271399999998</v>
      </c>
      <c r="R172">
        <f t="shared" si="31"/>
        <v>1</v>
      </c>
      <c r="S172">
        <v>0.99569642543792702</v>
      </c>
      <c r="T172">
        <f t="shared" si="32"/>
        <v>1</v>
      </c>
      <c r="U172">
        <v>0.55853516000000003</v>
      </c>
      <c r="V172">
        <v>1</v>
      </c>
      <c r="X172">
        <v>0</v>
      </c>
    </row>
    <row r="173" spans="1:24">
      <c r="A173" s="1">
        <v>1</v>
      </c>
      <c r="B173" s="1" t="s">
        <v>173</v>
      </c>
      <c r="C173" s="1">
        <v>1</v>
      </c>
      <c r="D173" s="33">
        <v>1</v>
      </c>
      <c r="E173" s="36">
        <v>1</v>
      </c>
      <c r="F173" s="37">
        <v>1</v>
      </c>
      <c r="G173">
        <v>0.82545232800000001</v>
      </c>
      <c r="H173">
        <f t="shared" si="29"/>
        <v>1</v>
      </c>
      <c r="I173" s="85">
        <v>0.99319106340408303</v>
      </c>
      <c r="J173">
        <f t="shared" si="30"/>
        <v>1</v>
      </c>
      <c r="K173" s="86">
        <v>0.99546211957931496</v>
      </c>
      <c r="L173">
        <f t="shared" si="31"/>
        <v>1</v>
      </c>
      <c r="M173">
        <v>0.77743315696716297</v>
      </c>
      <c r="N173">
        <f t="shared" si="31"/>
        <v>1</v>
      </c>
      <c r="O173">
        <v>0.67540776729583696</v>
      </c>
      <c r="P173">
        <f t="shared" si="31"/>
        <v>1</v>
      </c>
      <c r="Q173">
        <v>0.54378897000000004</v>
      </c>
      <c r="R173">
        <f t="shared" si="31"/>
        <v>1</v>
      </c>
      <c r="S173">
        <v>0.66877084970474199</v>
      </c>
      <c r="T173">
        <f t="shared" si="32"/>
        <v>1</v>
      </c>
      <c r="U173">
        <v>0.31513859999999999</v>
      </c>
      <c r="V173">
        <v>1</v>
      </c>
      <c r="X173">
        <v>0</v>
      </c>
    </row>
    <row r="174" spans="1:24">
      <c r="A174" s="1">
        <v>1</v>
      </c>
      <c r="B174" s="1" t="s">
        <v>174</v>
      </c>
      <c r="C174" s="1">
        <v>1</v>
      </c>
      <c r="D174" s="33">
        <v>1</v>
      </c>
      <c r="E174" s="37">
        <v>1</v>
      </c>
      <c r="F174" s="37">
        <v>1</v>
      </c>
      <c r="G174">
        <v>0.93524062600000002</v>
      </c>
      <c r="H174">
        <f t="shared" si="29"/>
        <v>1</v>
      </c>
      <c r="I174" s="85">
        <v>0.99949002265930198</v>
      </c>
      <c r="J174">
        <f t="shared" si="30"/>
        <v>1</v>
      </c>
      <c r="K174" s="86">
        <v>0.91015034914016701</v>
      </c>
      <c r="L174">
        <f t="shared" si="31"/>
        <v>1</v>
      </c>
      <c r="M174">
        <v>0.95860123634338401</v>
      </c>
      <c r="N174">
        <f t="shared" si="31"/>
        <v>1</v>
      </c>
      <c r="O174">
        <v>0.99579286575317405</v>
      </c>
      <c r="P174">
        <f t="shared" si="31"/>
        <v>1</v>
      </c>
      <c r="Q174">
        <v>0.68025213500000004</v>
      </c>
      <c r="R174">
        <f t="shared" si="31"/>
        <v>1</v>
      </c>
      <c r="S174">
        <v>0.92514538764953602</v>
      </c>
      <c r="T174">
        <f t="shared" si="32"/>
        <v>1</v>
      </c>
      <c r="U174">
        <v>0.59285927000000005</v>
      </c>
      <c r="V174">
        <v>1</v>
      </c>
      <c r="X174">
        <v>0</v>
      </c>
    </row>
    <row r="175" spans="1:24">
      <c r="A175" s="1">
        <v>1</v>
      </c>
      <c r="B175" s="1" t="s">
        <v>175</v>
      </c>
      <c r="C175" s="1">
        <v>1</v>
      </c>
      <c r="D175" s="33">
        <v>1</v>
      </c>
      <c r="E175" s="37">
        <v>1</v>
      </c>
      <c r="F175" s="37">
        <v>1</v>
      </c>
      <c r="G175">
        <v>0.11234474899999999</v>
      </c>
      <c r="H175">
        <f t="shared" si="29"/>
        <v>0</v>
      </c>
      <c r="I175" s="85">
        <v>1.1445940472186E-2</v>
      </c>
      <c r="J175">
        <f t="shared" si="30"/>
        <v>0</v>
      </c>
      <c r="K175" s="86">
        <v>4.2011863552033901E-3</v>
      </c>
      <c r="L175">
        <f t="shared" si="31"/>
        <v>0</v>
      </c>
      <c r="M175">
        <v>5.5775284767150997E-2</v>
      </c>
      <c r="N175">
        <f t="shared" si="31"/>
        <v>0</v>
      </c>
      <c r="O175">
        <v>1.9002163782715999E-2</v>
      </c>
      <c r="P175">
        <f t="shared" si="31"/>
        <v>0</v>
      </c>
      <c r="Q175">
        <v>0.149255216</v>
      </c>
      <c r="R175">
        <f t="shared" si="31"/>
        <v>0</v>
      </c>
      <c r="S175">
        <v>8.4750287234783006E-2</v>
      </c>
      <c r="T175">
        <f t="shared" si="32"/>
        <v>0</v>
      </c>
      <c r="U175">
        <v>0.10386316</v>
      </c>
      <c r="V175">
        <v>0</v>
      </c>
      <c r="X175">
        <v>0</v>
      </c>
    </row>
    <row r="176" spans="1:24">
      <c r="A176" s="1">
        <v>1</v>
      </c>
      <c r="B176" s="1" t="s">
        <v>176</v>
      </c>
      <c r="C176" s="1">
        <v>1</v>
      </c>
      <c r="D176" s="33">
        <v>1</v>
      </c>
      <c r="E176" s="37">
        <v>1</v>
      </c>
      <c r="F176" s="37">
        <v>1</v>
      </c>
      <c r="G176">
        <v>0.77533090100000002</v>
      </c>
      <c r="H176">
        <f t="shared" si="29"/>
        <v>1</v>
      </c>
      <c r="I176" s="85">
        <v>0.94681054353714</v>
      </c>
      <c r="J176">
        <f t="shared" si="30"/>
        <v>1</v>
      </c>
      <c r="K176" s="86">
        <v>0.69981449842453003</v>
      </c>
      <c r="L176">
        <f t="shared" si="31"/>
        <v>1</v>
      </c>
      <c r="M176">
        <v>0.88016557693481401</v>
      </c>
      <c r="N176">
        <f t="shared" si="31"/>
        <v>1</v>
      </c>
      <c r="O176">
        <v>0.85025817155838002</v>
      </c>
      <c r="P176">
        <f t="shared" si="31"/>
        <v>1</v>
      </c>
      <c r="Q176">
        <v>0.719630361</v>
      </c>
      <c r="R176">
        <f t="shared" si="31"/>
        <v>1</v>
      </c>
      <c r="S176">
        <v>9.3876451253891005E-2</v>
      </c>
      <c r="T176">
        <f t="shared" si="32"/>
        <v>0</v>
      </c>
      <c r="U176">
        <v>0.32004777000000001</v>
      </c>
      <c r="V176">
        <v>1</v>
      </c>
      <c r="X176">
        <v>0</v>
      </c>
    </row>
    <row r="177" spans="1:24">
      <c r="A177" s="1">
        <v>1</v>
      </c>
      <c r="B177" s="1" t="s">
        <v>177</v>
      </c>
      <c r="C177" s="1">
        <v>1</v>
      </c>
      <c r="D177" s="33">
        <v>1</v>
      </c>
      <c r="E177" s="37">
        <v>1</v>
      </c>
      <c r="F177" s="37">
        <v>1</v>
      </c>
      <c r="G177">
        <v>0.89242094800000005</v>
      </c>
      <c r="H177">
        <f t="shared" si="29"/>
        <v>1</v>
      </c>
      <c r="I177" s="85">
        <v>0.99980515241622903</v>
      </c>
      <c r="J177">
        <f t="shared" si="30"/>
        <v>1</v>
      </c>
      <c r="K177" s="86">
        <v>0.86316245794296198</v>
      </c>
      <c r="L177">
        <f t="shared" si="31"/>
        <v>1</v>
      </c>
      <c r="M177">
        <v>0.88536399602890004</v>
      </c>
      <c r="N177">
        <f t="shared" si="31"/>
        <v>1</v>
      </c>
      <c r="O177">
        <v>0.98845428228378296</v>
      </c>
      <c r="P177">
        <f t="shared" si="31"/>
        <v>1</v>
      </c>
      <c r="Q177">
        <v>0.61276614699999998</v>
      </c>
      <c r="R177">
        <f t="shared" si="31"/>
        <v>1</v>
      </c>
      <c r="S177">
        <v>0.991826891899109</v>
      </c>
      <c r="T177">
        <f t="shared" si="32"/>
        <v>1</v>
      </c>
      <c r="U177">
        <v>0.32863801999999998</v>
      </c>
      <c r="V177">
        <v>1</v>
      </c>
      <c r="X177">
        <v>0</v>
      </c>
    </row>
    <row r="178" spans="1:24">
      <c r="A178" s="1">
        <v>1</v>
      </c>
      <c r="B178" s="1" t="s">
        <v>178</v>
      </c>
      <c r="C178" s="1">
        <v>1</v>
      </c>
      <c r="D178" s="33">
        <v>1</v>
      </c>
      <c r="E178" s="36">
        <v>0</v>
      </c>
      <c r="F178" s="37">
        <v>1</v>
      </c>
      <c r="G178">
        <v>0.28548416500000001</v>
      </c>
      <c r="H178">
        <f t="shared" si="29"/>
        <v>0</v>
      </c>
      <c r="I178" s="85">
        <v>6.6961653530598006E-2</v>
      </c>
      <c r="J178">
        <f t="shared" si="30"/>
        <v>0</v>
      </c>
      <c r="K178" s="86">
        <v>0.76476949453353804</v>
      </c>
      <c r="L178">
        <f t="shared" si="31"/>
        <v>1</v>
      </c>
      <c r="M178">
        <v>0.129133850336075</v>
      </c>
      <c r="N178">
        <f t="shared" si="31"/>
        <v>0</v>
      </c>
      <c r="O178">
        <v>1.4647122472525E-2</v>
      </c>
      <c r="P178">
        <f t="shared" si="31"/>
        <v>0</v>
      </c>
      <c r="Q178">
        <v>0.10896270700000001</v>
      </c>
      <c r="R178">
        <f t="shared" si="31"/>
        <v>0</v>
      </c>
      <c r="S178">
        <v>1.4222311787307E-2</v>
      </c>
      <c r="T178">
        <f t="shared" si="32"/>
        <v>0</v>
      </c>
      <c r="U178">
        <v>0.18474069000000001</v>
      </c>
      <c r="V178">
        <v>0</v>
      </c>
      <c r="X178">
        <v>0</v>
      </c>
    </row>
    <row r="179" spans="1:24">
      <c r="A179" s="1">
        <v>1</v>
      </c>
      <c r="B179" s="7" t="s">
        <v>179</v>
      </c>
      <c r="C179" s="1">
        <v>1</v>
      </c>
      <c r="D179" s="33">
        <v>0</v>
      </c>
      <c r="E179" s="37">
        <v>1</v>
      </c>
      <c r="F179" s="37">
        <v>1</v>
      </c>
      <c r="G179">
        <v>0.72372722599999995</v>
      </c>
      <c r="H179">
        <f t="shared" si="29"/>
        <v>1</v>
      </c>
      <c r="I179" s="85">
        <v>0.90872323513030995</v>
      </c>
      <c r="J179">
        <f t="shared" si="30"/>
        <v>1</v>
      </c>
      <c r="K179" s="86">
        <v>1.8111461773514699E-2</v>
      </c>
      <c r="L179">
        <f t="shared" si="31"/>
        <v>0</v>
      </c>
      <c r="M179">
        <v>0.56883633136749301</v>
      </c>
      <c r="N179">
        <f t="shared" si="31"/>
        <v>1</v>
      </c>
      <c r="O179">
        <v>0.89178872108459495</v>
      </c>
      <c r="P179">
        <f t="shared" si="31"/>
        <v>1</v>
      </c>
      <c r="Q179">
        <v>0.871746778</v>
      </c>
      <c r="R179">
        <f t="shared" si="31"/>
        <v>1</v>
      </c>
      <c r="S179">
        <v>0.56360137462616</v>
      </c>
      <c r="T179">
        <f t="shared" si="32"/>
        <v>1</v>
      </c>
      <c r="U179">
        <v>0.36175317000000001</v>
      </c>
      <c r="V179">
        <v>1</v>
      </c>
      <c r="X179">
        <v>1</v>
      </c>
    </row>
    <row r="180" spans="1:24">
      <c r="A180" s="1">
        <v>1</v>
      </c>
      <c r="B180" s="1" t="s">
        <v>180</v>
      </c>
      <c r="C180" s="1">
        <v>1</v>
      </c>
      <c r="D180" s="33">
        <v>0</v>
      </c>
      <c r="E180" s="37">
        <v>1</v>
      </c>
      <c r="F180" s="37">
        <v>1</v>
      </c>
      <c r="G180">
        <v>0.69564580899999995</v>
      </c>
      <c r="H180">
        <f t="shared" si="29"/>
        <v>1</v>
      </c>
      <c r="I180" s="85">
        <v>0.99270683526992798</v>
      </c>
      <c r="J180">
        <f t="shared" si="30"/>
        <v>1</v>
      </c>
      <c r="K180" s="86">
        <v>0.62981432676315297</v>
      </c>
      <c r="L180">
        <f t="shared" si="31"/>
        <v>1</v>
      </c>
      <c r="M180">
        <v>0.90469151735305797</v>
      </c>
      <c r="N180">
        <f t="shared" si="31"/>
        <v>1</v>
      </c>
      <c r="O180">
        <v>0.79158514738082897</v>
      </c>
      <c r="P180">
        <f t="shared" si="31"/>
        <v>1</v>
      </c>
      <c r="Q180">
        <v>0.74011302000000001</v>
      </c>
      <c r="R180">
        <f t="shared" si="31"/>
        <v>1</v>
      </c>
      <c r="S180">
        <v>0.99925786256790206</v>
      </c>
      <c r="T180">
        <f t="shared" si="32"/>
        <v>1</v>
      </c>
      <c r="U180">
        <v>0.45604652000000001</v>
      </c>
      <c r="V180">
        <v>1</v>
      </c>
      <c r="X180">
        <v>0</v>
      </c>
    </row>
    <row r="181" spans="1:24">
      <c r="A181" s="1">
        <v>1</v>
      </c>
      <c r="B181" s="1" t="s">
        <v>181</v>
      </c>
      <c r="C181" s="1">
        <v>1</v>
      </c>
      <c r="D181" s="33">
        <v>1</v>
      </c>
      <c r="E181" s="37">
        <v>1</v>
      </c>
      <c r="F181" s="37">
        <v>1</v>
      </c>
      <c r="G181">
        <v>0.82690602499999999</v>
      </c>
      <c r="H181">
        <f t="shared" si="29"/>
        <v>1</v>
      </c>
      <c r="I181" s="85">
        <v>9.1438956558704002E-2</v>
      </c>
      <c r="J181">
        <f t="shared" si="30"/>
        <v>0</v>
      </c>
      <c r="K181" s="86">
        <v>0.198856145143508</v>
      </c>
      <c r="L181">
        <f t="shared" si="31"/>
        <v>0</v>
      </c>
      <c r="M181">
        <v>0.38377258181571999</v>
      </c>
      <c r="N181">
        <f t="shared" si="31"/>
        <v>0</v>
      </c>
      <c r="O181">
        <v>0.74564099311828602</v>
      </c>
      <c r="P181">
        <f t="shared" si="31"/>
        <v>1</v>
      </c>
      <c r="Q181">
        <v>0.588361621</v>
      </c>
      <c r="R181">
        <f t="shared" si="31"/>
        <v>1</v>
      </c>
      <c r="S181">
        <v>0.93794053792953502</v>
      </c>
      <c r="T181">
        <f t="shared" si="32"/>
        <v>1</v>
      </c>
      <c r="U181">
        <v>0.33752942000000002</v>
      </c>
      <c r="V181">
        <v>1</v>
      </c>
      <c r="X181">
        <v>0</v>
      </c>
    </row>
    <row r="182" spans="1:24">
      <c r="A182" s="1">
        <v>1</v>
      </c>
      <c r="B182" s="1" t="s">
        <v>182</v>
      </c>
      <c r="C182" s="1">
        <v>1</v>
      </c>
      <c r="D182" s="33">
        <v>1</v>
      </c>
      <c r="E182" s="37">
        <v>1</v>
      </c>
      <c r="F182" s="37">
        <v>1</v>
      </c>
      <c r="G182">
        <v>0.86259800200000003</v>
      </c>
      <c r="H182">
        <f t="shared" si="29"/>
        <v>1</v>
      </c>
      <c r="I182" s="85">
        <v>0.92118591070175204</v>
      </c>
      <c r="J182">
        <f t="shared" si="30"/>
        <v>1</v>
      </c>
      <c r="K182" s="86">
        <v>0.91561454534530595</v>
      </c>
      <c r="L182">
        <f t="shared" si="31"/>
        <v>1</v>
      </c>
      <c r="M182">
        <v>0.83485484123230003</v>
      </c>
      <c r="N182">
        <f t="shared" si="31"/>
        <v>1</v>
      </c>
      <c r="O182">
        <v>0.50234454870223999</v>
      </c>
      <c r="P182">
        <f t="shared" si="31"/>
        <v>1</v>
      </c>
      <c r="Q182">
        <v>0.60509139300000003</v>
      </c>
      <c r="R182">
        <f t="shared" si="31"/>
        <v>1</v>
      </c>
      <c r="S182">
        <v>0.65510380268096902</v>
      </c>
      <c r="T182">
        <f t="shared" si="32"/>
        <v>1</v>
      </c>
      <c r="U182">
        <v>0.35891225999999998</v>
      </c>
      <c r="V182">
        <v>1</v>
      </c>
      <c r="X182">
        <v>0</v>
      </c>
    </row>
    <row r="183" spans="1:24">
      <c r="A183" s="1">
        <v>1</v>
      </c>
      <c r="B183" s="1" t="s">
        <v>183</v>
      </c>
      <c r="C183" s="1">
        <v>1</v>
      </c>
      <c r="D183" s="33">
        <v>0</v>
      </c>
      <c r="E183" s="36">
        <v>0</v>
      </c>
      <c r="F183" s="37">
        <v>1</v>
      </c>
      <c r="G183">
        <v>0.54568308600000004</v>
      </c>
      <c r="H183">
        <f t="shared" si="29"/>
        <v>1</v>
      </c>
      <c r="I183" s="85">
        <v>0.99696260690689098</v>
      </c>
      <c r="J183">
        <f t="shared" si="30"/>
        <v>1</v>
      </c>
      <c r="K183" s="86">
        <v>0.99189865589141801</v>
      </c>
      <c r="L183">
        <f t="shared" si="31"/>
        <v>1</v>
      </c>
      <c r="M183">
        <v>0.92729270458221402</v>
      </c>
      <c r="N183">
        <f t="shared" si="31"/>
        <v>1</v>
      </c>
      <c r="O183">
        <v>0.77513009309768699</v>
      </c>
      <c r="P183">
        <f t="shared" si="31"/>
        <v>1</v>
      </c>
      <c r="Q183">
        <v>0.53223198699999996</v>
      </c>
      <c r="R183">
        <f t="shared" si="31"/>
        <v>1</v>
      </c>
      <c r="S183">
        <v>0.99409496784210205</v>
      </c>
      <c r="T183">
        <f t="shared" si="32"/>
        <v>1</v>
      </c>
      <c r="U183">
        <v>0.52479160000000002</v>
      </c>
      <c r="V183">
        <v>1</v>
      </c>
      <c r="X183">
        <v>0</v>
      </c>
    </row>
    <row r="184" spans="1:24">
      <c r="A184" s="1">
        <v>1</v>
      </c>
      <c r="B184" s="1" t="s">
        <v>184</v>
      </c>
      <c r="C184" s="1">
        <v>1</v>
      </c>
      <c r="D184" s="33">
        <v>1</v>
      </c>
      <c r="E184" s="36">
        <v>0</v>
      </c>
      <c r="F184" s="37">
        <v>1</v>
      </c>
      <c r="G184">
        <v>0.54038196800000005</v>
      </c>
      <c r="H184">
        <f t="shared" si="29"/>
        <v>1</v>
      </c>
      <c r="I184" s="85">
        <v>0.61365753412246704</v>
      </c>
      <c r="J184">
        <f t="shared" si="30"/>
        <v>1</v>
      </c>
      <c r="K184" s="86">
        <v>0.90146940946578902</v>
      </c>
      <c r="L184">
        <f t="shared" si="31"/>
        <v>1</v>
      </c>
      <c r="M184">
        <v>0.89054822921752896</v>
      </c>
      <c r="N184">
        <f t="shared" si="31"/>
        <v>1</v>
      </c>
      <c r="O184">
        <v>0.76069712638855003</v>
      </c>
      <c r="P184">
        <f t="shared" si="31"/>
        <v>1</v>
      </c>
      <c r="Q184">
        <v>0.69384568899999999</v>
      </c>
      <c r="R184">
        <f t="shared" si="31"/>
        <v>1</v>
      </c>
      <c r="S184">
        <v>8.8945284485816997E-2</v>
      </c>
      <c r="T184">
        <f t="shared" si="32"/>
        <v>0</v>
      </c>
      <c r="U184">
        <v>0.34383320000000001</v>
      </c>
      <c r="V184">
        <v>1</v>
      </c>
      <c r="X184">
        <v>0</v>
      </c>
    </row>
    <row r="185" spans="1:24">
      <c r="A185" s="1">
        <v>1</v>
      </c>
      <c r="B185" s="7" t="s">
        <v>185</v>
      </c>
      <c r="C185" s="1">
        <v>1</v>
      </c>
      <c r="D185" s="33">
        <v>0</v>
      </c>
      <c r="E185" s="37">
        <v>1</v>
      </c>
      <c r="F185" s="37">
        <v>1</v>
      </c>
      <c r="G185">
        <v>0.862676263</v>
      </c>
      <c r="H185">
        <f t="shared" si="29"/>
        <v>1</v>
      </c>
      <c r="I185" s="85">
        <v>0.98722469806671098</v>
      </c>
      <c r="J185">
        <f t="shared" si="30"/>
        <v>1</v>
      </c>
      <c r="K185" s="86">
        <v>0.91750764846801702</v>
      </c>
      <c r="L185">
        <f t="shared" si="31"/>
        <v>1</v>
      </c>
      <c r="M185">
        <v>0.83888423442840598</v>
      </c>
      <c r="N185">
        <f t="shared" si="31"/>
        <v>1</v>
      </c>
      <c r="O185">
        <v>0.93910795450210605</v>
      </c>
      <c r="P185">
        <f t="shared" si="31"/>
        <v>1</v>
      </c>
      <c r="Q185">
        <v>0.782382727</v>
      </c>
      <c r="R185">
        <f t="shared" si="31"/>
        <v>1</v>
      </c>
      <c r="S185">
        <v>0.95062845945358299</v>
      </c>
      <c r="T185">
        <f t="shared" si="32"/>
        <v>1</v>
      </c>
      <c r="U185">
        <v>0.39568051999999998</v>
      </c>
      <c r="V185">
        <v>1</v>
      </c>
      <c r="X185">
        <v>1</v>
      </c>
    </row>
    <row r="186" spans="1:24">
      <c r="A186" s="1">
        <v>1</v>
      </c>
      <c r="B186" s="1" t="s">
        <v>186</v>
      </c>
      <c r="C186" s="1">
        <v>1</v>
      </c>
      <c r="D186" s="33">
        <v>1</v>
      </c>
      <c r="E186" s="37">
        <v>1</v>
      </c>
      <c r="F186" s="37">
        <v>1</v>
      </c>
      <c r="G186">
        <v>0.53215354699999995</v>
      </c>
      <c r="H186">
        <f t="shared" si="29"/>
        <v>1</v>
      </c>
      <c r="I186" s="85">
        <v>0.84999024868011497</v>
      </c>
      <c r="J186">
        <f t="shared" si="30"/>
        <v>1</v>
      </c>
      <c r="K186" s="86">
        <v>0.24784062802791501</v>
      </c>
      <c r="L186">
        <f t="shared" si="31"/>
        <v>0</v>
      </c>
      <c r="M186">
        <v>0.51597380638122603</v>
      </c>
      <c r="N186">
        <f t="shared" si="31"/>
        <v>1</v>
      </c>
      <c r="O186">
        <v>0.50079876184463501</v>
      </c>
      <c r="P186">
        <f t="shared" si="31"/>
        <v>1</v>
      </c>
      <c r="Q186">
        <v>0.43405976899999998</v>
      </c>
      <c r="R186">
        <f t="shared" si="31"/>
        <v>0</v>
      </c>
      <c r="S186">
        <v>0.13728241622448001</v>
      </c>
      <c r="T186">
        <f t="shared" si="32"/>
        <v>0</v>
      </c>
      <c r="U186">
        <v>0.21652462</v>
      </c>
      <c r="V186">
        <v>1</v>
      </c>
      <c r="X186">
        <v>0</v>
      </c>
    </row>
    <row r="187" spans="1:24">
      <c r="A187" s="1">
        <v>1</v>
      </c>
      <c r="B187" s="1" t="s">
        <v>187</v>
      </c>
      <c r="C187" s="1">
        <v>1</v>
      </c>
      <c r="D187" s="33">
        <v>1</v>
      </c>
      <c r="E187" s="37">
        <v>1</v>
      </c>
      <c r="F187" s="37">
        <v>1</v>
      </c>
      <c r="G187">
        <v>0.79088979999999998</v>
      </c>
      <c r="H187">
        <f t="shared" si="29"/>
        <v>1</v>
      </c>
      <c r="I187" s="85">
        <v>0.87779963016509999</v>
      </c>
      <c r="J187">
        <f t="shared" si="30"/>
        <v>1</v>
      </c>
      <c r="K187" s="86">
        <v>2.1521950140595401E-2</v>
      </c>
      <c r="L187">
        <f t="shared" si="31"/>
        <v>0</v>
      </c>
      <c r="M187">
        <v>0.83358937501907404</v>
      </c>
      <c r="N187">
        <f t="shared" si="31"/>
        <v>1</v>
      </c>
      <c r="O187">
        <v>0.85999441146850597</v>
      </c>
      <c r="P187">
        <f t="shared" si="31"/>
        <v>1</v>
      </c>
      <c r="Q187">
        <v>0.59372943600000005</v>
      </c>
      <c r="R187">
        <f t="shared" si="31"/>
        <v>1</v>
      </c>
      <c r="S187">
        <v>0.49441751837730402</v>
      </c>
      <c r="T187">
        <f t="shared" si="32"/>
        <v>0</v>
      </c>
      <c r="U187">
        <v>0.26762186999999998</v>
      </c>
      <c r="V187">
        <v>1</v>
      </c>
      <c r="X187">
        <v>0</v>
      </c>
    </row>
    <row r="188" spans="1:24">
      <c r="A188" s="1">
        <v>1</v>
      </c>
      <c r="B188" s="1" t="s">
        <v>188</v>
      </c>
      <c r="C188" s="1">
        <v>1</v>
      </c>
      <c r="D188" s="33">
        <v>1</v>
      </c>
      <c r="E188" s="37">
        <v>1</v>
      </c>
      <c r="F188" s="37">
        <v>1</v>
      </c>
      <c r="G188">
        <v>0.93817740699999996</v>
      </c>
      <c r="H188">
        <f t="shared" si="29"/>
        <v>1</v>
      </c>
      <c r="I188" s="85">
        <v>0.99863272905349698</v>
      </c>
      <c r="J188">
        <f t="shared" si="30"/>
        <v>1</v>
      </c>
      <c r="K188" s="86">
        <v>0.89621543884277299</v>
      </c>
      <c r="L188">
        <f t="shared" si="31"/>
        <v>1</v>
      </c>
      <c r="M188">
        <v>0.85059010982513406</v>
      </c>
      <c r="N188">
        <f t="shared" si="31"/>
        <v>1</v>
      </c>
      <c r="O188">
        <v>0.98821347951889005</v>
      </c>
      <c r="P188">
        <f t="shared" si="31"/>
        <v>1</v>
      </c>
      <c r="Q188">
        <v>0.71085840499999997</v>
      </c>
      <c r="R188">
        <f t="shared" si="31"/>
        <v>1</v>
      </c>
      <c r="S188">
        <v>0.68518388271331798</v>
      </c>
      <c r="T188">
        <f t="shared" si="32"/>
        <v>1</v>
      </c>
      <c r="U188">
        <v>0.48102329999999999</v>
      </c>
      <c r="V188">
        <v>1</v>
      </c>
      <c r="X188">
        <v>0</v>
      </c>
    </row>
    <row r="189" spans="1:24">
      <c r="A189" s="1">
        <v>1</v>
      </c>
      <c r="B189" s="1" t="s">
        <v>189</v>
      </c>
      <c r="C189" s="1">
        <v>1</v>
      </c>
      <c r="D189" s="33">
        <v>0</v>
      </c>
      <c r="E189" s="36">
        <v>0</v>
      </c>
      <c r="F189" s="37">
        <v>1</v>
      </c>
      <c r="G189">
        <v>0.39779481300000002</v>
      </c>
      <c r="H189">
        <f t="shared" si="29"/>
        <v>0</v>
      </c>
      <c r="I189" s="85">
        <v>0.87685447931289695</v>
      </c>
      <c r="J189">
        <f t="shared" si="30"/>
        <v>1</v>
      </c>
      <c r="K189" s="86">
        <v>0.51044625043868996</v>
      </c>
      <c r="L189">
        <f t="shared" si="31"/>
        <v>1</v>
      </c>
      <c r="M189">
        <v>0.91850340366363503</v>
      </c>
      <c r="N189">
        <f t="shared" si="31"/>
        <v>1</v>
      </c>
      <c r="O189">
        <v>0.84689784049987804</v>
      </c>
      <c r="P189">
        <f t="shared" si="31"/>
        <v>1</v>
      </c>
      <c r="Q189">
        <v>0.58778697300000005</v>
      </c>
      <c r="R189">
        <f t="shared" si="31"/>
        <v>1</v>
      </c>
      <c r="S189">
        <v>0.33788138628005998</v>
      </c>
      <c r="T189">
        <f t="shared" si="32"/>
        <v>0</v>
      </c>
      <c r="U189">
        <v>0.26634458</v>
      </c>
      <c r="V189">
        <v>1</v>
      </c>
      <c r="X189">
        <v>0</v>
      </c>
    </row>
    <row r="190" spans="1:24">
      <c r="A190" s="1">
        <v>1</v>
      </c>
      <c r="B190" s="1" t="s">
        <v>190</v>
      </c>
      <c r="C190" s="1">
        <v>1</v>
      </c>
      <c r="D190" s="33">
        <v>1</v>
      </c>
      <c r="E190" s="37">
        <v>1</v>
      </c>
      <c r="F190" s="37">
        <v>1</v>
      </c>
      <c r="G190">
        <v>0.198107809</v>
      </c>
      <c r="H190">
        <f t="shared" si="29"/>
        <v>0</v>
      </c>
      <c r="I190" s="85">
        <v>1.8307464197277998E-2</v>
      </c>
      <c r="J190">
        <f t="shared" si="30"/>
        <v>0</v>
      </c>
      <c r="K190" s="86">
        <v>0.146784648299217</v>
      </c>
      <c r="L190">
        <f t="shared" si="31"/>
        <v>0</v>
      </c>
      <c r="M190">
        <v>0.225929364562035</v>
      </c>
      <c r="N190">
        <f t="shared" si="31"/>
        <v>0</v>
      </c>
      <c r="O190">
        <v>0.40295431017875699</v>
      </c>
      <c r="P190">
        <f t="shared" si="31"/>
        <v>0</v>
      </c>
      <c r="Q190">
        <v>0.20087686199999999</v>
      </c>
      <c r="R190">
        <f t="shared" si="31"/>
        <v>0</v>
      </c>
      <c r="S190">
        <v>0.43462398648262002</v>
      </c>
      <c r="T190">
        <f t="shared" si="32"/>
        <v>0</v>
      </c>
      <c r="U190">
        <v>0.12529879999999999</v>
      </c>
      <c r="V190">
        <v>0</v>
      </c>
      <c r="X190">
        <v>0</v>
      </c>
    </row>
    <row r="191" spans="1:24">
      <c r="A191" s="1">
        <v>1</v>
      </c>
      <c r="B191" s="1" t="s">
        <v>191</v>
      </c>
      <c r="C191" s="1">
        <v>1</v>
      </c>
      <c r="D191" s="33">
        <v>1</v>
      </c>
      <c r="E191" s="37">
        <v>1</v>
      </c>
      <c r="F191" s="37">
        <v>1</v>
      </c>
      <c r="G191">
        <v>0.86993521500000004</v>
      </c>
      <c r="H191">
        <f t="shared" si="29"/>
        <v>1</v>
      </c>
      <c r="I191" s="85">
        <v>0.99986755847930897</v>
      </c>
      <c r="J191">
        <f t="shared" si="30"/>
        <v>1</v>
      </c>
      <c r="K191" s="86">
        <v>0.92790222167968694</v>
      </c>
      <c r="L191">
        <f t="shared" si="31"/>
        <v>1</v>
      </c>
      <c r="M191">
        <v>0.96380823850631703</v>
      </c>
      <c r="N191">
        <f t="shared" si="31"/>
        <v>1</v>
      </c>
      <c r="O191">
        <v>0.97458863258361805</v>
      </c>
      <c r="P191">
        <f t="shared" si="31"/>
        <v>1</v>
      </c>
      <c r="Q191">
        <v>0.76262569400000002</v>
      </c>
      <c r="R191">
        <f t="shared" si="31"/>
        <v>1</v>
      </c>
      <c r="S191">
        <v>0.99772125482559204</v>
      </c>
      <c r="T191">
        <f t="shared" si="32"/>
        <v>1</v>
      </c>
      <c r="U191">
        <v>0.51346990000000003</v>
      </c>
      <c r="V191">
        <v>1</v>
      </c>
      <c r="X191">
        <v>0</v>
      </c>
    </row>
    <row r="192" spans="1:24">
      <c r="A192" s="1">
        <v>1</v>
      </c>
      <c r="B192" s="1" t="s">
        <v>192</v>
      </c>
      <c r="C192" s="1">
        <v>1</v>
      </c>
      <c r="D192" s="33">
        <v>1</v>
      </c>
      <c r="E192" s="37">
        <v>1</v>
      </c>
      <c r="F192" s="37">
        <v>1</v>
      </c>
      <c r="G192">
        <v>0.78114408300000004</v>
      </c>
      <c r="H192">
        <f t="shared" si="29"/>
        <v>1</v>
      </c>
      <c r="I192" s="85">
        <v>0.98874050378799405</v>
      </c>
      <c r="J192">
        <f t="shared" si="30"/>
        <v>1</v>
      </c>
      <c r="K192" s="86">
        <v>0.98328858613967896</v>
      </c>
      <c r="L192">
        <f t="shared" si="31"/>
        <v>1</v>
      </c>
      <c r="M192">
        <v>0.80786806344985995</v>
      </c>
      <c r="N192">
        <f t="shared" si="31"/>
        <v>1</v>
      </c>
      <c r="O192">
        <v>0.96330273151397705</v>
      </c>
      <c r="P192">
        <f t="shared" si="31"/>
        <v>1</v>
      </c>
      <c r="Q192">
        <v>0.70160150499999996</v>
      </c>
      <c r="R192">
        <f t="shared" si="31"/>
        <v>1</v>
      </c>
      <c r="S192">
        <v>0.91375637054443404</v>
      </c>
      <c r="T192">
        <f t="shared" si="32"/>
        <v>1</v>
      </c>
      <c r="U192">
        <v>0.41463315000000001</v>
      </c>
      <c r="V192">
        <v>1</v>
      </c>
      <c r="X192">
        <v>0</v>
      </c>
    </row>
    <row r="193" spans="1:24">
      <c r="A193" s="1">
        <v>1</v>
      </c>
      <c r="B193" s="7" t="s">
        <v>193</v>
      </c>
      <c r="C193" s="1">
        <v>1</v>
      </c>
      <c r="D193" s="33">
        <v>1</v>
      </c>
      <c r="E193" s="37">
        <v>1</v>
      </c>
      <c r="F193" s="37">
        <v>1</v>
      </c>
      <c r="G193">
        <v>0.66962444799999998</v>
      </c>
      <c r="H193">
        <f t="shared" si="29"/>
        <v>1</v>
      </c>
      <c r="I193" s="85">
        <v>0.23487901687622101</v>
      </c>
      <c r="J193">
        <f t="shared" si="30"/>
        <v>0</v>
      </c>
      <c r="K193" s="86">
        <v>0.20953215658664701</v>
      </c>
      <c r="L193">
        <f t="shared" si="31"/>
        <v>0</v>
      </c>
      <c r="M193">
        <v>0.71802288293838501</v>
      </c>
      <c r="N193">
        <f t="shared" si="31"/>
        <v>1</v>
      </c>
      <c r="O193">
        <v>0.89690566062927202</v>
      </c>
      <c r="P193">
        <f t="shared" si="31"/>
        <v>1</v>
      </c>
      <c r="Q193">
        <v>0.59478926700000001</v>
      </c>
      <c r="R193">
        <f t="shared" si="31"/>
        <v>1</v>
      </c>
      <c r="S193" s="30">
        <v>0.117404133081436</v>
      </c>
      <c r="T193">
        <f t="shared" si="32"/>
        <v>0</v>
      </c>
      <c r="U193" s="30">
        <v>0.42559564</v>
      </c>
      <c r="V193">
        <v>1</v>
      </c>
      <c r="X193">
        <v>1</v>
      </c>
    </row>
    <row r="194" spans="1:24">
      <c r="A194" s="1">
        <v>1</v>
      </c>
      <c r="B194" s="1" t="s">
        <v>194</v>
      </c>
      <c r="C194" s="1">
        <v>1</v>
      </c>
      <c r="D194" s="33">
        <v>1</v>
      </c>
      <c r="E194" s="37">
        <v>1</v>
      </c>
      <c r="F194" s="37">
        <v>1</v>
      </c>
      <c r="G194">
        <v>0.64311116899999998</v>
      </c>
      <c r="H194">
        <f t="shared" si="29"/>
        <v>1</v>
      </c>
      <c r="I194" s="85">
        <v>0.727450370788574</v>
      </c>
      <c r="J194">
        <f t="shared" si="30"/>
        <v>1</v>
      </c>
      <c r="K194" s="86">
        <v>0.92232799530029297</v>
      </c>
      <c r="L194">
        <f t="shared" si="31"/>
        <v>1</v>
      </c>
      <c r="M194">
        <v>0.65615475177764904</v>
      </c>
      <c r="N194">
        <f t="shared" si="31"/>
        <v>1</v>
      </c>
      <c r="O194">
        <v>0.81846612691879295</v>
      </c>
      <c r="P194">
        <f t="shared" si="31"/>
        <v>1</v>
      </c>
      <c r="Q194">
        <v>0.52575540499999995</v>
      </c>
      <c r="R194">
        <f t="shared" si="31"/>
        <v>1</v>
      </c>
      <c r="S194">
        <v>0.98222047090530396</v>
      </c>
      <c r="T194">
        <f t="shared" si="32"/>
        <v>1</v>
      </c>
      <c r="U194">
        <v>0.41429820000000001</v>
      </c>
      <c r="V194">
        <v>1</v>
      </c>
      <c r="X194">
        <v>0</v>
      </c>
    </row>
    <row r="195" spans="1:24">
      <c r="A195" s="1">
        <v>1</v>
      </c>
      <c r="B195" s="1" t="s">
        <v>195</v>
      </c>
      <c r="C195" s="1">
        <v>1</v>
      </c>
      <c r="D195" s="33">
        <v>0</v>
      </c>
      <c r="E195" s="36">
        <v>0</v>
      </c>
      <c r="F195" s="37">
        <v>1</v>
      </c>
      <c r="G195">
        <v>0.13783870600000001</v>
      </c>
      <c r="H195">
        <f t="shared" si="29"/>
        <v>0</v>
      </c>
      <c r="I195" s="85">
        <v>7.9603074118500001E-3</v>
      </c>
      <c r="J195">
        <f t="shared" si="30"/>
        <v>0</v>
      </c>
      <c r="K195" s="86">
        <v>0.28440967202186501</v>
      </c>
      <c r="L195">
        <f t="shared" si="31"/>
        <v>0</v>
      </c>
      <c r="M195">
        <v>0.23978796601295499</v>
      </c>
      <c r="N195">
        <f t="shared" si="31"/>
        <v>0</v>
      </c>
      <c r="O195">
        <v>2.3904079571366001E-2</v>
      </c>
      <c r="P195">
        <f t="shared" si="31"/>
        <v>0</v>
      </c>
      <c r="Q195">
        <v>0.403318018</v>
      </c>
      <c r="R195">
        <f t="shared" si="31"/>
        <v>0</v>
      </c>
      <c r="S195">
        <v>4.3158464133739999E-2</v>
      </c>
      <c r="T195">
        <f t="shared" si="32"/>
        <v>0</v>
      </c>
      <c r="U195">
        <v>0.42839729999999998</v>
      </c>
      <c r="V195">
        <v>1</v>
      </c>
      <c r="X195">
        <v>0</v>
      </c>
    </row>
    <row r="196" spans="1:24">
      <c r="A196" s="1">
        <v>1</v>
      </c>
      <c r="B196" s="1" t="s">
        <v>196</v>
      </c>
      <c r="C196" s="1">
        <v>1</v>
      </c>
      <c r="D196" s="33">
        <v>0</v>
      </c>
      <c r="E196" s="37">
        <v>1</v>
      </c>
      <c r="F196" s="37">
        <v>1</v>
      </c>
      <c r="G196">
        <v>0.50924289199999995</v>
      </c>
      <c r="H196">
        <f t="shared" si="29"/>
        <v>1</v>
      </c>
      <c r="I196" s="85">
        <v>0.184367686510086</v>
      </c>
      <c r="J196">
        <f t="shared" si="30"/>
        <v>0</v>
      </c>
      <c r="K196" s="86">
        <v>4.3022859841585097E-2</v>
      </c>
      <c r="L196">
        <f t="shared" si="31"/>
        <v>0</v>
      </c>
      <c r="M196">
        <v>0.80982381105422996</v>
      </c>
      <c r="N196">
        <f t="shared" si="31"/>
        <v>1</v>
      </c>
      <c r="O196">
        <v>0.80686402320861805</v>
      </c>
      <c r="P196">
        <f t="shared" si="31"/>
        <v>1</v>
      </c>
      <c r="Q196">
        <v>0.57064312699999997</v>
      </c>
      <c r="R196">
        <f t="shared" si="31"/>
        <v>1</v>
      </c>
      <c r="S196">
        <v>0.99435847997665405</v>
      </c>
      <c r="T196">
        <f t="shared" si="32"/>
        <v>1</v>
      </c>
      <c r="U196">
        <v>0.47658067999999998</v>
      </c>
      <c r="V196">
        <v>1</v>
      </c>
      <c r="X196">
        <v>0</v>
      </c>
    </row>
    <row r="197" spans="1:24">
      <c r="A197" s="1">
        <v>1</v>
      </c>
      <c r="B197" s="1" t="s">
        <v>197</v>
      </c>
      <c r="C197" s="1">
        <v>1</v>
      </c>
      <c r="D197" s="33">
        <v>1</v>
      </c>
      <c r="E197" s="37">
        <v>1</v>
      </c>
      <c r="F197" s="37">
        <v>1</v>
      </c>
      <c r="G197">
        <v>0.476939261</v>
      </c>
      <c r="H197">
        <f t="shared" si="29"/>
        <v>0</v>
      </c>
      <c r="I197" s="85">
        <v>0.94800817966461204</v>
      </c>
      <c r="J197">
        <f t="shared" si="30"/>
        <v>1</v>
      </c>
      <c r="K197" s="86">
        <v>0.51095259189605702</v>
      </c>
      <c r="L197">
        <f t="shared" si="31"/>
        <v>1</v>
      </c>
      <c r="M197">
        <v>0.49635711312294001</v>
      </c>
      <c r="N197">
        <f t="shared" si="31"/>
        <v>0</v>
      </c>
      <c r="O197">
        <v>0.90207564830779996</v>
      </c>
      <c r="P197">
        <f t="shared" si="31"/>
        <v>1</v>
      </c>
      <c r="Q197">
        <v>0.58999472900000005</v>
      </c>
      <c r="R197">
        <f t="shared" si="31"/>
        <v>1</v>
      </c>
      <c r="S197">
        <v>0.35919314622879001</v>
      </c>
      <c r="T197">
        <f t="shared" si="32"/>
        <v>0</v>
      </c>
      <c r="U197">
        <v>0.55477345</v>
      </c>
      <c r="V197">
        <v>1</v>
      </c>
      <c r="X197">
        <v>0</v>
      </c>
    </row>
    <row r="198" spans="1:24">
      <c r="A198" s="1">
        <v>1</v>
      </c>
      <c r="B198" s="1" t="s">
        <v>198</v>
      </c>
      <c r="C198" s="1">
        <v>1</v>
      </c>
      <c r="D198" s="33">
        <v>1</v>
      </c>
      <c r="E198" s="37">
        <v>1</v>
      </c>
      <c r="F198" s="37">
        <v>1</v>
      </c>
      <c r="G198">
        <v>0.88810288900000001</v>
      </c>
      <c r="H198">
        <f t="shared" si="29"/>
        <v>1</v>
      </c>
      <c r="I198" s="85">
        <v>0.15878276526928001</v>
      </c>
      <c r="J198">
        <f t="shared" si="30"/>
        <v>0</v>
      </c>
      <c r="K198" s="86">
        <v>0.68517726659774703</v>
      </c>
      <c r="L198">
        <f t="shared" si="31"/>
        <v>1</v>
      </c>
      <c r="M198">
        <v>0.85086256265640303</v>
      </c>
      <c r="N198">
        <f t="shared" si="31"/>
        <v>1</v>
      </c>
      <c r="O198">
        <v>0.98208630084991499</v>
      </c>
      <c r="P198">
        <f t="shared" si="31"/>
        <v>1</v>
      </c>
      <c r="Q198">
        <v>0.63274562400000001</v>
      </c>
      <c r="R198">
        <f t="shared" si="31"/>
        <v>1</v>
      </c>
      <c r="S198">
        <v>0.17225459218025199</v>
      </c>
      <c r="T198">
        <f t="shared" si="32"/>
        <v>0</v>
      </c>
      <c r="U198">
        <v>0.33181533000000002</v>
      </c>
      <c r="V198">
        <v>1</v>
      </c>
      <c r="X198">
        <v>0</v>
      </c>
    </row>
    <row r="199" spans="1:24">
      <c r="A199" s="1">
        <v>1</v>
      </c>
      <c r="B199" s="1" t="s">
        <v>199</v>
      </c>
      <c r="C199" s="1">
        <v>1</v>
      </c>
      <c r="D199" s="33">
        <v>1</v>
      </c>
      <c r="E199" s="37">
        <v>1</v>
      </c>
      <c r="F199" s="37">
        <v>1</v>
      </c>
      <c r="G199">
        <v>0.93408215000000006</v>
      </c>
      <c r="H199">
        <f t="shared" si="29"/>
        <v>1</v>
      </c>
      <c r="I199" s="85">
        <v>0.99960249662399303</v>
      </c>
      <c r="J199">
        <f t="shared" si="30"/>
        <v>1</v>
      </c>
      <c r="K199" s="86">
        <v>0.34946686029434199</v>
      </c>
      <c r="L199">
        <f t="shared" si="31"/>
        <v>0</v>
      </c>
      <c r="M199">
        <v>0.82766473293304399</v>
      </c>
      <c r="N199">
        <f t="shared" si="31"/>
        <v>1</v>
      </c>
      <c r="O199">
        <v>0.99090188741684004</v>
      </c>
      <c r="P199">
        <f t="shared" si="31"/>
        <v>1</v>
      </c>
      <c r="Q199">
        <v>0.61906653599999995</v>
      </c>
      <c r="R199">
        <f t="shared" si="31"/>
        <v>1</v>
      </c>
      <c r="S199">
        <v>0.96161180734634399</v>
      </c>
      <c r="T199">
        <f t="shared" si="32"/>
        <v>1</v>
      </c>
      <c r="U199">
        <v>0.37846580000000002</v>
      </c>
      <c r="V199">
        <v>1</v>
      </c>
      <c r="X199">
        <v>0</v>
      </c>
    </row>
    <row r="200" spans="1:24">
      <c r="A200" s="1">
        <v>1</v>
      </c>
      <c r="B200" s="1" t="s">
        <v>200</v>
      </c>
      <c r="C200" s="1">
        <v>1</v>
      </c>
      <c r="D200" s="33">
        <v>1</v>
      </c>
      <c r="E200" s="37">
        <v>1</v>
      </c>
      <c r="F200" s="37">
        <v>1</v>
      </c>
      <c r="G200">
        <v>0.17415554799999999</v>
      </c>
      <c r="H200">
        <f t="shared" si="29"/>
        <v>0</v>
      </c>
      <c r="I200" s="85">
        <v>0.78471982479095503</v>
      </c>
      <c r="J200">
        <f t="shared" si="30"/>
        <v>1</v>
      </c>
      <c r="K200" s="86">
        <v>0.50205540657043402</v>
      </c>
      <c r="L200">
        <f t="shared" si="31"/>
        <v>1</v>
      </c>
      <c r="M200">
        <v>0.59345954656600997</v>
      </c>
      <c r="N200">
        <f t="shared" si="31"/>
        <v>1</v>
      </c>
      <c r="O200">
        <v>0.38290834426879899</v>
      </c>
      <c r="P200">
        <f t="shared" si="31"/>
        <v>0</v>
      </c>
      <c r="Q200">
        <v>0.46792826100000001</v>
      </c>
      <c r="R200">
        <f t="shared" si="31"/>
        <v>0</v>
      </c>
      <c r="S200">
        <v>0.95705956220626798</v>
      </c>
      <c r="T200">
        <f t="shared" si="32"/>
        <v>1</v>
      </c>
      <c r="U200">
        <v>0.31729162</v>
      </c>
      <c r="V200">
        <v>1</v>
      </c>
      <c r="X200">
        <v>0</v>
      </c>
    </row>
    <row r="201" spans="1:24">
      <c r="A201" s="1">
        <v>1</v>
      </c>
      <c r="B201" s="7" t="s">
        <v>201</v>
      </c>
      <c r="C201" s="1">
        <v>1</v>
      </c>
      <c r="D201" s="33">
        <v>1</v>
      </c>
      <c r="E201" s="37">
        <v>1</v>
      </c>
      <c r="F201" s="37">
        <v>1</v>
      </c>
      <c r="G201">
        <v>0.59607154100000004</v>
      </c>
      <c r="H201">
        <f t="shared" si="29"/>
        <v>1</v>
      </c>
      <c r="I201" s="85">
        <v>0.99140137434005704</v>
      </c>
      <c r="J201">
        <f t="shared" si="30"/>
        <v>1</v>
      </c>
      <c r="K201" s="86">
        <v>0.96216195821761996</v>
      </c>
      <c r="L201">
        <f t="shared" si="31"/>
        <v>1</v>
      </c>
      <c r="M201">
        <v>0.86211574077606201</v>
      </c>
      <c r="N201">
        <f t="shared" si="31"/>
        <v>1</v>
      </c>
      <c r="O201">
        <v>0.81052803993225098</v>
      </c>
      <c r="P201">
        <f t="shared" si="31"/>
        <v>1</v>
      </c>
      <c r="Q201">
        <v>0.37301284099999998</v>
      </c>
      <c r="R201">
        <f t="shared" si="31"/>
        <v>0</v>
      </c>
      <c r="S201">
        <v>0.57269132137298595</v>
      </c>
      <c r="T201">
        <f t="shared" si="32"/>
        <v>1</v>
      </c>
      <c r="U201">
        <v>0.45766118</v>
      </c>
      <c r="V201">
        <v>1</v>
      </c>
      <c r="X201">
        <v>1</v>
      </c>
    </row>
    <row r="202" spans="1:24">
      <c r="A202" s="1" t="s">
        <v>202</v>
      </c>
      <c r="B202" s="1"/>
      <c r="C202" s="22"/>
      <c r="D202" s="33"/>
      <c r="E202" s="38"/>
      <c r="F202" s="38"/>
      <c r="K202" s="86"/>
      <c r="X202">
        <v>2</v>
      </c>
    </row>
    <row r="203" spans="1:24">
      <c r="A203" s="1">
        <v>0</v>
      </c>
      <c r="B203" s="1" t="s">
        <v>203</v>
      </c>
      <c r="C203" s="1">
        <v>0</v>
      </c>
      <c r="D203" s="33">
        <v>0</v>
      </c>
      <c r="E203" s="36">
        <v>0</v>
      </c>
      <c r="F203" s="37">
        <v>0</v>
      </c>
      <c r="G203" s="30">
        <v>2.9800650000000001E-2</v>
      </c>
      <c r="H203">
        <f t="shared" si="29"/>
        <v>0</v>
      </c>
      <c r="I203" s="85">
        <v>4.4763128971699999E-4</v>
      </c>
      <c r="J203">
        <f t="shared" si="30"/>
        <v>0</v>
      </c>
      <c r="K203" s="86">
        <v>3.4605875611305202E-2</v>
      </c>
      <c r="L203">
        <f t="shared" si="31"/>
        <v>0</v>
      </c>
      <c r="M203" s="30">
        <v>2.2641098126769E-2</v>
      </c>
      <c r="N203">
        <f t="shared" si="31"/>
        <v>0</v>
      </c>
      <c r="O203" s="30">
        <v>8.0770350992679998E-2</v>
      </c>
      <c r="P203">
        <f t="shared" si="31"/>
        <v>0</v>
      </c>
      <c r="Q203">
        <v>0.163185522</v>
      </c>
      <c r="R203">
        <f t="shared" si="31"/>
        <v>0</v>
      </c>
      <c r="S203">
        <v>2.0412001758814E-2</v>
      </c>
      <c r="T203">
        <f t="shared" si="32"/>
        <v>0</v>
      </c>
      <c r="U203" s="1">
        <v>6.9357349999999998E-2</v>
      </c>
      <c r="V203">
        <v>0</v>
      </c>
      <c r="X203">
        <v>0</v>
      </c>
    </row>
    <row r="204" spans="1:24">
      <c r="A204" s="1">
        <v>0</v>
      </c>
      <c r="B204" s="7" t="s">
        <v>204</v>
      </c>
      <c r="C204" s="1">
        <v>0</v>
      </c>
      <c r="D204" s="33">
        <v>0</v>
      </c>
      <c r="E204" s="36">
        <v>0</v>
      </c>
      <c r="F204" s="37">
        <v>1</v>
      </c>
      <c r="G204">
        <v>0.37087643100000001</v>
      </c>
      <c r="H204">
        <f t="shared" si="29"/>
        <v>0</v>
      </c>
      <c r="I204" s="85">
        <v>4.3795257806778003E-2</v>
      </c>
      <c r="J204">
        <f t="shared" si="30"/>
        <v>0</v>
      </c>
      <c r="K204" s="86">
        <v>0.50555223226547197</v>
      </c>
      <c r="L204">
        <f t="shared" si="31"/>
        <v>1</v>
      </c>
      <c r="M204" s="30">
        <v>0.57394444942474399</v>
      </c>
      <c r="N204">
        <f t="shared" si="31"/>
        <v>1</v>
      </c>
      <c r="O204">
        <v>0.46978464722633401</v>
      </c>
      <c r="P204">
        <f t="shared" si="31"/>
        <v>0</v>
      </c>
      <c r="Q204">
        <v>0.29008519599999999</v>
      </c>
      <c r="R204">
        <f t="shared" si="31"/>
        <v>0</v>
      </c>
      <c r="S204">
        <v>0.97083389759063698</v>
      </c>
      <c r="T204">
        <f t="shared" si="32"/>
        <v>1</v>
      </c>
      <c r="U204" s="7">
        <v>0.11964584</v>
      </c>
      <c r="V204">
        <v>1</v>
      </c>
      <c r="X204">
        <v>1</v>
      </c>
    </row>
    <row r="205" spans="1:24">
      <c r="A205" s="1">
        <v>0</v>
      </c>
      <c r="B205" s="1" t="s">
        <v>205</v>
      </c>
      <c r="C205" s="1">
        <v>0</v>
      </c>
      <c r="D205" s="33">
        <v>0</v>
      </c>
      <c r="E205" s="36">
        <v>0</v>
      </c>
      <c r="F205" s="37">
        <v>0</v>
      </c>
      <c r="G205">
        <v>0.32519748799999998</v>
      </c>
      <c r="H205">
        <f t="shared" si="29"/>
        <v>0</v>
      </c>
      <c r="I205" s="85">
        <v>1.5715179964899999E-2</v>
      </c>
      <c r="J205">
        <f t="shared" si="30"/>
        <v>0</v>
      </c>
      <c r="K205" s="86">
        <v>0.13544662296772</v>
      </c>
      <c r="L205">
        <f t="shared" si="31"/>
        <v>0</v>
      </c>
      <c r="M205">
        <v>0.15895126760006001</v>
      </c>
      <c r="N205">
        <f t="shared" si="31"/>
        <v>0</v>
      </c>
      <c r="O205">
        <v>0.35683116316795299</v>
      </c>
      <c r="P205">
        <f t="shared" si="31"/>
        <v>0</v>
      </c>
      <c r="Q205">
        <v>0.405124396</v>
      </c>
      <c r="R205">
        <f t="shared" si="31"/>
        <v>0</v>
      </c>
      <c r="S205">
        <v>0.129193425178528</v>
      </c>
      <c r="T205">
        <f t="shared" si="32"/>
        <v>0</v>
      </c>
      <c r="U205" s="1">
        <v>0.10125743</v>
      </c>
      <c r="V205">
        <v>0</v>
      </c>
      <c r="X205">
        <v>0</v>
      </c>
    </row>
    <row r="206" spans="1:24">
      <c r="A206" s="1">
        <v>0</v>
      </c>
      <c r="B206" s="1" t="s">
        <v>206</v>
      </c>
      <c r="C206" s="1">
        <v>0</v>
      </c>
      <c r="D206" s="33">
        <v>0</v>
      </c>
      <c r="E206" s="37">
        <v>1</v>
      </c>
      <c r="F206" s="37">
        <v>1</v>
      </c>
      <c r="G206">
        <v>0.44432428499999999</v>
      </c>
      <c r="H206">
        <f t="shared" si="29"/>
        <v>0</v>
      </c>
      <c r="I206" s="85">
        <v>0.39647519588470498</v>
      </c>
      <c r="J206">
        <f t="shared" si="30"/>
        <v>0</v>
      </c>
      <c r="K206" s="86">
        <v>0.79269009828567505</v>
      </c>
      <c r="L206">
        <f t="shared" si="31"/>
        <v>1</v>
      </c>
      <c r="M206">
        <v>0.22905059158801999</v>
      </c>
      <c r="N206">
        <f t="shared" si="31"/>
        <v>0</v>
      </c>
      <c r="O206">
        <v>0.45144882798194902</v>
      </c>
      <c r="P206">
        <f t="shared" si="31"/>
        <v>0</v>
      </c>
      <c r="Q206">
        <v>0.73678654399999999</v>
      </c>
      <c r="R206">
        <f t="shared" si="31"/>
        <v>1</v>
      </c>
      <c r="S206">
        <v>0.66175627708435103</v>
      </c>
      <c r="T206">
        <f t="shared" si="32"/>
        <v>1</v>
      </c>
      <c r="U206" s="1">
        <v>0.38246402000000002</v>
      </c>
      <c r="V206">
        <v>1</v>
      </c>
      <c r="X206">
        <v>0</v>
      </c>
    </row>
    <row r="207" spans="1:24">
      <c r="A207" s="1">
        <v>0</v>
      </c>
      <c r="B207" s="1" t="s">
        <v>207</v>
      </c>
      <c r="C207" s="1">
        <v>0</v>
      </c>
      <c r="D207" s="33">
        <v>0</v>
      </c>
      <c r="E207" s="37">
        <v>0</v>
      </c>
      <c r="F207" s="37">
        <v>0</v>
      </c>
      <c r="G207">
        <v>0.68429386599999997</v>
      </c>
      <c r="H207">
        <f t="shared" si="29"/>
        <v>1</v>
      </c>
      <c r="I207" s="85">
        <v>0.87653297185897805</v>
      </c>
      <c r="J207">
        <f t="shared" si="30"/>
        <v>1</v>
      </c>
      <c r="K207" s="86">
        <v>9.1939583420753396E-2</v>
      </c>
      <c r="L207">
        <f t="shared" si="31"/>
        <v>0</v>
      </c>
      <c r="M207" s="30">
        <v>3.2699599862098999E-2</v>
      </c>
      <c r="N207">
        <f t="shared" si="31"/>
        <v>0</v>
      </c>
      <c r="O207">
        <v>0.68332034349441495</v>
      </c>
      <c r="P207">
        <f t="shared" si="31"/>
        <v>1</v>
      </c>
      <c r="Q207">
        <v>0.68290340900000002</v>
      </c>
      <c r="R207">
        <f t="shared" si="31"/>
        <v>1</v>
      </c>
      <c r="S207">
        <v>0.32514610886573803</v>
      </c>
      <c r="T207">
        <f t="shared" si="32"/>
        <v>0</v>
      </c>
      <c r="U207" s="1">
        <v>0.32651580000000002</v>
      </c>
      <c r="V207">
        <v>1</v>
      </c>
      <c r="X207">
        <v>0</v>
      </c>
    </row>
    <row r="208" spans="1:24">
      <c r="A208" s="1">
        <v>0</v>
      </c>
      <c r="B208" s="1" t="s">
        <v>208</v>
      </c>
      <c r="C208" s="1">
        <v>0</v>
      </c>
      <c r="D208" s="33">
        <v>0</v>
      </c>
      <c r="E208" s="36">
        <v>0</v>
      </c>
      <c r="F208" s="37">
        <v>0</v>
      </c>
      <c r="G208">
        <v>0.30410566900000002</v>
      </c>
      <c r="H208">
        <f t="shared" si="29"/>
        <v>0</v>
      </c>
      <c r="I208" s="85">
        <v>4.1898507624859999E-3</v>
      </c>
      <c r="J208">
        <f t="shared" si="30"/>
        <v>0</v>
      </c>
      <c r="K208" s="86">
        <v>0.741366386413574</v>
      </c>
      <c r="L208">
        <f t="shared" si="31"/>
        <v>1</v>
      </c>
      <c r="M208">
        <v>0.113838627934456</v>
      </c>
      <c r="N208">
        <f t="shared" si="31"/>
        <v>0</v>
      </c>
      <c r="O208">
        <v>0.16994717717170699</v>
      </c>
      <c r="P208">
        <f t="shared" si="31"/>
        <v>0</v>
      </c>
      <c r="Q208">
        <v>0.51033312099999995</v>
      </c>
      <c r="R208">
        <f t="shared" si="31"/>
        <v>1</v>
      </c>
      <c r="S208">
        <v>0.103719107806683</v>
      </c>
      <c r="T208">
        <f t="shared" si="32"/>
        <v>0</v>
      </c>
      <c r="U208" s="1">
        <v>0.53045500000000001</v>
      </c>
      <c r="V208">
        <v>1</v>
      </c>
      <c r="X208">
        <v>0</v>
      </c>
    </row>
    <row r="209" spans="1:24">
      <c r="A209" s="1">
        <v>0</v>
      </c>
      <c r="B209" s="1" t="s">
        <v>209</v>
      </c>
      <c r="C209" s="1">
        <v>0</v>
      </c>
      <c r="D209" s="33">
        <v>0</v>
      </c>
      <c r="E209" s="36">
        <v>0</v>
      </c>
      <c r="F209" s="37">
        <v>0</v>
      </c>
      <c r="G209">
        <v>0.14545112800000001</v>
      </c>
      <c r="H209">
        <f t="shared" si="29"/>
        <v>0</v>
      </c>
      <c r="I209" s="85">
        <v>4.2060829582599998E-4</v>
      </c>
      <c r="J209">
        <f t="shared" si="30"/>
        <v>0</v>
      </c>
      <c r="K209" s="86">
        <v>1.6733480617403901E-2</v>
      </c>
      <c r="L209">
        <f t="shared" si="31"/>
        <v>0</v>
      </c>
      <c r="M209" s="30">
        <v>2.7645244263109999E-3</v>
      </c>
      <c r="N209">
        <f t="shared" si="31"/>
        <v>0</v>
      </c>
      <c r="O209">
        <v>9.0240076184273002E-2</v>
      </c>
      <c r="P209">
        <f t="shared" si="31"/>
        <v>0</v>
      </c>
      <c r="Q209">
        <v>0.18547496199999999</v>
      </c>
      <c r="R209">
        <f t="shared" si="31"/>
        <v>0</v>
      </c>
      <c r="S209">
        <v>7.8592263162139998E-3</v>
      </c>
      <c r="T209">
        <f t="shared" si="32"/>
        <v>0</v>
      </c>
      <c r="U209" s="1">
        <v>3.5407505999999998E-2</v>
      </c>
      <c r="V209">
        <v>0</v>
      </c>
      <c r="X209">
        <v>0</v>
      </c>
    </row>
    <row r="210" spans="1:24">
      <c r="A210" s="1">
        <v>0</v>
      </c>
      <c r="B210" s="1" t="s">
        <v>210</v>
      </c>
      <c r="C210" s="1">
        <v>0</v>
      </c>
      <c r="D210" s="33">
        <v>0</v>
      </c>
      <c r="E210" s="36">
        <v>0</v>
      </c>
      <c r="F210" s="37">
        <v>0</v>
      </c>
      <c r="G210" s="30">
        <v>4.4090672999999997E-2</v>
      </c>
      <c r="H210">
        <f t="shared" si="29"/>
        <v>0</v>
      </c>
      <c r="I210" s="85">
        <v>8.8006054284051095E-6</v>
      </c>
      <c r="J210">
        <f t="shared" si="30"/>
        <v>0</v>
      </c>
      <c r="K210" s="86">
        <v>0.108148403465747</v>
      </c>
      <c r="L210">
        <f t="shared" si="31"/>
        <v>0</v>
      </c>
      <c r="M210">
        <v>4.271054174751E-3</v>
      </c>
      <c r="N210">
        <f t="shared" si="31"/>
        <v>0</v>
      </c>
      <c r="O210">
        <v>6.4445160329341999E-2</v>
      </c>
      <c r="P210">
        <f t="shared" si="31"/>
        <v>0</v>
      </c>
      <c r="Q210">
        <v>0.25102376900000001</v>
      </c>
      <c r="R210">
        <f t="shared" si="31"/>
        <v>0</v>
      </c>
      <c r="S210">
        <v>1.334277680144E-3</v>
      </c>
      <c r="T210">
        <f t="shared" si="32"/>
        <v>0</v>
      </c>
      <c r="U210" s="1">
        <v>0.17360133</v>
      </c>
      <c r="V210">
        <v>0</v>
      </c>
      <c r="X210">
        <v>0</v>
      </c>
    </row>
    <row r="211" spans="1:24">
      <c r="A211" s="1">
        <v>0</v>
      </c>
      <c r="B211" s="1" t="s">
        <v>211</v>
      </c>
      <c r="C211" s="1">
        <v>0</v>
      </c>
      <c r="D211" s="33">
        <v>0</v>
      </c>
      <c r="E211" s="36">
        <v>0</v>
      </c>
      <c r="F211" s="37">
        <v>0</v>
      </c>
      <c r="G211">
        <v>0.34830561300000001</v>
      </c>
      <c r="H211">
        <f t="shared" si="29"/>
        <v>0</v>
      </c>
      <c r="I211" s="85">
        <v>0.123902767896652</v>
      </c>
      <c r="J211">
        <f t="shared" si="30"/>
        <v>0</v>
      </c>
      <c r="K211" s="86">
        <v>0.110946640372276</v>
      </c>
      <c r="L211">
        <f t="shared" si="31"/>
        <v>0</v>
      </c>
      <c r="M211">
        <v>0.243911728262901</v>
      </c>
      <c r="N211">
        <f t="shared" si="31"/>
        <v>0</v>
      </c>
      <c r="O211">
        <v>0.115419499576092</v>
      </c>
      <c r="P211">
        <f t="shared" si="31"/>
        <v>0</v>
      </c>
      <c r="Q211">
        <v>0.30108255099999998</v>
      </c>
      <c r="R211">
        <f t="shared" si="31"/>
        <v>0</v>
      </c>
      <c r="S211">
        <v>0.94844132661819502</v>
      </c>
      <c r="T211">
        <f t="shared" si="32"/>
        <v>1</v>
      </c>
      <c r="U211" s="1">
        <v>0.32767087</v>
      </c>
      <c r="V211">
        <v>1</v>
      </c>
      <c r="X211">
        <v>0</v>
      </c>
    </row>
    <row r="212" spans="1:24">
      <c r="A212" s="1">
        <v>0</v>
      </c>
      <c r="B212" s="1" t="s">
        <v>212</v>
      </c>
      <c r="C212" s="1">
        <v>0</v>
      </c>
      <c r="D212" s="33">
        <v>0</v>
      </c>
      <c r="E212" s="36">
        <v>0</v>
      </c>
      <c r="F212" s="37">
        <v>0</v>
      </c>
      <c r="G212" s="30">
        <v>0.734534621</v>
      </c>
      <c r="H212">
        <f t="shared" si="29"/>
        <v>1</v>
      </c>
      <c r="I212" s="85">
        <v>0.98187971115112305</v>
      </c>
      <c r="J212">
        <f t="shared" si="30"/>
        <v>1</v>
      </c>
      <c r="K212" s="86">
        <v>0.97155702114105202</v>
      </c>
      <c r="L212">
        <f t="shared" si="31"/>
        <v>1</v>
      </c>
      <c r="M212" s="30">
        <v>0.71032768487930298</v>
      </c>
      <c r="N212">
        <f t="shared" si="31"/>
        <v>1</v>
      </c>
      <c r="O212">
        <v>0.85249882936477706</v>
      </c>
      <c r="P212">
        <f t="shared" si="31"/>
        <v>1</v>
      </c>
      <c r="Q212">
        <v>0.85175061200000002</v>
      </c>
      <c r="R212">
        <f t="shared" si="31"/>
        <v>1</v>
      </c>
      <c r="S212">
        <v>0.97953039407730103</v>
      </c>
      <c r="T212">
        <f t="shared" si="32"/>
        <v>1</v>
      </c>
      <c r="U212" s="1">
        <v>0.51245916000000002</v>
      </c>
      <c r="V212">
        <v>1</v>
      </c>
      <c r="X212">
        <v>0</v>
      </c>
    </row>
    <row r="213" spans="1:24">
      <c r="A213" s="1">
        <v>0</v>
      </c>
      <c r="B213" s="1" t="s">
        <v>213</v>
      </c>
      <c r="C213" s="1">
        <v>0</v>
      </c>
      <c r="D213" s="33">
        <v>1</v>
      </c>
      <c r="E213" s="37">
        <v>1</v>
      </c>
      <c r="F213" s="37">
        <v>0</v>
      </c>
      <c r="G213">
        <v>0.14483101700000001</v>
      </c>
      <c r="H213">
        <f t="shared" si="29"/>
        <v>0</v>
      </c>
      <c r="I213" s="85">
        <v>6.2369130551814998E-2</v>
      </c>
      <c r="J213">
        <f t="shared" si="30"/>
        <v>0</v>
      </c>
      <c r="K213" s="86">
        <v>4.4970391318202001E-3</v>
      </c>
      <c r="L213">
        <f t="shared" si="31"/>
        <v>0</v>
      </c>
      <c r="M213">
        <v>0.158882081508637</v>
      </c>
      <c r="N213">
        <f t="shared" si="31"/>
        <v>0</v>
      </c>
      <c r="O213">
        <v>0.124944768846035</v>
      </c>
      <c r="P213">
        <f t="shared" si="31"/>
        <v>0</v>
      </c>
      <c r="Q213">
        <v>0.19075352000000001</v>
      </c>
      <c r="R213">
        <f t="shared" si="31"/>
        <v>0</v>
      </c>
      <c r="S213">
        <v>0.774303078651428</v>
      </c>
      <c r="T213">
        <f t="shared" si="32"/>
        <v>1</v>
      </c>
      <c r="U213" s="1">
        <v>4.7049112999999997E-3</v>
      </c>
      <c r="V213">
        <v>0</v>
      </c>
      <c r="X213">
        <v>0</v>
      </c>
    </row>
    <row r="214" spans="1:24">
      <c r="A214" s="1">
        <v>0</v>
      </c>
      <c r="B214" s="1" t="s">
        <v>214</v>
      </c>
      <c r="C214" s="1">
        <v>0</v>
      </c>
      <c r="D214" s="33">
        <v>0</v>
      </c>
      <c r="E214" s="37">
        <v>0</v>
      </c>
      <c r="F214" s="37">
        <v>1</v>
      </c>
      <c r="G214" s="30">
        <v>9.5248825999999995E-2</v>
      </c>
      <c r="H214">
        <f t="shared" si="29"/>
        <v>0</v>
      </c>
      <c r="I214" s="85">
        <v>3.231171285734E-3</v>
      </c>
      <c r="J214">
        <f t="shared" si="30"/>
        <v>0</v>
      </c>
      <c r="K214" s="86">
        <v>8.8773742318153298E-2</v>
      </c>
      <c r="L214">
        <f t="shared" si="31"/>
        <v>0</v>
      </c>
      <c r="M214">
        <v>0.30865770578384399</v>
      </c>
      <c r="N214">
        <f t="shared" si="31"/>
        <v>0</v>
      </c>
      <c r="O214">
        <v>0.23412989079952201</v>
      </c>
      <c r="P214">
        <f t="shared" si="31"/>
        <v>0</v>
      </c>
      <c r="Q214">
        <v>0.29039096800000003</v>
      </c>
      <c r="R214">
        <f t="shared" si="31"/>
        <v>0</v>
      </c>
      <c r="S214">
        <v>0.26592108607292197</v>
      </c>
      <c r="T214">
        <f t="shared" si="32"/>
        <v>0</v>
      </c>
      <c r="U214" s="1">
        <v>9.7233539999999993E-2</v>
      </c>
      <c r="V214">
        <v>0</v>
      </c>
      <c r="X214">
        <v>0</v>
      </c>
    </row>
    <row r="215" spans="1:24">
      <c r="A215" s="1">
        <v>0</v>
      </c>
      <c r="B215" s="1" t="s">
        <v>215</v>
      </c>
      <c r="C215" s="1">
        <v>0</v>
      </c>
      <c r="D215" s="33">
        <v>0</v>
      </c>
      <c r="E215" s="36">
        <v>0</v>
      </c>
      <c r="F215" s="37">
        <v>0</v>
      </c>
      <c r="G215">
        <v>0.43090823299999997</v>
      </c>
      <c r="H215">
        <f t="shared" ref="H215:H278" si="33">IF(G215&gt;$A$2,1,0)</f>
        <v>0</v>
      </c>
      <c r="I215" s="85">
        <v>1.6461726278066999E-2</v>
      </c>
      <c r="J215">
        <f t="shared" ref="J215:J278" si="34">IF(I215&gt;$A$2,1,0)</f>
        <v>0</v>
      </c>
      <c r="K215" s="86">
        <v>0.33467772603034901</v>
      </c>
      <c r="L215">
        <f t="shared" ref="L215:R278" si="35">IF(K215&gt;$A$2,1,0)</f>
        <v>0</v>
      </c>
      <c r="M215">
        <v>6.2560416758060997E-2</v>
      </c>
      <c r="N215">
        <f t="shared" si="35"/>
        <v>0</v>
      </c>
      <c r="O215">
        <v>0.20871283113956399</v>
      </c>
      <c r="P215">
        <f t="shared" si="35"/>
        <v>0</v>
      </c>
      <c r="Q215">
        <v>0.29659298099999998</v>
      </c>
      <c r="R215">
        <f t="shared" si="35"/>
        <v>0</v>
      </c>
      <c r="S215">
        <v>3.8499813526869001E-2</v>
      </c>
      <c r="T215">
        <f t="shared" si="32"/>
        <v>0</v>
      </c>
      <c r="U215" s="1">
        <v>5.7593810000000002E-2</v>
      </c>
      <c r="V215">
        <v>0</v>
      </c>
      <c r="X215">
        <v>0</v>
      </c>
    </row>
    <row r="216" spans="1:24">
      <c r="A216" s="1">
        <v>0</v>
      </c>
      <c r="B216" s="1" t="s">
        <v>216</v>
      </c>
      <c r="C216" s="1">
        <v>0</v>
      </c>
      <c r="D216" s="33">
        <v>0</v>
      </c>
      <c r="E216" s="37">
        <v>0</v>
      </c>
      <c r="F216" s="37">
        <v>0</v>
      </c>
      <c r="G216">
        <v>0.90176045900000001</v>
      </c>
      <c r="H216">
        <f t="shared" si="33"/>
        <v>1</v>
      </c>
      <c r="I216" s="85">
        <v>0.99826705455779996</v>
      </c>
      <c r="J216">
        <f t="shared" si="34"/>
        <v>1</v>
      </c>
      <c r="K216" s="86">
        <v>0.94986450672149603</v>
      </c>
      <c r="L216">
        <f t="shared" si="35"/>
        <v>1</v>
      </c>
      <c r="M216" s="30">
        <v>0.84882336854934703</v>
      </c>
      <c r="N216">
        <f t="shared" si="35"/>
        <v>1</v>
      </c>
      <c r="O216">
        <v>0.87991756200790405</v>
      </c>
      <c r="P216">
        <f t="shared" si="35"/>
        <v>1</v>
      </c>
      <c r="Q216">
        <v>0.77631962300000001</v>
      </c>
      <c r="R216">
        <f t="shared" si="35"/>
        <v>1</v>
      </c>
      <c r="S216">
        <v>0.996423780918121</v>
      </c>
      <c r="T216">
        <f t="shared" si="32"/>
        <v>1</v>
      </c>
      <c r="U216" s="1">
        <v>0.42840499999999998</v>
      </c>
      <c r="V216">
        <v>1</v>
      </c>
      <c r="X216">
        <v>0</v>
      </c>
    </row>
    <row r="217" spans="1:24">
      <c r="A217" s="1">
        <v>0</v>
      </c>
      <c r="B217" s="1" t="s">
        <v>217</v>
      </c>
      <c r="C217" s="1">
        <v>0</v>
      </c>
      <c r="D217" s="33">
        <v>0</v>
      </c>
      <c r="E217" s="36">
        <v>0</v>
      </c>
      <c r="F217" s="37">
        <v>0</v>
      </c>
      <c r="G217">
        <v>0.329809189</v>
      </c>
      <c r="H217">
        <f t="shared" si="33"/>
        <v>0</v>
      </c>
      <c r="I217" s="85">
        <v>0.45915311574935902</v>
      </c>
      <c r="J217">
        <f t="shared" si="34"/>
        <v>0</v>
      </c>
      <c r="K217" s="86">
        <v>5.7364597916602998E-2</v>
      </c>
      <c r="L217">
        <f t="shared" si="35"/>
        <v>0</v>
      </c>
      <c r="M217" s="30">
        <v>0.26507779955863903</v>
      </c>
      <c r="N217">
        <f t="shared" si="35"/>
        <v>0</v>
      </c>
      <c r="O217">
        <v>0.62611305713653498</v>
      </c>
      <c r="P217">
        <f t="shared" si="35"/>
        <v>1</v>
      </c>
      <c r="Q217">
        <v>0.65175920700000001</v>
      </c>
      <c r="R217">
        <f t="shared" si="35"/>
        <v>1</v>
      </c>
      <c r="S217">
        <v>2.1913852542639001E-2</v>
      </c>
      <c r="T217">
        <f t="shared" ref="T217:T277" si="36">IF(S217&gt;$A$2,1,0)</f>
        <v>0</v>
      </c>
      <c r="U217" s="1">
        <v>0.24909976</v>
      </c>
      <c r="V217">
        <v>1</v>
      </c>
      <c r="X217">
        <v>0</v>
      </c>
    </row>
    <row r="218" spans="1:24">
      <c r="A218" s="1">
        <v>0</v>
      </c>
      <c r="B218" s="1" t="s">
        <v>218</v>
      </c>
      <c r="C218" s="1">
        <v>0</v>
      </c>
      <c r="D218" s="33">
        <v>1</v>
      </c>
      <c r="E218" s="36">
        <v>0</v>
      </c>
      <c r="F218" s="37">
        <v>0</v>
      </c>
      <c r="G218">
        <v>0.44921058400000002</v>
      </c>
      <c r="H218">
        <f t="shared" si="33"/>
        <v>0</v>
      </c>
      <c r="I218" s="85">
        <v>0.97222709655761697</v>
      </c>
      <c r="J218">
        <f t="shared" si="34"/>
        <v>1</v>
      </c>
      <c r="K218" s="86">
        <v>0.17109297215938499</v>
      </c>
      <c r="L218">
        <f t="shared" si="35"/>
        <v>0</v>
      </c>
      <c r="M218" s="30">
        <v>0.99807989597320601</v>
      </c>
      <c r="N218">
        <f t="shared" si="35"/>
        <v>1</v>
      </c>
      <c r="O218">
        <v>0.67401200532913197</v>
      </c>
      <c r="P218">
        <f t="shared" si="35"/>
        <v>1</v>
      </c>
      <c r="Q218">
        <v>0.73078501200000001</v>
      </c>
      <c r="R218">
        <f t="shared" si="35"/>
        <v>1</v>
      </c>
      <c r="S218">
        <v>0.99967074394226096</v>
      </c>
      <c r="T218">
        <f t="shared" si="36"/>
        <v>1</v>
      </c>
      <c r="U218" s="1">
        <v>0.23491735999999999</v>
      </c>
      <c r="V218">
        <v>1</v>
      </c>
      <c r="X218">
        <v>0</v>
      </c>
    </row>
    <row r="219" spans="1:24">
      <c r="A219" s="1">
        <v>0</v>
      </c>
      <c r="B219" s="7" t="s">
        <v>219</v>
      </c>
      <c r="C219" s="1">
        <v>0</v>
      </c>
      <c r="D219" s="33">
        <v>0</v>
      </c>
      <c r="E219" s="36">
        <v>0</v>
      </c>
      <c r="F219" s="37">
        <v>0</v>
      </c>
      <c r="G219">
        <v>0.10092733800000001</v>
      </c>
      <c r="H219">
        <f t="shared" si="33"/>
        <v>0</v>
      </c>
      <c r="I219" s="85">
        <v>1.4413199096500001E-4</v>
      </c>
      <c r="J219">
        <f t="shared" si="34"/>
        <v>0</v>
      </c>
      <c r="K219" s="86">
        <v>4.0658187121152801E-2</v>
      </c>
      <c r="L219">
        <f t="shared" si="35"/>
        <v>0</v>
      </c>
      <c r="M219">
        <v>0.13235642015933999</v>
      </c>
      <c r="N219">
        <f t="shared" si="35"/>
        <v>0</v>
      </c>
      <c r="O219">
        <v>4.0689501911401998E-2</v>
      </c>
      <c r="P219">
        <f t="shared" si="35"/>
        <v>0</v>
      </c>
      <c r="Q219">
        <v>0.249855995</v>
      </c>
      <c r="R219">
        <f t="shared" si="35"/>
        <v>0</v>
      </c>
      <c r="S219">
        <v>3.6478424444790001E-3</v>
      </c>
      <c r="T219">
        <f t="shared" si="36"/>
        <v>0</v>
      </c>
      <c r="U219" s="7">
        <v>0.12812218</v>
      </c>
      <c r="V219">
        <v>0</v>
      </c>
      <c r="X219">
        <v>1</v>
      </c>
    </row>
    <row r="220" spans="1:24">
      <c r="A220" s="1">
        <v>0</v>
      </c>
      <c r="B220" s="1" t="s">
        <v>220</v>
      </c>
      <c r="C220" s="1">
        <v>0</v>
      </c>
      <c r="D220" s="33">
        <v>0</v>
      </c>
      <c r="E220" s="36">
        <v>0</v>
      </c>
      <c r="F220" s="37">
        <v>0</v>
      </c>
      <c r="G220">
        <v>0.12522396399999999</v>
      </c>
      <c r="H220">
        <f t="shared" si="33"/>
        <v>0</v>
      </c>
      <c r="I220" s="85">
        <v>1.2212842702866E-2</v>
      </c>
      <c r="J220">
        <f t="shared" si="34"/>
        <v>0</v>
      </c>
      <c r="K220" s="86">
        <v>0.40040764212608299</v>
      </c>
      <c r="L220">
        <f t="shared" si="35"/>
        <v>0</v>
      </c>
      <c r="M220">
        <v>0.36757060885429399</v>
      </c>
      <c r="N220">
        <f t="shared" si="35"/>
        <v>0</v>
      </c>
      <c r="O220">
        <v>0.177585244178772</v>
      </c>
      <c r="P220">
        <f t="shared" si="35"/>
        <v>0</v>
      </c>
      <c r="Q220">
        <v>0.39222696400000001</v>
      </c>
      <c r="R220">
        <f t="shared" si="35"/>
        <v>0</v>
      </c>
      <c r="S220">
        <v>0.83867067098617598</v>
      </c>
      <c r="T220">
        <f t="shared" si="36"/>
        <v>1</v>
      </c>
      <c r="U220" s="1">
        <v>9.3913679999999999E-2</v>
      </c>
      <c r="V220">
        <v>0</v>
      </c>
      <c r="X220">
        <v>0</v>
      </c>
    </row>
    <row r="221" spans="1:24">
      <c r="A221" s="1">
        <v>0</v>
      </c>
      <c r="B221" s="1" t="s">
        <v>221</v>
      </c>
      <c r="C221" s="1">
        <v>0</v>
      </c>
      <c r="D221" s="33">
        <v>0</v>
      </c>
      <c r="E221" s="36">
        <v>0</v>
      </c>
      <c r="F221" s="37">
        <v>0</v>
      </c>
      <c r="G221" s="30">
        <v>8.5955194999999998E-2</v>
      </c>
      <c r="H221">
        <f t="shared" si="33"/>
        <v>0</v>
      </c>
      <c r="I221" s="85">
        <v>8.7149773025900002E-4</v>
      </c>
      <c r="J221">
        <f t="shared" si="34"/>
        <v>0</v>
      </c>
      <c r="K221" s="86">
        <v>0.55385601520538297</v>
      </c>
      <c r="L221">
        <f t="shared" si="35"/>
        <v>1</v>
      </c>
      <c r="M221">
        <v>5.8938853908299996E-4</v>
      </c>
      <c r="N221">
        <f t="shared" si="35"/>
        <v>0</v>
      </c>
      <c r="O221">
        <v>3.5275820642710003E-2</v>
      </c>
      <c r="P221">
        <f t="shared" si="35"/>
        <v>0</v>
      </c>
      <c r="Q221">
        <v>0.16672118</v>
      </c>
      <c r="R221">
        <f t="shared" si="35"/>
        <v>0</v>
      </c>
      <c r="S221">
        <v>3.780981060117E-3</v>
      </c>
      <c r="T221">
        <f t="shared" si="36"/>
        <v>0</v>
      </c>
      <c r="U221" s="1">
        <v>5.9971504000000002E-2</v>
      </c>
      <c r="V221">
        <v>0</v>
      </c>
      <c r="X221">
        <v>0</v>
      </c>
    </row>
    <row r="222" spans="1:24">
      <c r="A222" s="1">
        <v>0</v>
      </c>
      <c r="B222" s="1" t="s">
        <v>222</v>
      </c>
      <c r="C222" s="1">
        <v>0</v>
      </c>
      <c r="D222" s="33">
        <v>0</v>
      </c>
      <c r="E222" s="36">
        <v>0</v>
      </c>
      <c r="F222" s="37">
        <v>0</v>
      </c>
      <c r="G222">
        <v>0.105300464</v>
      </c>
      <c r="H222">
        <f t="shared" si="33"/>
        <v>0</v>
      </c>
      <c r="I222" s="85">
        <v>2.6532186195254E-2</v>
      </c>
      <c r="J222">
        <f t="shared" si="34"/>
        <v>0</v>
      </c>
      <c r="K222" s="86">
        <v>6.8021103739738395E-2</v>
      </c>
      <c r="L222">
        <f t="shared" si="35"/>
        <v>0</v>
      </c>
      <c r="M222" s="30">
        <v>0.26600125432014499</v>
      </c>
      <c r="N222">
        <f t="shared" si="35"/>
        <v>0</v>
      </c>
      <c r="O222">
        <v>0.195027559995651</v>
      </c>
      <c r="P222">
        <f t="shared" si="35"/>
        <v>0</v>
      </c>
      <c r="Q222">
        <v>0.28733292199999999</v>
      </c>
      <c r="R222">
        <f t="shared" si="35"/>
        <v>0</v>
      </c>
      <c r="S222">
        <v>7.4736431241036003E-2</v>
      </c>
      <c r="T222">
        <f t="shared" si="36"/>
        <v>0</v>
      </c>
      <c r="U222" s="1">
        <v>0.1725787</v>
      </c>
      <c r="V222">
        <v>0</v>
      </c>
      <c r="X222">
        <v>0</v>
      </c>
    </row>
    <row r="223" spans="1:24">
      <c r="A223" s="1">
        <v>0</v>
      </c>
      <c r="B223" s="1" t="s">
        <v>223</v>
      </c>
      <c r="C223" s="1">
        <v>0</v>
      </c>
      <c r="D223" s="33">
        <v>0</v>
      </c>
      <c r="E223" s="36">
        <v>0</v>
      </c>
      <c r="F223" s="37">
        <v>0</v>
      </c>
      <c r="G223" s="30">
        <v>2.1501260000000001E-2</v>
      </c>
      <c r="H223">
        <f t="shared" si="33"/>
        <v>0</v>
      </c>
      <c r="I223" s="85">
        <v>5.0026696408199997E-4</v>
      </c>
      <c r="J223">
        <f t="shared" si="34"/>
        <v>0</v>
      </c>
      <c r="K223" s="86">
        <v>4.7153919003903796E-3</v>
      </c>
      <c r="L223">
        <f t="shared" si="35"/>
        <v>0</v>
      </c>
      <c r="M223">
        <v>1.2832559878009999E-3</v>
      </c>
      <c r="N223">
        <f t="shared" si="35"/>
        <v>0</v>
      </c>
      <c r="O223" s="30">
        <v>2.8725914657115999E-2</v>
      </c>
      <c r="P223">
        <f t="shared" si="35"/>
        <v>0</v>
      </c>
      <c r="Q223">
        <v>0.113143437</v>
      </c>
      <c r="R223">
        <f t="shared" si="35"/>
        <v>0</v>
      </c>
      <c r="S223">
        <v>1.691190293059E-3</v>
      </c>
      <c r="T223">
        <f t="shared" si="36"/>
        <v>0</v>
      </c>
      <c r="U223" s="1">
        <v>1.5678864E-3</v>
      </c>
      <c r="V223">
        <v>0</v>
      </c>
      <c r="X223">
        <v>0</v>
      </c>
    </row>
    <row r="224" spans="1:24">
      <c r="A224" s="1">
        <v>0</v>
      </c>
      <c r="B224" s="1" t="s">
        <v>224</v>
      </c>
      <c r="C224" s="1">
        <v>0</v>
      </c>
      <c r="D224" s="33">
        <v>0</v>
      </c>
      <c r="E224" s="36">
        <v>0</v>
      </c>
      <c r="F224" s="37">
        <v>0</v>
      </c>
      <c r="G224">
        <v>0.48107960799999999</v>
      </c>
      <c r="H224">
        <f t="shared" si="33"/>
        <v>0</v>
      </c>
      <c r="I224" s="85">
        <v>0.91581082344055198</v>
      </c>
      <c r="J224">
        <f t="shared" si="34"/>
        <v>1</v>
      </c>
      <c r="K224" s="86">
        <v>0.82909744977951005</v>
      </c>
      <c r="L224">
        <f t="shared" si="35"/>
        <v>1</v>
      </c>
      <c r="M224">
        <v>0.30287426710128801</v>
      </c>
      <c r="N224">
        <f t="shared" si="35"/>
        <v>0</v>
      </c>
      <c r="O224">
        <v>0.71753954887390103</v>
      </c>
      <c r="P224">
        <f t="shared" si="35"/>
        <v>1</v>
      </c>
      <c r="Q224">
        <v>0.79126989800000003</v>
      </c>
      <c r="R224">
        <f t="shared" si="35"/>
        <v>1</v>
      </c>
      <c r="S224">
        <v>0.32588803768157998</v>
      </c>
      <c r="T224">
        <f t="shared" si="36"/>
        <v>0</v>
      </c>
      <c r="U224" s="1">
        <v>0.26564944000000001</v>
      </c>
      <c r="V224">
        <v>1</v>
      </c>
      <c r="X224">
        <v>0</v>
      </c>
    </row>
    <row r="225" spans="1:24">
      <c r="A225" s="1">
        <v>0</v>
      </c>
      <c r="B225" s="1" t="s">
        <v>225</v>
      </c>
      <c r="C225" s="1">
        <v>0</v>
      </c>
      <c r="D225" s="33">
        <v>0</v>
      </c>
      <c r="E225" s="37">
        <v>1</v>
      </c>
      <c r="F225" s="37">
        <v>0</v>
      </c>
      <c r="G225">
        <v>9.7038506999999996E-2</v>
      </c>
      <c r="H225">
        <f t="shared" si="33"/>
        <v>0</v>
      </c>
      <c r="I225" s="85">
        <v>4.0783141739670001E-3</v>
      </c>
      <c r="J225">
        <f t="shared" si="34"/>
        <v>0</v>
      </c>
      <c r="K225" s="86">
        <v>2.57012830115854E-3</v>
      </c>
      <c r="L225">
        <f t="shared" si="35"/>
        <v>0</v>
      </c>
      <c r="M225">
        <v>1.6654735663910001E-3</v>
      </c>
      <c r="N225">
        <f t="shared" si="35"/>
        <v>0</v>
      </c>
      <c r="O225">
        <v>7.9169780015946004E-2</v>
      </c>
      <c r="P225">
        <f t="shared" si="35"/>
        <v>0</v>
      </c>
      <c r="Q225">
        <v>0.24301424599999999</v>
      </c>
      <c r="R225">
        <f t="shared" si="35"/>
        <v>0</v>
      </c>
      <c r="S225">
        <v>2.517688786611E-3</v>
      </c>
      <c r="T225">
        <f t="shared" si="36"/>
        <v>0</v>
      </c>
      <c r="U225" s="1">
        <v>7.9540029999999998E-2</v>
      </c>
      <c r="V225">
        <v>0</v>
      </c>
      <c r="X225">
        <v>0</v>
      </c>
    </row>
    <row r="226" spans="1:24">
      <c r="A226" s="1">
        <v>0</v>
      </c>
      <c r="B226" s="7" t="s">
        <v>226</v>
      </c>
      <c r="C226" s="1">
        <v>0</v>
      </c>
      <c r="D226" s="33">
        <v>0</v>
      </c>
      <c r="E226" s="36">
        <v>0</v>
      </c>
      <c r="F226" s="37">
        <v>0</v>
      </c>
      <c r="G226">
        <v>5.660573E-2</v>
      </c>
      <c r="H226">
        <f t="shared" si="33"/>
        <v>0</v>
      </c>
      <c r="I226" s="85">
        <v>1.7886979505419998E-2</v>
      </c>
      <c r="J226">
        <f t="shared" si="34"/>
        <v>0</v>
      </c>
      <c r="K226" s="86">
        <v>0.112178191542625</v>
      </c>
      <c r="L226">
        <f t="shared" si="35"/>
        <v>0</v>
      </c>
      <c r="M226">
        <v>3.7863692268729999E-3</v>
      </c>
      <c r="N226">
        <f t="shared" si="35"/>
        <v>0</v>
      </c>
      <c r="O226">
        <v>7.0525951683520993E-2</v>
      </c>
      <c r="P226">
        <f t="shared" si="35"/>
        <v>0</v>
      </c>
      <c r="Q226">
        <v>0.211369574</v>
      </c>
      <c r="R226">
        <f t="shared" si="35"/>
        <v>0</v>
      </c>
      <c r="S226">
        <v>0.119015075266361</v>
      </c>
      <c r="T226">
        <f t="shared" si="36"/>
        <v>0</v>
      </c>
      <c r="U226" s="7">
        <v>8.1411534999999997E-3</v>
      </c>
      <c r="V226">
        <v>0</v>
      </c>
      <c r="X226">
        <v>1</v>
      </c>
    </row>
    <row r="227" spans="1:24">
      <c r="A227" s="1">
        <v>0</v>
      </c>
      <c r="B227" s="7" t="s">
        <v>227</v>
      </c>
      <c r="C227" s="1">
        <v>0</v>
      </c>
      <c r="D227" s="33">
        <v>1</v>
      </c>
      <c r="E227" s="37">
        <v>1</v>
      </c>
      <c r="F227" s="37">
        <v>0</v>
      </c>
      <c r="G227">
        <v>0.90248441700000004</v>
      </c>
      <c r="H227">
        <f t="shared" si="33"/>
        <v>1</v>
      </c>
      <c r="I227" s="85">
        <v>0.98047906160354603</v>
      </c>
      <c r="J227">
        <f t="shared" si="34"/>
        <v>1</v>
      </c>
      <c r="K227" s="86">
        <v>0.29376477003097501</v>
      </c>
      <c r="L227">
        <f t="shared" si="35"/>
        <v>0</v>
      </c>
      <c r="M227">
        <v>0.72698795795440696</v>
      </c>
      <c r="N227">
        <f t="shared" si="35"/>
        <v>1</v>
      </c>
      <c r="O227">
        <v>0.76749396324157704</v>
      </c>
      <c r="P227">
        <f t="shared" si="35"/>
        <v>1</v>
      </c>
      <c r="Q227">
        <v>0.61309891900000002</v>
      </c>
      <c r="R227">
        <f t="shared" si="35"/>
        <v>1</v>
      </c>
      <c r="S227">
        <v>0.238236978650093</v>
      </c>
      <c r="T227">
        <f t="shared" si="36"/>
        <v>0</v>
      </c>
      <c r="U227" s="7">
        <v>0.21484469</v>
      </c>
      <c r="V227">
        <v>1</v>
      </c>
      <c r="X227">
        <v>1</v>
      </c>
    </row>
    <row r="228" spans="1:24">
      <c r="A228" s="1">
        <v>0</v>
      </c>
      <c r="B228" s="1" t="s">
        <v>228</v>
      </c>
      <c r="C228" s="1">
        <v>0</v>
      </c>
      <c r="D228" s="33">
        <v>0</v>
      </c>
      <c r="E228" s="36">
        <v>0</v>
      </c>
      <c r="F228" s="37">
        <v>0</v>
      </c>
      <c r="G228">
        <v>0.33916541900000002</v>
      </c>
      <c r="H228">
        <f t="shared" si="33"/>
        <v>0</v>
      </c>
      <c r="I228" s="85">
        <v>0.98709374666214</v>
      </c>
      <c r="J228">
        <f t="shared" si="34"/>
        <v>1</v>
      </c>
      <c r="K228" s="86">
        <v>0.111252561211586</v>
      </c>
      <c r="L228">
        <f t="shared" si="35"/>
        <v>0</v>
      </c>
      <c r="M228">
        <v>7.5010895729064997E-2</v>
      </c>
      <c r="N228">
        <f t="shared" si="35"/>
        <v>0</v>
      </c>
      <c r="O228">
        <v>0.60903197526931796</v>
      </c>
      <c r="P228">
        <f t="shared" si="35"/>
        <v>1</v>
      </c>
      <c r="Q228">
        <v>0.36761569999999999</v>
      </c>
      <c r="R228">
        <f t="shared" si="35"/>
        <v>0</v>
      </c>
      <c r="S228">
        <v>0.17073075473308599</v>
      </c>
      <c r="T228">
        <f t="shared" si="36"/>
        <v>0</v>
      </c>
      <c r="U228" s="1">
        <v>0.34844348000000003</v>
      </c>
      <c r="V228">
        <v>1</v>
      </c>
      <c r="X228">
        <v>0</v>
      </c>
    </row>
    <row r="229" spans="1:24">
      <c r="A229" s="1">
        <v>0</v>
      </c>
      <c r="B229" s="7" t="s">
        <v>229</v>
      </c>
      <c r="C229" s="1">
        <v>0</v>
      </c>
      <c r="D229" s="33">
        <v>0</v>
      </c>
      <c r="E229" s="37">
        <v>0</v>
      </c>
      <c r="F229" s="37">
        <v>0</v>
      </c>
      <c r="G229">
        <v>0.87131685000000003</v>
      </c>
      <c r="H229">
        <f t="shared" si="33"/>
        <v>1</v>
      </c>
      <c r="I229" s="85">
        <v>0.93107438087463401</v>
      </c>
      <c r="J229">
        <f t="shared" si="34"/>
        <v>1</v>
      </c>
      <c r="K229" s="86">
        <v>0.82155328989028897</v>
      </c>
      <c r="L229">
        <f t="shared" si="35"/>
        <v>1</v>
      </c>
      <c r="M229" s="30">
        <v>0.99209678173065197</v>
      </c>
      <c r="N229">
        <f t="shared" si="35"/>
        <v>1</v>
      </c>
      <c r="O229">
        <v>0.79388624429702803</v>
      </c>
      <c r="P229">
        <f t="shared" si="35"/>
        <v>1</v>
      </c>
      <c r="Q229">
        <v>0.77654582299999997</v>
      </c>
      <c r="R229">
        <f t="shared" si="35"/>
        <v>1</v>
      </c>
      <c r="S229">
        <v>0.999861359596252</v>
      </c>
      <c r="T229">
        <f t="shared" si="36"/>
        <v>1</v>
      </c>
      <c r="U229" s="7">
        <v>0.33506393000000001</v>
      </c>
      <c r="V229">
        <v>1</v>
      </c>
      <c r="X229">
        <v>1</v>
      </c>
    </row>
    <row r="230" spans="1:24">
      <c r="A230" s="1">
        <v>0</v>
      </c>
      <c r="B230" s="1" t="s">
        <v>230</v>
      </c>
      <c r="C230" s="1">
        <v>0</v>
      </c>
      <c r="D230" s="33">
        <v>1</v>
      </c>
      <c r="E230" s="36">
        <v>0</v>
      </c>
      <c r="F230" s="37">
        <v>0</v>
      </c>
      <c r="G230">
        <v>0.27976784100000002</v>
      </c>
      <c r="H230">
        <f t="shared" si="33"/>
        <v>0</v>
      </c>
      <c r="I230" s="85">
        <v>0.34274879097938499</v>
      </c>
      <c r="J230">
        <f t="shared" si="34"/>
        <v>0</v>
      </c>
      <c r="K230" s="86">
        <v>0.489252209663391</v>
      </c>
      <c r="L230">
        <f t="shared" si="35"/>
        <v>0</v>
      </c>
      <c r="M230" s="30">
        <v>0.47215586900711098</v>
      </c>
      <c r="N230">
        <f t="shared" si="35"/>
        <v>0</v>
      </c>
      <c r="O230">
        <v>0.37778443098068198</v>
      </c>
      <c r="P230">
        <f t="shared" si="35"/>
        <v>0</v>
      </c>
      <c r="Q230">
        <v>0.30016902099999998</v>
      </c>
      <c r="R230">
        <f t="shared" si="35"/>
        <v>0</v>
      </c>
      <c r="S230">
        <v>0.40746408700942999</v>
      </c>
      <c r="T230">
        <f t="shared" si="36"/>
        <v>0</v>
      </c>
      <c r="U230" s="1">
        <v>7.3860289999999995E-2</v>
      </c>
      <c r="V230">
        <v>0</v>
      </c>
      <c r="X230">
        <v>0</v>
      </c>
    </row>
    <row r="231" spans="1:24">
      <c r="A231" s="1">
        <v>0</v>
      </c>
      <c r="B231" s="1" t="s">
        <v>231</v>
      </c>
      <c r="C231" s="1">
        <v>0</v>
      </c>
      <c r="D231" s="33">
        <v>0</v>
      </c>
      <c r="E231" s="36">
        <v>0</v>
      </c>
      <c r="F231" s="37">
        <v>0</v>
      </c>
      <c r="G231">
        <v>7.2271562999999997E-2</v>
      </c>
      <c r="H231">
        <f t="shared" si="33"/>
        <v>0</v>
      </c>
      <c r="I231" s="85">
        <v>1.1733052087950001E-3</v>
      </c>
      <c r="J231">
        <f t="shared" si="34"/>
        <v>0</v>
      </c>
      <c r="K231" s="86">
        <v>1.8927203491330102E-2</v>
      </c>
      <c r="L231">
        <f t="shared" si="35"/>
        <v>0</v>
      </c>
      <c r="M231">
        <v>2.7653764933348E-2</v>
      </c>
      <c r="N231">
        <f t="shared" si="35"/>
        <v>0</v>
      </c>
      <c r="O231">
        <v>0.157845854759216</v>
      </c>
      <c r="P231">
        <f t="shared" si="35"/>
        <v>0</v>
      </c>
      <c r="Q231" s="30">
        <v>0.216855556</v>
      </c>
      <c r="R231">
        <f t="shared" si="35"/>
        <v>0</v>
      </c>
      <c r="S231" s="30">
        <v>7.3832660913468004E-2</v>
      </c>
      <c r="T231">
        <f t="shared" si="36"/>
        <v>0</v>
      </c>
      <c r="U231" s="1">
        <v>2.8062189000000001E-2</v>
      </c>
      <c r="V231">
        <v>0</v>
      </c>
      <c r="X231">
        <v>0</v>
      </c>
    </row>
    <row r="232" spans="1:24">
      <c r="A232" s="1">
        <v>0</v>
      </c>
      <c r="B232" s="1" t="s">
        <v>232</v>
      </c>
      <c r="C232" s="1">
        <v>0</v>
      </c>
      <c r="D232" s="33">
        <v>0</v>
      </c>
      <c r="E232" s="36">
        <v>0</v>
      </c>
      <c r="F232" s="37">
        <v>0</v>
      </c>
      <c r="G232">
        <v>0.84202122700000004</v>
      </c>
      <c r="H232">
        <f t="shared" si="33"/>
        <v>1</v>
      </c>
      <c r="I232" s="85">
        <v>0.88129800558090199</v>
      </c>
      <c r="J232">
        <f t="shared" si="34"/>
        <v>1</v>
      </c>
      <c r="K232" s="86">
        <v>0.63341230154037398</v>
      </c>
      <c r="L232">
        <f t="shared" si="35"/>
        <v>1</v>
      </c>
      <c r="M232">
        <v>0.75880098342895497</v>
      </c>
      <c r="N232">
        <f t="shared" si="35"/>
        <v>1</v>
      </c>
      <c r="O232">
        <v>0.853382527828217</v>
      </c>
      <c r="P232">
        <f t="shared" si="35"/>
        <v>1</v>
      </c>
      <c r="Q232">
        <v>0.67960852400000005</v>
      </c>
      <c r="R232">
        <f t="shared" si="35"/>
        <v>1</v>
      </c>
      <c r="S232">
        <v>0.97740775346756004</v>
      </c>
      <c r="T232">
        <f t="shared" si="36"/>
        <v>1</v>
      </c>
      <c r="U232" s="1">
        <v>0.18955062</v>
      </c>
      <c r="V232">
        <v>1</v>
      </c>
      <c r="X232">
        <v>0</v>
      </c>
    </row>
    <row r="233" spans="1:24">
      <c r="A233" s="1">
        <v>0</v>
      </c>
      <c r="B233" s="1" t="s">
        <v>233</v>
      </c>
      <c r="C233" s="1">
        <v>0</v>
      </c>
      <c r="D233" s="33">
        <v>0</v>
      </c>
      <c r="E233" s="36">
        <v>0</v>
      </c>
      <c r="F233" s="37">
        <v>0</v>
      </c>
      <c r="G233">
        <v>0.112764224</v>
      </c>
      <c r="H233">
        <f t="shared" si="33"/>
        <v>0</v>
      </c>
      <c r="I233" s="85">
        <v>7.9579474404449999E-3</v>
      </c>
      <c r="J233">
        <f t="shared" si="34"/>
        <v>0</v>
      </c>
      <c r="K233" s="86">
        <v>0.75061929225921598</v>
      </c>
      <c r="L233">
        <f t="shared" si="35"/>
        <v>1</v>
      </c>
      <c r="M233">
        <v>4.9474883824587E-2</v>
      </c>
      <c r="N233">
        <f t="shared" si="35"/>
        <v>0</v>
      </c>
      <c r="O233">
        <v>0.17097696661949199</v>
      </c>
      <c r="P233">
        <f t="shared" si="35"/>
        <v>0</v>
      </c>
      <c r="Q233">
        <v>0.23428233000000001</v>
      </c>
      <c r="R233">
        <f t="shared" si="35"/>
        <v>0</v>
      </c>
      <c r="S233">
        <v>0.272212713956833</v>
      </c>
      <c r="T233">
        <f t="shared" si="36"/>
        <v>0</v>
      </c>
      <c r="U233" s="1">
        <v>0.13916039999999999</v>
      </c>
      <c r="V233">
        <v>0</v>
      </c>
      <c r="X233">
        <v>0</v>
      </c>
    </row>
    <row r="234" spans="1:24">
      <c r="A234" s="1">
        <v>0</v>
      </c>
      <c r="B234" s="1" t="s">
        <v>234</v>
      </c>
      <c r="C234" s="1">
        <v>0</v>
      </c>
      <c r="D234" s="33">
        <v>0</v>
      </c>
      <c r="E234" s="36">
        <v>0</v>
      </c>
      <c r="F234" s="37">
        <v>0</v>
      </c>
      <c r="G234">
        <v>9.4173252999999998E-2</v>
      </c>
      <c r="H234">
        <f t="shared" si="33"/>
        <v>0</v>
      </c>
      <c r="I234" s="85">
        <v>0.40184539556503301</v>
      </c>
      <c r="J234">
        <f t="shared" si="34"/>
        <v>0</v>
      </c>
      <c r="K234" s="86">
        <v>6.1267137527465799E-2</v>
      </c>
      <c r="L234">
        <f t="shared" si="35"/>
        <v>0</v>
      </c>
      <c r="M234">
        <v>1.1655602604150999E-2</v>
      </c>
      <c r="N234">
        <f t="shared" si="35"/>
        <v>0</v>
      </c>
      <c r="O234">
        <v>0.16768264770507799</v>
      </c>
      <c r="P234">
        <f t="shared" si="35"/>
        <v>0</v>
      </c>
      <c r="Q234">
        <v>0.38730126599999998</v>
      </c>
      <c r="R234">
        <f t="shared" si="35"/>
        <v>0</v>
      </c>
      <c r="S234">
        <v>0.28927904367446899</v>
      </c>
      <c r="T234">
        <f t="shared" si="36"/>
        <v>0</v>
      </c>
      <c r="U234" s="1">
        <v>1.9491950000000001E-2</v>
      </c>
      <c r="V234">
        <v>0</v>
      </c>
      <c r="X234">
        <v>0</v>
      </c>
    </row>
    <row r="235" spans="1:24">
      <c r="A235" s="1">
        <v>0</v>
      </c>
      <c r="B235" s="1" t="s">
        <v>235</v>
      </c>
      <c r="C235" s="1">
        <v>0</v>
      </c>
      <c r="D235" s="33">
        <v>0</v>
      </c>
      <c r="E235" s="36">
        <v>0</v>
      </c>
      <c r="F235" s="37">
        <v>0</v>
      </c>
      <c r="G235">
        <v>0.69265902000000001</v>
      </c>
      <c r="H235">
        <f t="shared" si="33"/>
        <v>1</v>
      </c>
      <c r="I235" s="85">
        <v>0.99050468206405595</v>
      </c>
      <c r="J235">
        <f t="shared" si="34"/>
        <v>1</v>
      </c>
      <c r="K235" s="86">
        <v>7.3932081460952703E-2</v>
      </c>
      <c r="L235">
        <f t="shared" si="35"/>
        <v>0</v>
      </c>
      <c r="M235" s="30">
        <v>4.5511327683926003E-2</v>
      </c>
      <c r="N235">
        <f t="shared" si="35"/>
        <v>0</v>
      </c>
      <c r="O235">
        <v>0.51606541872024503</v>
      </c>
      <c r="P235">
        <f t="shared" si="35"/>
        <v>1</v>
      </c>
      <c r="Q235">
        <v>0.65086305099999997</v>
      </c>
      <c r="R235">
        <f t="shared" si="35"/>
        <v>1</v>
      </c>
      <c r="S235">
        <v>0.77274692058563199</v>
      </c>
      <c r="T235">
        <f t="shared" si="36"/>
        <v>1</v>
      </c>
      <c r="U235" s="1">
        <v>0.24924511999999999</v>
      </c>
      <c r="V235">
        <v>0</v>
      </c>
      <c r="X235">
        <v>0</v>
      </c>
    </row>
    <row r="236" spans="1:24">
      <c r="A236" s="1">
        <v>0</v>
      </c>
      <c r="B236" s="1" t="s">
        <v>236</v>
      </c>
      <c r="C236" s="1">
        <v>0</v>
      </c>
      <c r="D236" s="33">
        <v>0</v>
      </c>
      <c r="E236" s="36">
        <v>0</v>
      </c>
      <c r="F236" s="37">
        <v>0</v>
      </c>
      <c r="G236">
        <v>0.20035122299999999</v>
      </c>
      <c r="H236">
        <f t="shared" si="33"/>
        <v>0</v>
      </c>
      <c r="I236" s="85">
        <v>8.3209857344627006E-2</v>
      </c>
      <c r="J236">
        <f t="shared" si="34"/>
        <v>0</v>
      </c>
      <c r="K236" s="86">
        <v>0.35660731792449901</v>
      </c>
      <c r="L236">
        <f t="shared" si="35"/>
        <v>0</v>
      </c>
      <c r="M236" s="30">
        <v>0.78891402482986495</v>
      </c>
      <c r="N236">
        <f t="shared" si="35"/>
        <v>1</v>
      </c>
      <c r="O236">
        <v>0.49468949437141402</v>
      </c>
      <c r="P236">
        <f t="shared" si="35"/>
        <v>0</v>
      </c>
      <c r="Q236">
        <v>0.60423821200000005</v>
      </c>
      <c r="R236">
        <f t="shared" si="35"/>
        <v>1</v>
      </c>
      <c r="S236">
        <v>0.34956386685371399</v>
      </c>
      <c r="T236">
        <f t="shared" si="36"/>
        <v>0</v>
      </c>
      <c r="U236" s="1">
        <v>0.42960122000000001</v>
      </c>
      <c r="V236">
        <v>1</v>
      </c>
      <c r="X236">
        <v>0</v>
      </c>
    </row>
    <row r="237" spans="1:24">
      <c r="A237" s="1">
        <v>0</v>
      </c>
      <c r="B237" s="1" t="s">
        <v>237</v>
      </c>
      <c r="C237" s="1">
        <v>0</v>
      </c>
      <c r="D237" s="33">
        <v>0</v>
      </c>
      <c r="E237" s="36">
        <v>0</v>
      </c>
      <c r="F237" s="37">
        <v>0</v>
      </c>
      <c r="G237">
        <v>0.51243025099999995</v>
      </c>
      <c r="H237">
        <f t="shared" si="33"/>
        <v>1</v>
      </c>
      <c r="I237" s="85">
        <v>0.28538480401039101</v>
      </c>
      <c r="J237">
        <f t="shared" si="34"/>
        <v>0</v>
      </c>
      <c r="K237" s="86">
        <v>0.35048213601112299</v>
      </c>
      <c r="L237">
        <f t="shared" si="35"/>
        <v>0</v>
      </c>
      <c r="M237">
        <v>0.168368265032768</v>
      </c>
      <c r="N237">
        <f t="shared" si="35"/>
        <v>0</v>
      </c>
      <c r="O237">
        <v>0.39391642808914201</v>
      </c>
      <c r="P237">
        <f t="shared" si="35"/>
        <v>0</v>
      </c>
      <c r="Q237">
        <v>0.43698269099999998</v>
      </c>
      <c r="R237">
        <f t="shared" si="35"/>
        <v>0</v>
      </c>
      <c r="S237">
        <v>0.64565241336822499</v>
      </c>
      <c r="T237">
        <f t="shared" si="36"/>
        <v>1</v>
      </c>
      <c r="U237" s="1">
        <v>0.40148869999999998</v>
      </c>
      <c r="V237">
        <v>1</v>
      </c>
      <c r="X237">
        <v>0</v>
      </c>
    </row>
    <row r="238" spans="1:24">
      <c r="A238" s="1">
        <v>0</v>
      </c>
      <c r="B238" s="1" t="s">
        <v>238</v>
      </c>
      <c r="C238" s="1">
        <v>0</v>
      </c>
      <c r="D238" s="33">
        <v>1</v>
      </c>
      <c r="E238" s="37">
        <v>1</v>
      </c>
      <c r="F238" s="37">
        <v>0</v>
      </c>
      <c r="G238">
        <v>0.73273402499999996</v>
      </c>
      <c r="H238">
        <f t="shared" si="33"/>
        <v>1</v>
      </c>
      <c r="I238" s="85">
        <v>0.99351900815963701</v>
      </c>
      <c r="J238">
        <f t="shared" si="34"/>
        <v>1</v>
      </c>
      <c r="K238" s="86">
        <v>0.97246032953262296</v>
      </c>
      <c r="L238">
        <f t="shared" si="35"/>
        <v>1</v>
      </c>
      <c r="M238">
        <v>0.94104892015457198</v>
      </c>
      <c r="N238">
        <f t="shared" si="35"/>
        <v>1</v>
      </c>
      <c r="O238">
        <v>0.82061678171157804</v>
      </c>
      <c r="P238">
        <f t="shared" si="35"/>
        <v>1</v>
      </c>
      <c r="Q238">
        <v>0.80488419499999997</v>
      </c>
      <c r="R238">
        <f t="shared" si="35"/>
        <v>1</v>
      </c>
      <c r="S238">
        <v>0.97550451755523704</v>
      </c>
      <c r="T238">
        <f t="shared" si="36"/>
        <v>1</v>
      </c>
      <c r="U238" s="1">
        <v>0.49126005</v>
      </c>
      <c r="V238">
        <v>1</v>
      </c>
      <c r="X238">
        <v>0</v>
      </c>
    </row>
    <row r="239" spans="1:24">
      <c r="A239" s="1">
        <v>0</v>
      </c>
      <c r="B239" s="7" t="s">
        <v>239</v>
      </c>
      <c r="C239" s="1">
        <v>0</v>
      </c>
      <c r="D239" s="33">
        <v>0</v>
      </c>
      <c r="E239" s="36">
        <v>0</v>
      </c>
      <c r="F239" s="37">
        <v>0</v>
      </c>
      <c r="G239">
        <v>9.4705299000000007E-2</v>
      </c>
      <c r="H239">
        <f t="shared" si="33"/>
        <v>0</v>
      </c>
      <c r="I239" s="85">
        <v>3.7218693178150001E-3</v>
      </c>
      <c r="J239">
        <f t="shared" si="34"/>
        <v>0</v>
      </c>
      <c r="K239" s="86">
        <v>0.209005832672119</v>
      </c>
      <c r="L239">
        <f t="shared" si="35"/>
        <v>0</v>
      </c>
      <c r="M239">
        <v>2.8324892744422001E-2</v>
      </c>
      <c r="N239">
        <f t="shared" si="35"/>
        <v>0</v>
      </c>
      <c r="O239">
        <v>6.7897222936152996E-2</v>
      </c>
      <c r="P239">
        <f t="shared" si="35"/>
        <v>0</v>
      </c>
      <c r="Q239">
        <v>0.28938552699999998</v>
      </c>
      <c r="R239">
        <f t="shared" si="35"/>
        <v>0</v>
      </c>
      <c r="S239">
        <v>8.8621443137529999E-3</v>
      </c>
      <c r="T239">
        <f t="shared" si="36"/>
        <v>0</v>
      </c>
      <c r="U239" s="7">
        <v>1.7760578999999999E-2</v>
      </c>
      <c r="V239">
        <v>0</v>
      </c>
      <c r="X239">
        <v>1</v>
      </c>
    </row>
    <row r="240" spans="1:24">
      <c r="A240" s="1">
        <v>0</v>
      </c>
      <c r="B240" s="1" t="s">
        <v>240</v>
      </c>
      <c r="C240" s="1">
        <v>0</v>
      </c>
      <c r="D240" s="33">
        <v>0</v>
      </c>
      <c r="E240" s="36">
        <v>0</v>
      </c>
      <c r="F240" s="37">
        <v>1</v>
      </c>
      <c r="G240" s="30">
        <v>3.7679244000000001E-2</v>
      </c>
      <c r="H240">
        <f t="shared" si="33"/>
        <v>0</v>
      </c>
      <c r="I240" s="85">
        <v>3.9557813579449403E-5</v>
      </c>
      <c r="J240">
        <f t="shared" si="34"/>
        <v>0</v>
      </c>
      <c r="K240" s="86">
        <v>0.19615638256072901</v>
      </c>
      <c r="L240">
        <f t="shared" si="35"/>
        <v>0</v>
      </c>
      <c r="M240" s="30">
        <v>3.7471167743210001E-3</v>
      </c>
      <c r="N240">
        <f t="shared" si="35"/>
        <v>0</v>
      </c>
      <c r="O240" s="30">
        <v>3.4618448466062997E-2</v>
      </c>
      <c r="P240">
        <f t="shared" si="35"/>
        <v>0</v>
      </c>
      <c r="Q240">
        <v>0.17810469900000001</v>
      </c>
      <c r="R240">
        <f t="shared" si="35"/>
        <v>0</v>
      </c>
      <c r="S240">
        <v>7.8483661636709993E-3</v>
      </c>
      <c r="T240">
        <f t="shared" si="36"/>
        <v>0</v>
      </c>
      <c r="U240" s="1">
        <v>0.13737305</v>
      </c>
      <c r="V240">
        <v>0</v>
      </c>
      <c r="X240">
        <v>0</v>
      </c>
    </row>
    <row r="241" spans="1:24">
      <c r="A241" s="1">
        <v>0</v>
      </c>
      <c r="B241" s="1" t="s">
        <v>241</v>
      </c>
      <c r="C241" s="1">
        <v>0</v>
      </c>
      <c r="D241" s="33">
        <v>0</v>
      </c>
      <c r="E241" s="36">
        <v>0</v>
      </c>
      <c r="F241" s="37">
        <v>0</v>
      </c>
      <c r="G241">
        <v>0.30443731000000002</v>
      </c>
      <c r="H241">
        <f t="shared" si="33"/>
        <v>0</v>
      </c>
      <c r="I241" s="85">
        <v>0.21810056269168801</v>
      </c>
      <c r="J241">
        <f t="shared" si="34"/>
        <v>0</v>
      </c>
      <c r="K241" s="86">
        <v>0.115860268473625</v>
      </c>
      <c r="L241">
        <f t="shared" si="35"/>
        <v>0</v>
      </c>
      <c r="M241">
        <v>0.22138299047946899</v>
      </c>
      <c r="N241">
        <f t="shared" si="35"/>
        <v>0</v>
      </c>
      <c r="O241">
        <v>0.22899539768695801</v>
      </c>
      <c r="P241">
        <f t="shared" si="35"/>
        <v>0</v>
      </c>
      <c r="Q241">
        <v>0.23043048399999999</v>
      </c>
      <c r="R241">
        <f t="shared" si="35"/>
        <v>0</v>
      </c>
      <c r="S241">
        <v>4.2639024555682997E-2</v>
      </c>
      <c r="T241">
        <f t="shared" si="36"/>
        <v>0</v>
      </c>
      <c r="U241" s="1">
        <v>6.5160999999999997E-2</v>
      </c>
      <c r="V241">
        <v>0</v>
      </c>
      <c r="X241">
        <v>0</v>
      </c>
    </row>
    <row r="242" spans="1:24">
      <c r="A242" s="1">
        <v>0</v>
      </c>
      <c r="B242" s="1" t="s">
        <v>242</v>
      </c>
      <c r="C242" s="1">
        <v>0</v>
      </c>
      <c r="D242" s="33">
        <v>0</v>
      </c>
      <c r="E242" s="36">
        <v>0</v>
      </c>
      <c r="F242" s="37">
        <v>0</v>
      </c>
      <c r="G242">
        <v>6.7540973000000004E-2</v>
      </c>
      <c r="H242">
        <f t="shared" si="33"/>
        <v>0</v>
      </c>
      <c r="I242" s="85">
        <v>3.1922663765726597E-5</v>
      </c>
      <c r="J242">
        <f t="shared" si="34"/>
        <v>0</v>
      </c>
      <c r="K242" s="86">
        <v>4.4957373291254002E-2</v>
      </c>
      <c r="L242">
        <f t="shared" si="35"/>
        <v>0</v>
      </c>
      <c r="M242">
        <v>1.4768975786865E-2</v>
      </c>
      <c r="N242">
        <f t="shared" si="35"/>
        <v>0</v>
      </c>
      <c r="O242">
        <v>0.208420410752296</v>
      </c>
      <c r="P242">
        <f t="shared" si="35"/>
        <v>0</v>
      </c>
      <c r="Q242">
        <v>0.28031539900000002</v>
      </c>
      <c r="R242">
        <f t="shared" si="35"/>
        <v>0</v>
      </c>
      <c r="S242">
        <v>2.381190191954E-3</v>
      </c>
      <c r="T242">
        <f t="shared" si="36"/>
        <v>0</v>
      </c>
      <c r="U242" s="1">
        <v>2.6766445E-2</v>
      </c>
      <c r="V242">
        <v>0</v>
      </c>
      <c r="X242">
        <v>0</v>
      </c>
    </row>
    <row r="243" spans="1:24">
      <c r="A243" s="1">
        <v>0</v>
      </c>
      <c r="B243" s="1" t="s">
        <v>243</v>
      </c>
      <c r="C243" s="1">
        <v>0</v>
      </c>
      <c r="D243" s="33">
        <v>0</v>
      </c>
      <c r="E243" s="36">
        <v>0</v>
      </c>
      <c r="F243" s="37">
        <v>0</v>
      </c>
      <c r="G243">
        <v>0.78439432399999998</v>
      </c>
      <c r="H243">
        <f t="shared" si="33"/>
        <v>1</v>
      </c>
      <c r="I243" s="85">
        <v>0.97036552429199197</v>
      </c>
      <c r="J243">
        <f t="shared" si="34"/>
        <v>1</v>
      </c>
      <c r="K243" s="86">
        <v>0.37819489836692799</v>
      </c>
      <c r="L243">
        <f t="shared" si="35"/>
        <v>0</v>
      </c>
      <c r="M243">
        <v>0.74306094646453902</v>
      </c>
      <c r="N243">
        <f t="shared" si="35"/>
        <v>1</v>
      </c>
      <c r="O243">
        <v>0.79193443059921298</v>
      </c>
      <c r="P243">
        <f t="shared" si="35"/>
        <v>1</v>
      </c>
      <c r="Q243">
        <v>0.83503431100000003</v>
      </c>
      <c r="R243">
        <f t="shared" si="35"/>
        <v>1</v>
      </c>
      <c r="S243">
        <v>0.87090742588043202</v>
      </c>
      <c r="T243">
        <f t="shared" si="36"/>
        <v>1</v>
      </c>
      <c r="U243" s="1">
        <v>0.29640889999999998</v>
      </c>
      <c r="V243">
        <v>1</v>
      </c>
      <c r="X243">
        <v>0</v>
      </c>
    </row>
    <row r="244" spans="1:24">
      <c r="A244" s="1">
        <v>0</v>
      </c>
      <c r="B244" s="1" t="s">
        <v>244</v>
      </c>
      <c r="C244" s="1">
        <v>0</v>
      </c>
      <c r="D244" s="33">
        <v>0</v>
      </c>
      <c r="E244" s="36">
        <v>0</v>
      </c>
      <c r="F244" s="37">
        <v>0</v>
      </c>
      <c r="G244" s="30">
        <v>6.2262192000000001E-2</v>
      </c>
      <c r="H244">
        <f t="shared" si="33"/>
        <v>0</v>
      </c>
      <c r="I244" s="85">
        <v>1.7249918309970001E-3</v>
      </c>
      <c r="J244">
        <f t="shared" si="34"/>
        <v>0</v>
      </c>
      <c r="K244" s="86">
        <v>0.46067631244659402</v>
      </c>
      <c r="L244">
        <f t="shared" si="35"/>
        <v>0</v>
      </c>
      <c r="M244">
        <v>2.911195717752E-2</v>
      </c>
      <c r="N244">
        <f t="shared" si="35"/>
        <v>0</v>
      </c>
      <c r="O244">
        <v>0.13705566525459301</v>
      </c>
      <c r="P244">
        <f t="shared" si="35"/>
        <v>0</v>
      </c>
      <c r="Q244">
        <v>0.14965809899999999</v>
      </c>
      <c r="R244">
        <f t="shared" si="35"/>
        <v>0</v>
      </c>
      <c r="S244">
        <v>0.293749779462814</v>
      </c>
      <c r="T244">
        <f t="shared" si="36"/>
        <v>0</v>
      </c>
      <c r="U244" s="1">
        <v>6.6419399999999998E-3</v>
      </c>
      <c r="V244">
        <v>0</v>
      </c>
      <c r="X244">
        <v>0</v>
      </c>
    </row>
    <row r="245" spans="1:24">
      <c r="A245" s="1">
        <v>0</v>
      </c>
      <c r="B245" s="1" t="s">
        <v>245</v>
      </c>
      <c r="C245" s="1">
        <v>0</v>
      </c>
      <c r="D245" s="33">
        <v>0</v>
      </c>
      <c r="E245" s="36">
        <v>0</v>
      </c>
      <c r="F245" s="37">
        <v>0</v>
      </c>
      <c r="G245">
        <v>0.49247649300000002</v>
      </c>
      <c r="H245">
        <f t="shared" si="33"/>
        <v>0</v>
      </c>
      <c r="I245" s="85">
        <v>0.30816978216171298</v>
      </c>
      <c r="J245">
        <f t="shared" si="34"/>
        <v>0</v>
      </c>
      <c r="K245" s="86">
        <v>3.4615054726600598E-2</v>
      </c>
      <c r="L245">
        <f t="shared" si="35"/>
        <v>0</v>
      </c>
      <c r="M245">
        <v>0.13621838390827201</v>
      </c>
      <c r="N245">
        <f t="shared" si="35"/>
        <v>0</v>
      </c>
      <c r="O245">
        <v>0.242513582110405</v>
      </c>
      <c r="P245">
        <f t="shared" si="35"/>
        <v>0</v>
      </c>
      <c r="Q245">
        <v>0.51879620599999998</v>
      </c>
      <c r="R245">
        <f t="shared" si="35"/>
        <v>1</v>
      </c>
      <c r="S245">
        <v>0.29017552733421298</v>
      </c>
      <c r="T245">
        <f t="shared" si="36"/>
        <v>0</v>
      </c>
      <c r="U245" s="1">
        <v>0.217254</v>
      </c>
      <c r="V245">
        <v>1</v>
      </c>
      <c r="X245">
        <v>0</v>
      </c>
    </row>
    <row r="246" spans="1:24">
      <c r="A246" s="1">
        <v>1</v>
      </c>
      <c r="B246" s="1" t="s">
        <v>246</v>
      </c>
      <c r="C246" s="1">
        <v>1</v>
      </c>
      <c r="D246" s="33">
        <v>1</v>
      </c>
      <c r="E246" s="37">
        <v>1</v>
      </c>
      <c r="F246" s="37">
        <v>1</v>
      </c>
      <c r="G246">
        <v>0.30088981999999997</v>
      </c>
      <c r="H246">
        <f t="shared" si="33"/>
        <v>0</v>
      </c>
      <c r="I246" s="85">
        <v>0.15779493749141699</v>
      </c>
      <c r="J246">
        <f t="shared" si="34"/>
        <v>0</v>
      </c>
      <c r="K246" s="86">
        <v>0.87434870004653897</v>
      </c>
      <c r="L246">
        <f t="shared" si="35"/>
        <v>1</v>
      </c>
      <c r="M246">
        <v>0.268163502216339</v>
      </c>
      <c r="N246">
        <f t="shared" si="35"/>
        <v>0</v>
      </c>
      <c r="O246">
        <v>0.50764757394790705</v>
      </c>
      <c r="P246">
        <f t="shared" si="35"/>
        <v>1</v>
      </c>
      <c r="Q246">
        <v>0.68885016399999999</v>
      </c>
      <c r="R246">
        <f t="shared" si="35"/>
        <v>1</v>
      </c>
      <c r="S246">
        <v>0.84479117393493697</v>
      </c>
      <c r="T246">
        <f t="shared" si="36"/>
        <v>1</v>
      </c>
      <c r="U246" s="1">
        <v>0.39747605000000003</v>
      </c>
      <c r="V246">
        <v>1</v>
      </c>
      <c r="X246">
        <v>0</v>
      </c>
    </row>
    <row r="247" spans="1:24">
      <c r="A247" s="1">
        <v>1</v>
      </c>
      <c r="B247" s="1" t="s">
        <v>247</v>
      </c>
      <c r="C247" s="1">
        <v>1</v>
      </c>
      <c r="D247" s="33">
        <v>1</v>
      </c>
      <c r="E247" s="37">
        <v>1</v>
      </c>
      <c r="F247" s="37">
        <v>1</v>
      </c>
      <c r="G247">
        <v>0.89555335000000003</v>
      </c>
      <c r="H247">
        <f t="shared" si="33"/>
        <v>1</v>
      </c>
      <c r="I247" s="85">
        <v>0.78329157829284701</v>
      </c>
      <c r="J247">
        <f t="shared" si="34"/>
        <v>1</v>
      </c>
      <c r="K247" s="86">
        <v>0.52401238679885798</v>
      </c>
      <c r="L247">
        <f t="shared" si="35"/>
        <v>1</v>
      </c>
      <c r="M247" s="30">
        <v>5.1000639796256998E-2</v>
      </c>
      <c r="N247">
        <f t="shared" si="35"/>
        <v>0</v>
      </c>
      <c r="O247">
        <v>0.58711439371108998</v>
      </c>
      <c r="P247">
        <f t="shared" si="35"/>
        <v>1</v>
      </c>
      <c r="Q247">
        <v>0.68275356300000001</v>
      </c>
      <c r="R247">
        <f t="shared" si="35"/>
        <v>1</v>
      </c>
      <c r="S247">
        <v>0.87593299150466897</v>
      </c>
      <c r="T247">
        <f t="shared" si="36"/>
        <v>1</v>
      </c>
      <c r="U247" s="1">
        <v>0.49019316000000002</v>
      </c>
      <c r="V247">
        <v>1</v>
      </c>
      <c r="X247">
        <v>0</v>
      </c>
    </row>
    <row r="248" spans="1:24">
      <c r="A248" s="1">
        <v>1</v>
      </c>
      <c r="B248" s="1" t="s">
        <v>248</v>
      </c>
      <c r="C248" s="1">
        <v>1</v>
      </c>
      <c r="D248" s="33">
        <v>1</v>
      </c>
      <c r="E248" s="37">
        <v>1</v>
      </c>
      <c r="F248" s="37">
        <v>1</v>
      </c>
      <c r="G248">
        <v>0.55141794700000002</v>
      </c>
      <c r="H248">
        <f t="shared" si="33"/>
        <v>1</v>
      </c>
      <c r="I248" s="85">
        <v>0.91100633144378695</v>
      </c>
      <c r="J248">
        <f t="shared" si="34"/>
        <v>1</v>
      </c>
      <c r="K248" s="86">
        <v>0.62312412261962802</v>
      </c>
      <c r="L248">
        <f t="shared" si="35"/>
        <v>1</v>
      </c>
      <c r="M248">
        <v>0.53408652544021595</v>
      </c>
      <c r="N248">
        <f t="shared" si="35"/>
        <v>1</v>
      </c>
      <c r="O248">
        <v>0.38778433203697199</v>
      </c>
      <c r="P248">
        <f t="shared" si="35"/>
        <v>0</v>
      </c>
      <c r="Q248">
        <v>0.58475726800000005</v>
      </c>
      <c r="R248">
        <f t="shared" si="35"/>
        <v>1</v>
      </c>
      <c r="S248">
        <v>0.29292246699333202</v>
      </c>
      <c r="T248">
        <f t="shared" si="36"/>
        <v>0</v>
      </c>
      <c r="U248" s="1">
        <v>0.24924244000000001</v>
      </c>
      <c r="V248">
        <v>1</v>
      </c>
      <c r="X248">
        <v>0</v>
      </c>
    </row>
    <row r="249" spans="1:24">
      <c r="A249" s="1">
        <v>1</v>
      </c>
      <c r="B249" s="1" t="s">
        <v>249</v>
      </c>
      <c r="C249" s="1">
        <v>1</v>
      </c>
      <c r="D249" s="33">
        <v>1</v>
      </c>
      <c r="E249" s="37">
        <v>1</v>
      </c>
      <c r="F249" s="37">
        <v>1</v>
      </c>
      <c r="G249">
        <v>0.876983285</v>
      </c>
      <c r="H249">
        <f t="shared" si="33"/>
        <v>1</v>
      </c>
      <c r="I249" s="85">
        <v>0.99970430135726895</v>
      </c>
      <c r="J249">
        <f t="shared" si="34"/>
        <v>1</v>
      </c>
      <c r="K249" s="86">
        <v>0.80530536174774103</v>
      </c>
      <c r="L249">
        <f t="shared" si="35"/>
        <v>1</v>
      </c>
      <c r="M249">
        <v>0.94049173593521096</v>
      </c>
      <c r="N249">
        <f t="shared" si="35"/>
        <v>1</v>
      </c>
      <c r="O249">
        <v>0.88866007328033503</v>
      </c>
      <c r="P249">
        <f t="shared" si="35"/>
        <v>1</v>
      </c>
      <c r="Q249">
        <v>0.84596025900000005</v>
      </c>
      <c r="R249">
        <f t="shared" si="35"/>
        <v>1</v>
      </c>
      <c r="S249">
        <v>0.99708741903304998</v>
      </c>
      <c r="T249">
        <f t="shared" si="36"/>
        <v>1</v>
      </c>
      <c r="U249" s="1">
        <v>0.39558073999999999</v>
      </c>
      <c r="V249">
        <v>1</v>
      </c>
      <c r="X249">
        <v>0</v>
      </c>
    </row>
    <row r="250" spans="1:24">
      <c r="A250" s="1">
        <v>1</v>
      </c>
      <c r="B250" s="1" t="s">
        <v>250</v>
      </c>
      <c r="C250" s="1">
        <v>1</v>
      </c>
      <c r="D250" s="33">
        <v>0</v>
      </c>
      <c r="E250" s="37">
        <v>1</v>
      </c>
      <c r="F250" s="37">
        <v>0</v>
      </c>
      <c r="G250">
        <v>0.83609551199999999</v>
      </c>
      <c r="H250">
        <f t="shared" si="33"/>
        <v>1</v>
      </c>
      <c r="I250" s="85">
        <v>0.95374858379364003</v>
      </c>
      <c r="J250">
        <f t="shared" si="34"/>
        <v>1</v>
      </c>
      <c r="K250" s="86">
        <v>0.91520130634307795</v>
      </c>
      <c r="L250">
        <f t="shared" si="35"/>
        <v>1</v>
      </c>
      <c r="M250">
        <v>0.99587893486023005</v>
      </c>
      <c r="N250">
        <f t="shared" si="35"/>
        <v>1</v>
      </c>
      <c r="O250">
        <v>0.76669269800186202</v>
      </c>
      <c r="P250">
        <f t="shared" si="35"/>
        <v>1</v>
      </c>
      <c r="Q250">
        <v>0.87895262200000002</v>
      </c>
      <c r="R250">
        <f t="shared" si="35"/>
        <v>1</v>
      </c>
      <c r="S250">
        <v>0.88917297124862704</v>
      </c>
      <c r="T250">
        <f t="shared" si="36"/>
        <v>1</v>
      </c>
      <c r="U250" s="1">
        <v>0.55742340000000001</v>
      </c>
      <c r="V250">
        <v>1</v>
      </c>
      <c r="X250">
        <v>0</v>
      </c>
    </row>
    <row r="251" spans="1:24">
      <c r="A251" s="1">
        <v>1</v>
      </c>
      <c r="B251" s="7" t="s">
        <v>251</v>
      </c>
      <c r="C251" s="1">
        <v>1</v>
      </c>
      <c r="D251" s="33">
        <v>0</v>
      </c>
      <c r="E251" s="37">
        <v>1</v>
      </c>
      <c r="F251" s="37">
        <v>1</v>
      </c>
      <c r="G251">
        <v>0.68777775799999996</v>
      </c>
      <c r="H251">
        <f t="shared" si="33"/>
        <v>1</v>
      </c>
      <c r="I251" s="85">
        <v>0.410601645708084</v>
      </c>
      <c r="J251">
        <f t="shared" si="34"/>
        <v>0</v>
      </c>
      <c r="K251" s="86">
        <v>9.9942507222294807E-3</v>
      </c>
      <c r="L251">
        <f t="shared" si="35"/>
        <v>0</v>
      </c>
      <c r="M251">
        <v>7.7987551689148005E-2</v>
      </c>
      <c r="N251">
        <f t="shared" si="35"/>
        <v>0</v>
      </c>
      <c r="O251">
        <v>0.65074622631072998</v>
      </c>
      <c r="P251">
        <f t="shared" si="35"/>
        <v>1</v>
      </c>
      <c r="Q251">
        <v>0.60867500299999999</v>
      </c>
      <c r="R251">
        <f t="shared" si="35"/>
        <v>1</v>
      </c>
      <c r="S251">
        <v>0.60497868061065696</v>
      </c>
      <c r="T251">
        <f t="shared" si="36"/>
        <v>1</v>
      </c>
      <c r="U251" s="7">
        <v>0.20595162</v>
      </c>
      <c r="V251">
        <v>1</v>
      </c>
      <c r="X251">
        <v>1</v>
      </c>
    </row>
    <row r="252" spans="1:24">
      <c r="A252" s="1">
        <v>1</v>
      </c>
      <c r="B252" s="7" t="s">
        <v>252</v>
      </c>
      <c r="C252" s="1">
        <v>1</v>
      </c>
      <c r="D252" s="33">
        <v>1</v>
      </c>
      <c r="E252" s="37">
        <v>1</v>
      </c>
      <c r="F252" s="37">
        <v>1</v>
      </c>
      <c r="G252">
        <v>0.83820044999999999</v>
      </c>
      <c r="H252">
        <f t="shared" si="33"/>
        <v>1</v>
      </c>
      <c r="I252" s="85">
        <v>0.99971407651901201</v>
      </c>
      <c r="J252">
        <f t="shared" si="34"/>
        <v>1</v>
      </c>
      <c r="K252" s="86">
        <v>0.774231076240539</v>
      </c>
      <c r="L252">
        <f t="shared" si="35"/>
        <v>1</v>
      </c>
      <c r="M252">
        <v>0.99149709939956698</v>
      </c>
      <c r="N252">
        <f t="shared" si="35"/>
        <v>1</v>
      </c>
      <c r="O252">
        <v>0.95745652914047197</v>
      </c>
      <c r="P252">
        <f t="shared" si="35"/>
        <v>1</v>
      </c>
      <c r="Q252">
        <v>0.83900612600000002</v>
      </c>
      <c r="R252">
        <f t="shared" si="35"/>
        <v>1</v>
      </c>
      <c r="S252">
        <v>0.99994242191314697</v>
      </c>
      <c r="T252">
        <f t="shared" si="36"/>
        <v>1</v>
      </c>
      <c r="U252" s="7">
        <v>0.25111620000000001</v>
      </c>
      <c r="V252">
        <v>1</v>
      </c>
      <c r="X252">
        <v>1</v>
      </c>
    </row>
    <row r="253" spans="1:24">
      <c r="A253" s="1">
        <v>1</v>
      </c>
      <c r="B253" s="1" t="s">
        <v>253</v>
      </c>
      <c r="C253" s="1">
        <v>1</v>
      </c>
      <c r="D253" s="33">
        <v>1</v>
      </c>
      <c r="E253" s="37">
        <v>1</v>
      </c>
      <c r="F253" s="37">
        <v>1</v>
      </c>
      <c r="G253">
        <v>0.64175951499999995</v>
      </c>
      <c r="H253">
        <f t="shared" si="33"/>
        <v>1</v>
      </c>
      <c r="I253" s="85">
        <v>0.96274751424789395</v>
      </c>
      <c r="J253">
        <f t="shared" si="34"/>
        <v>1</v>
      </c>
      <c r="K253" s="86">
        <v>0.73073071241378695</v>
      </c>
      <c r="L253">
        <f t="shared" si="35"/>
        <v>1</v>
      </c>
      <c r="M253">
        <v>0.367528736591339</v>
      </c>
      <c r="N253">
        <f t="shared" si="35"/>
        <v>0</v>
      </c>
      <c r="O253">
        <v>0.88252830505371105</v>
      </c>
      <c r="P253">
        <f t="shared" si="35"/>
        <v>1</v>
      </c>
      <c r="Q253">
        <v>0.68307727600000001</v>
      </c>
      <c r="R253">
        <f t="shared" si="35"/>
        <v>1</v>
      </c>
      <c r="S253">
        <v>0.77943873405456499</v>
      </c>
      <c r="T253">
        <f t="shared" si="36"/>
        <v>1</v>
      </c>
      <c r="U253" s="1">
        <v>0.32573128000000001</v>
      </c>
      <c r="V253">
        <v>1</v>
      </c>
      <c r="X253">
        <v>0</v>
      </c>
    </row>
    <row r="254" spans="1:24">
      <c r="A254" s="1">
        <v>1</v>
      </c>
      <c r="B254" s="1" t="s">
        <v>254</v>
      </c>
      <c r="C254" s="1">
        <v>1</v>
      </c>
      <c r="D254" s="33">
        <v>1</v>
      </c>
      <c r="E254" s="37">
        <v>1</v>
      </c>
      <c r="F254" s="37">
        <v>1</v>
      </c>
      <c r="G254">
        <v>0.78930395799999997</v>
      </c>
      <c r="H254">
        <f t="shared" si="33"/>
        <v>1</v>
      </c>
      <c r="I254" s="85">
        <v>0.87827706336975098</v>
      </c>
      <c r="J254">
        <f t="shared" si="34"/>
        <v>1</v>
      </c>
      <c r="K254" s="86">
        <v>0.86303448677062899</v>
      </c>
      <c r="L254">
        <f t="shared" si="35"/>
        <v>1</v>
      </c>
      <c r="M254">
        <v>0.91502004861831698</v>
      </c>
      <c r="N254">
        <f t="shared" si="35"/>
        <v>1</v>
      </c>
      <c r="O254">
        <v>0.59346282482147195</v>
      </c>
      <c r="P254">
        <f t="shared" si="35"/>
        <v>1</v>
      </c>
      <c r="Q254">
        <v>0.59523141400000001</v>
      </c>
      <c r="R254">
        <f t="shared" si="35"/>
        <v>1</v>
      </c>
      <c r="S254">
        <v>0.98290884494781505</v>
      </c>
      <c r="T254">
        <f t="shared" si="36"/>
        <v>1</v>
      </c>
      <c r="U254" s="1">
        <v>0.35967848000000002</v>
      </c>
      <c r="V254">
        <v>1</v>
      </c>
      <c r="X254">
        <v>0</v>
      </c>
    </row>
    <row r="255" spans="1:24">
      <c r="A255" s="1">
        <v>1</v>
      </c>
      <c r="B255" s="1" t="s">
        <v>255</v>
      </c>
      <c r="C255" s="1">
        <v>1</v>
      </c>
      <c r="D255" s="33">
        <v>1</v>
      </c>
      <c r="E255" s="37">
        <v>1</v>
      </c>
      <c r="F255" s="37">
        <v>1</v>
      </c>
      <c r="G255">
        <v>0.59024488900000005</v>
      </c>
      <c r="H255">
        <f t="shared" si="33"/>
        <v>1</v>
      </c>
      <c r="I255" s="85">
        <v>0.84866034984588601</v>
      </c>
      <c r="J255">
        <f t="shared" si="34"/>
        <v>1</v>
      </c>
      <c r="K255" s="86">
        <v>9.5694907009601496E-2</v>
      </c>
      <c r="L255">
        <f t="shared" si="35"/>
        <v>0</v>
      </c>
      <c r="M255">
        <v>0.55654209852218595</v>
      </c>
      <c r="N255">
        <f t="shared" si="35"/>
        <v>1</v>
      </c>
      <c r="O255">
        <v>0.74463367462158203</v>
      </c>
      <c r="P255">
        <f t="shared" si="35"/>
        <v>1</v>
      </c>
      <c r="Q255">
        <v>0.56051236400000004</v>
      </c>
      <c r="R255">
        <f t="shared" si="35"/>
        <v>1</v>
      </c>
      <c r="S255">
        <v>0.94262909889221203</v>
      </c>
      <c r="T255">
        <f t="shared" si="36"/>
        <v>1</v>
      </c>
      <c r="U255" s="1">
        <v>0.23315896</v>
      </c>
      <c r="V255">
        <v>1</v>
      </c>
      <c r="X255">
        <v>0</v>
      </c>
    </row>
    <row r="256" spans="1:24">
      <c r="A256" s="1">
        <v>1</v>
      </c>
      <c r="B256" s="1" t="s">
        <v>256</v>
      </c>
      <c r="C256" s="1">
        <v>1</v>
      </c>
      <c r="D256" s="33">
        <v>1</v>
      </c>
      <c r="E256" s="37">
        <v>1</v>
      </c>
      <c r="F256" s="37">
        <v>1</v>
      </c>
      <c r="G256">
        <v>0.79395544500000004</v>
      </c>
      <c r="H256">
        <f t="shared" si="33"/>
        <v>1</v>
      </c>
      <c r="I256" s="85">
        <v>0.90558046102523804</v>
      </c>
      <c r="J256">
        <f t="shared" si="34"/>
        <v>1</v>
      </c>
      <c r="K256" s="86">
        <v>0.17513792216777799</v>
      </c>
      <c r="L256">
        <f t="shared" si="35"/>
        <v>0</v>
      </c>
      <c r="M256">
        <v>6.3283145427703996E-2</v>
      </c>
      <c r="N256">
        <f t="shared" si="35"/>
        <v>0</v>
      </c>
      <c r="O256">
        <v>0.84966892004013095</v>
      </c>
      <c r="P256">
        <f t="shared" si="35"/>
        <v>1</v>
      </c>
      <c r="Q256">
        <v>0.75061488200000004</v>
      </c>
      <c r="R256">
        <f t="shared" si="35"/>
        <v>1</v>
      </c>
      <c r="S256">
        <v>0.84539043903350797</v>
      </c>
      <c r="T256">
        <f t="shared" si="36"/>
        <v>1</v>
      </c>
      <c r="U256" s="1">
        <v>0.34413319999999997</v>
      </c>
      <c r="V256">
        <v>1</v>
      </c>
      <c r="X256">
        <v>0</v>
      </c>
    </row>
    <row r="257" spans="1:24">
      <c r="A257" s="1">
        <v>1</v>
      </c>
      <c r="B257" s="1" t="s">
        <v>257</v>
      </c>
      <c r="C257" s="1">
        <v>1</v>
      </c>
      <c r="D257" s="33">
        <v>0</v>
      </c>
      <c r="E257" s="36">
        <v>1</v>
      </c>
      <c r="F257" s="37">
        <v>1</v>
      </c>
      <c r="G257">
        <v>0.72718673899999997</v>
      </c>
      <c r="H257">
        <f t="shared" si="33"/>
        <v>1</v>
      </c>
      <c r="I257" s="85">
        <v>0.74050420522689797</v>
      </c>
      <c r="J257">
        <f t="shared" si="34"/>
        <v>1</v>
      </c>
      <c r="K257" s="86">
        <v>0.54219621419906605</v>
      </c>
      <c r="L257">
        <f t="shared" si="35"/>
        <v>1</v>
      </c>
      <c r="M257">
        <v>0.60890477895736705</v>
      </c>
      <c r="N257">
        <f t="shared" si="35"/>
        <v>1</v>
      </c>
      <c r="O257">
        <v>0.62109220027923595</v>
      </c>
      <c r="P257">
        <f t="shared" si="35"/>
        <v>1</v>
      </c>
      <c r="Q257">
        <v>0.66422116799999997</v>
      </c>
      <c r="R257">
        <f t="shared" si="35"/>
        <v>1</v>
      </c>
      <c r="S257">
        <v>0.911446213722229</v>
      </c>
      <c r="T257">
        <f t="shared" si="36"/>
        <v>1</v>
      </c>
      <c r="U257" s="1">
        <v>0.2557895</v>
      </c>
      <c r="V257">
        <v>1</v>
      </c>
      <c r="X257">
        <v>0</v>
      </c>
    </row>
    <row r="258" spans="1:24">
      <c r="A258" s="1">
        <v>1</v>
      </c>
      <c r="B258" s="1" t="s">
        <v>258</v>
      </c>
      <c r="C258" s="1">
        <v>1</v>
      </c>
      <c r="D258" s="33">
        <v>1</v>
      </c>
      <c r="E258" s="37">
        <v>1</v>
      </c>
      <c r="F258" s="37">
        <v>1</v>
      </c>
      <c r="G258">
        <v>0.40137064500000003</v>
      </c>
      <c r="H258">
        <f t="shared" si="33"/>
        <v>0</v>
      </c>
      <c r="I258" s="85">
        <v>0.99430930614471402</v>
      </c>
      <c r="J258">
        <f t="shared" si="34"/>
        <v>1</v>
      </c>
      <c r="K258" s="86">
        <v>0.73607206344604403</v>
      </c>
      <c r="L258">
        <f t="shared" si="35"/>
        <v>1</v>
      </c>
      <c r="M258">
        <v>0.86693072319030795</v>
      </c>
      <c r="N258">
        <f t="shared" si="35"/>
        <v>1</v>
      </c>
      <c r="O258">
        <v>0.93365812301635698</v>
      </c>
      <c r="P258">
        <f t="shared" si="35"/>
        <v>1</v>
      </c>
      <c r="Q258">
        <v>0.87540036399999999</v>
      </c>
      <c r="R258">
        <f t="shared" si="35"/>
        <v>1</v>
      </c>
      <c r="S258">
        <v>0.99271166324615501</v>
      </c>
      <c r="T258">
        <f t="shared" si="36"/>
        <v>1</v>
      </c>
      <c r="U258" s="1">
        <v>0.49318521999999998</v>
      </c>
      <c r="V258">
        <v>1</v>
      </c>
      <c r="X258">
        <v>0</v>
      </c>
    </row>
    <row r="259" spans="1:24">
      <c r="A259" s="1">
        <v>1</v>
      </c>
      <c r="B259" s="1" t="s">
        <v>259</v>
      </c>
      <c r="C259" s="1">
        <v>1</v>
      </c>
      <c r="D259" s="33">
        <v>1</v>
      </c>
      <c r="E259" s="37">
        <v>1</v>
      </c>
      <c r="F259" s="37">
        <v>1</v>
      </c>
      <c r="G259">
        <v>0.62388074400000004</v>
      </c>
      <c r="H259">
        <f t="shared" si="33"/>
        <v>1</v>
      </c>
      <c r="I259" s="85">
        <v>0.98926079273223899</v>
      </c>
      <c r="J259">
        <f t="shared" si="34"/>
        <v>1</v>
      </c>
      <c r="K259" s="86">
        <v>0.67006194591522195</v>
      </c>
      <c r="L259">
        <f t="shared" si="35"/>
        <v>1</v>
      </c>
      <c r="M259">
        <v>0.24268098175525701</v>
      </c>
      <c r="N259">
        <f t="shared" si="35"/>
        <v>0</v>
      </c>
      <c r="O259">
        <v>0.684620201587677</v>
      </c>
      <c r="P259">
        <f t="shared" si="35"/>
        <v>1</v>
      </c>
      <c r="Q259">
        <v>0.821533442</v>
      </c>
      <c r="R259">
        <f t="shared" si="35"/>
        <v>1</v>
      </c>
      <c r="S259">
        <v>0.38437458872795099</v>
      </c>
      <c r="T259">
        <f t="shared" si="36"/>
        <v>0</v>
      </c>
      <c r="U259" s="1">
        <v>0.38513481999999999</v>
      </c>
      <c r="V259">
        <v>1</v>
      </c>
      <c r="X259">
        <v>0</v>
      </c>
    </row>
    <row r="260" spans="1:24">
      <c r="A260" s="1">
        <v>1</v>
      </c>
      <c r="B260" s="1" t="s">
        <v>260</v>
      </c>
      <c r="C260" s="1">
        <v>1</v>
      </c>
      <c r="D260" s="33">
        <v>1</v>
      </c>
      <c r="E260" s="37">
        <v>1</v>
      </c>
      <c r="F260" s="37">
        <v>0</v>
      </c>
      <c r="G260">
        <v>0.43984869100000001</v>
      </c>
      <c r="H260">
        <f t="shared" si="33"/>
        <v>0</v>
      </c>
      <c r="I260" s="85">
        <v>0.77998161315918002</v>
      </c>
      <c r="J260">
        <f t="shared" si="34"/>
        <v>1</v>
      </c>
      <c r="K260" s="86">
        <v>0.224481880664825</v>
      </c>
      <c r="L260">
        <f t="shared" si="35"/>
        <v>0</v>
      </c>
      <c r="M260">
        <v>4.4616017490625E-2</v>
      </c>
      <c r="N260">
        <f t="shared" si="35"/>
        <v>0</v>
      </c>
      <c r="O260">
        <v>0.61532926559448198</v>
      </c>
      <c r="P260">
        <f t="shared" si="35"/>
        <v>1</v>
      </c>
      <c r="Q260">
        <v>0.64837247099999995</v>
      </c>
      <c r="R260">
        <f t="shared" si="35"/>
        <v>1</v>
      </c>
      <c r="S260">
        <v>0.594518482685089</v>
      </c>
      <c r="T260">
        <f t="shared" si="36"/>
        <v>1</v>
      </c>
      <c r="U260" s="1">
        <v>0.17773472000000001</v>
      </c>
      <c r="V260">
        <v>1</v>
      </c>
      <c r="X260">
        <v>0</v>
      </c>
    </row>
    <row r="261" spans="1:24">
      <c r="A261" s="1">
        <v>1</v>
      </c>
      <c r="B261" s="1" t="s">
        <v>261</v>
      </c>
      <c r="C261" s="1">
        <v>1</v>
      </c>
      <c r="D261" s="33">
        <v>1</v>
      </c>
      <c r="E261" s="37">
        <v>1</v>
      </c>
      <c r="F261" s="37">
        <v>1</v>
      </c>
      <c r="G261">
        <v>0.55897086900000004</v>
      </c>
      <c r="H261">
        <f t="shared" si="33"/>
        <v>1</v>
      </c>
      <c r="I261" s="85">
        <v>0.89591902494430498</v>
      </c>
      <c r="J261">
        <f t="shared" si="34"/>
        <v>1</v>
      </c>
      <c r="K261" s="86">
        <v>0.52604281902313199</v>
      </c>
      <c r="L261">
        <f t="shared" si="35"/>
        <v>1</v>
      </c>
      <c r="M261">
        <v>0.10182064026594199</v>
      </c>
      <c r="N261">
        <f t="shared" si="35"/>
        <v>0</v>
      </c>
      <c r="O261">
        <v>0.55106550455093395</v>
      </c>
      <c r="P261">
        <f t="shared" si="35"/>
        <v>1</v>
      </c>
      <c r="Q261">
        <v>0.254966319</v>
      </c>
      <c r="R261">
        <f t="shared" si="35"/>
        <v>0</v>
      </c>
      <c r="S261">
        <v>0.51128292083740201</v>
      </c>
      <c r="T261">
        <f t="shared" si="36"/>
        <v>1</v>
      </c>
      <c r="U261" s="1">
        <v>0.45074636000000001</v>
      </c>
      <c r="V261">
        <v>1</v>
      </c>
      <c r="X261">
        <v>0</v>
      </c>
    </row>
    <row r="262" spans="1:24">
      <c r="A262" s="1">
        <v>1</v>
      </c>
      <c r="B262" s="1" t="s">
        <v>262</v>
      </c>
      <c r="C262" s="1">
        <v>1</v>
      </c>
      <c r="D262" s="33">
        <v>1</v>
      </c>
      <c r="E262" s="37">
        <v>1</v>
      </c>
      <c r="F262" s="37">
        <v>1</v>
      </c>
      <c r="G262">
        <v>0.49473792300000002</v>
      </c>
      <c r="H262">
        <f t="shared" si="33"/>
        <v>0</v>
      </c>
      <c r="I262" s="85">
        <v>0.95705217123031605</v>
      </c>
      <c r="J262">
        <f t="shared" si="34"/>
        <v>1</v>
      </c>
      <c r="K262" s="86">
        <v>7.74081200361251E-2</v>
      </c>
      <c r="L262">
        <f t="shared" si="35"/>
        <v>0</v>
      </c>
      <c r="M262">
        <v>1.3368581421673E-2</v>
      </c>
      <c r="N262">
        <f t="shared" si="35"/>
        <v>0</v>
      </c>
      <c r="O262">
        <v>0.550592541694641</v>
      </c>
      <c r="P262">
        <f t="shared" si="35"/>
        <v>1</v>
      </c>
      <c r="Q262">
        <v>0.42029744400000002</v>
      </c>
      <c r="R262">
        <f t="shared" si="35"/>
        <v>0</v>
      </c>
      <c r="S262">
        <v>0.39704459905624401</v>
      </c>
      <c r="T262">
        <f t="shared" si="36"/>
        <v>0</v>
      </c>
      <c r="U262" s="1">
        <v>9.5906989999999998E-2</v>
      </c>
      <c r="V262">
        <v>0</v>
      </c>
      <c r="X262">
        <v>0</v>
      </c>
    </row>
    <row r="263" spans="1:24">
      <c r="A263" s="1">
        <v>1</v>
      </c>
      <c r="B263" s="1" t="s">
        <v>263</v>
      </c>
      <c r="C263" s="1">
        <v>1</v>
      </c>
      <c r="D263" s="33">
        <v>1</v>
      </c>
      <c r="E263" s="36">
        <v>1</v>
      </c>
      <c r="F263" s="37">
        <v>1</v>
      </c>
      <c r="G263">
        <v>0.91393923799999999</v>
      </c>
      <c r="H263">
        <f t="shared" si="33"/>
        <v>1</v>
      </c>
      <c r="I263" s="85">
        <v>0.99783521890640303</v>
      </c>
      <c r="J263">
        <f t="shared" si="34"/>
        <v>1</v>
      </c>
      <c r="K263" s="86">
        <v>0.78887563943862904</v>
      </c>
      <c r="L263">
        <f t="shared" si="35"/>
        <v>1</v>
      </c>
      <c r="M263">
        <v>0.72918051481247004</v>
      </c>
      <c r="N263">
        <f t="shared" si="35"/>
        <v>1</v>
      </c>
      <c r="O263">
        <v>0.93151909112930298</v>
      </c>
      <c r="P263">
        <f t="shared" si="35"/>
        <v>1</v>
      </c>
      <c r="Q263">
        <v>0.85925602899999998</v>
      </c>
      <c r="R263">
        <f t="shared" si="35"/>
        <v>1</v>
      </c>
      <c r="S263">
        <v>0.99126595258712802</v>
      </c>
      <c r="T263">
        <f t="shared" si="36"/>
        <v>1</v>
      </c>
      <c r="U263" s="1">
        <v>0.31122544000000002</v>
      </c>
      <c r="V263">
        <v>1</v>
      </c>
      <c r="X263">
        <v>0</v>
      </c>
    </row>
    <row r="264" spans="1:24">
      <c r="A264" s="1">
        <v>1</v>
      </c>
      <c r="B264" s="1" t="s">
        <v>264</v>
      </c>
      <c r="C264" s="1">
        <v>1</v>
      </c>
      <c r="D264" s="33">
        <v>1</v>
      </c>
      <c r="E264" s="37">
        <v>1</v>
      </c>
      <c r="F264" s="37">
        <v>1</v>
      </c>
      <c r="G264">
        <v>0.90156656499999999</v>
      </c>
      <c r="H264">
        <f t="shared" si="33"/>
        <v>1</v>
      </c>
      <c r="I264" s="85">
        <v>0.999974966049194</v>
      </c>
      <c r="J264">
        <f t="shared" si="34"/>
        <v>1</v>
      </c>
      <c r="K264" s="86">
        <v>0.97532492876052801</v>
      </c>
      <c r="L264">
        <f t="shared" si="35"/>
        <v>1</v>
      </c>
      <c r="M264">
        <v>0.88854748010635398</v>
      </c>
      <c r="N264">
        <f t="shared" si="35"/>
        <v>1</v>
      </c>
      <c r="O264">
        <v>0.93244415521621704</v>
      </c>
      <c r="P264">
        <f t="shared" si="35"/>
        <v>1</v>
      </c>
      <c r="Q264">
        <v>0.79776692400000004</v>
      </c>
      <c r="R264">
        <f t="shared" si="35"/>
        <v>1</v>
      </c>
      <c r="S264">
        <v>0.999814212322235</v>
      </c>
      <c r="T264">
        <f t="shared" si="36"/>
        <v>1</v>
      </c>
      <c r="U264" s="1">
        <v>0.5710809</v>
      </c>
      <c r="V264">
        <v>1</v>
      </c>
      <c r="X264">
        <v>0</v>
      </c>
    </row>
    <row r="265" spans="1:24">
      <c r="A265" s="1">
        <v>1</v>
      </c>
      <c r="B265" s="1" t="s">
        <v>265</v>
      </c>
      <c r="C265" s="1">
        <v>1</v>
      </c>
      <c r="D265" s="33">
        <v>1</v>
      </c>
      <c r="E265" s="37">
        <v>1</v>
      </c>
      <c r="F265" s="37">
        <v>1</v>
      </c>
      <c r="G265">
        <v>0.92018479099999995</v>
      </c>
      <c r="H265">
        <f t="shared" si="33"/>
        <v>1</v>
      </c>
      <c r="I265" s="85">
        <v>0.99996757507324197</v>
      </c>
      <c r="J265">
        <f t="shared" si="34"/>
        <v>1</v>
      </c>
      <c r="K265" s="86">
        <v>0.93840557336807195</v>
      </c>
      <c r="L265">
        <f t="shared" si="35"/>
        <v>1</v>
      </c>
      <c r="M265">
        <v>0.956259965896606</v>
      </c>
      <c r="N265">
        <f t="shared" si="35"/>
        <v>1</v>
      </c>
      <c r="O265">
        <v>0.94165414571762096</v>
      </c>
      <c r="P265">
        <f t="shared" si="35"/>
        <v>1</v>
      </c>
      <c r="Q265">
        <v>0.77957344100000003</v>
      </c>
      <c r="R265">
        <f t="shared" si="35"/>
        <v>1</v>
      </c>
      <c r="S265">
        <v>0.98177778720855702</v>
      </c>
      <c r="T265">
        <f t="shared" si="36"/>
        <v>1</v>
      </c>
      <c r="U265" s="1">
        <v>0.38989912999999998</v>
      </c>
      <c r="V265">
        <v>1</v>
      </c>
      <c r="X265">
        <v>0</v>
      </c>
    </row>
    <row r="266" spans="1:24">
      <c r="A266" s="1">
        <v>1</v>
      </c>
      <c r="B266" s="1" t="s">
        <v>266</v>
      </c>
      <c r="C266" s="1">
        <v>1</v>
      </c>
      <c r="D266" s="33">
        <v>1</v>
      </c>
      <c r="E266" s="36">
        <v>0</v>
      </c>
      <c r="F266" s="37">
        <v>1</v>
      </c>
      <c r="G266">
        <v>0.47377407599999999</v>
      </c>
      <c r="H266">
        <f t="shared" si="33"/>
        <v>0</v>
      </c>
      <c r="I266" s="85">
        <v>0.97566676139831499</v>
      </c>
      <c r="J266">
        <f t="shared" si="34"/>
        <v>1</v>
      </c>
      <c r="K266" s="86">
        <v>0.90370231866836503</v>
      </c>
      <c r="L266">
        <f t="shared" si="35"/>
        <v>1</v>
      </c>
      <c r="M266">
        <v>0.92971062660217296</v>
      </c>
      <c r="N266">
        <f t="shared" si="35"/>
        <v>1</v>
      </c>
      <c r="O266">
        <v>0.89547574520111095</v>
      </c>
      <c r="P266">
        <f t="shared" si="35"/>
        <v>1</v>
      </c>
      <c r="Q266">
        <v>0.74285441600000002</v>
      </c>
      <c r="R266">
        <f t="shared" si="35"/>
        <v>1</v>
      </c>
      <c r="S266">
        <v>0.96454298496246305</v>
      </c>
      <c r="T266">
        <f t="shared" si="36"/>
        <v>1</v>
      </c>
      <c r="U266" s="1">
        <v>0.31774762000000001</v>
      </c>
      <c r="V266">
        <v>1</v>
      </c>
      <c r="X266">
        <v>0</v>
      </c>
    </row>
    <row r="267" spans="1:24">
      <c r="A267" s="1">
        <v>1</v>
      </c>
      <c r="B267" s="1" t="s">
        <v>267</v>
      </c>
      <c r="C267" s="1">
        <v>1</v>
      </c>
      <c r="D267" s="33">
        <v>1</v>
      </c>
      <c r="E267" s="36">
        <v>1</v>
      </c>
      <c r="F267" s="37">
        <v>1</v>
      </c>
      <c r="G267">
        <v>0.69744247199999998</v>
      </c>
      <c r="H267">
        <f t="shared" si="33"/>
        <v>1</v>
      </c>
      <c r="I267" s="85">
        <v>0.102227732539177</v>
      </c>
      <c r="J267">
        <f t="shared" si="34"/>
        <v>0</v>
      </c>
      <c r="K267" s="86">
        <v>0.95784997940063399</v>
      </c>
      <c r="L267">
        <f t="shared" si="35"/>
        <v>1</v>
      </c>
      <c r="M267">
        <v>0.67278283834457397</v>
      </c>
      <c r="N267">
        <f t="shared" si="35"/>
        <v>1</v>
      </c>
      <c r="O267">
        <v>0.53380912542343095</v>
      </c>
      <c r="P267">
        <f t="shared" si="35"/>
        <v>1</v>
      </c>
      <c r="Q267">
        <v>0.74400633599999999</v>
      </c>
      <c r="R267">
        <f t="shared" si="35"/>
        <v>1</v>
      </c>
      <c r="S267">
        <v>0.93237221240997303</v>
      </c>
      <c r="T267">
        <f t="shared" si="36"/>
        <v>1</v>
      </c>
      <c r="U267" s="1">
        <v>0.54736240000000003</v>
      </c>
      <c r="V267">
        <v>1</v>
      </c>
      <c r="X267">
        <v>0</v>
      </c>
    </row>
    <row r="268" spans="1:24">
      <c r="A268" s="1">
        <v>1</v>
      </c>
      <c r="B268" s="1" t="s">
        <v>268</v>
      </c>
      <c r="C268" s="1">
        <v>1</v>
      </c>
      <c r="D268" s="33">
        <v>1</v>
      </c>
      <c r="E268" s="37">
        <v>1</v>
      </c>
      <c r="F268" s="37">
        <v>1</v>
      </c>
      <c r="G268">
        <v>0.96394211100000005</v>
      </c>
      <c r="H268">
        <f t="shared" si="33"/>
        <v>1</v>
      </c>
      <c r="I268" s="85">
        <v>0.996151983737946</v>
      </c>
      <c r="J268">
        <f t="shared" si="34"/>
        <v>1</v>
      </c>
      <c r="K268" s="86">
        <v>0.61855351924896196</v>
      </c>
      <c r="L268">
        <f t="shared" si="35"/>
        <v>1</v>
      </c>
      <c r="M268">
        <v>0.98458671569824197</v>
      </c>
      <c r="N268">
        <f t="shared" si="35"/>
        <v>1</v>
      </c>
      <c r="O268">
        <v>0.92069512605667103</v>
      </c>
      <c r="P268">
        <f t="shared" si="35"/>
        <v>1</v>
      </c>
      <c r="Q268">
        <v>0.83989614199999996</v>
      </c>
      <c r="R268">
        <f t="shared" si="35"/>
        <v>1</v>
      </c>
      <c r="S268">
        <v>0.99986457824706998</v>
      </c>
      <c r="T268">
        <f t="shared" si="36"/>
        <v>1</v>
      </c>
      <c r="U268" s="1">
        <v>0.41230630000000001</v>
      </c>
      <c r="V268">
        <v>1</v>
      </c>
      <c r="X268">
        <v>0</v>
      </c>
    </row>
    <row r="269" spans="1:24">
      <c r="A269" s="1">
        <v>1</v>
      </c>
      <c r="B269" s="1" t="s">
        <v>269</v>
      </c>
      <c r="C269" s="1">
        <v>1</v>
      </c>
      <c r="D269" s="33">
        <v>0</v>
      </c>
      <c r="E269" s="37">
        <v>1</v>
      </c>
      <c r="F269" s="37">
        <v>1</v>
      </c>
      <c r="G269">
        <v>0.50616472999999995</v>
      </c>
      <c r="H269">
        <f t="shared" si="33"/>
        <v>1</v>
      </c>
      <c r="I269" s="85">
        <v>0.87642377614974998</v>
      </c>
      <c r="J269">
        <f t="shared" si="34"/>
        <v>1</v>
      </c>
      <c r="K269" s="86">
        <v>4.8771720379590898E-2</v>
      </c>
      <c r="L269">
        <f t="shared" si="35"/>
        <v>0</v>
      </c>
      <c r="M269">
        <v>0.53608614206314098</v>
      </c>
      <c r="N269">
        <f t="shared" si="35"/>
        <v>1</v>
      </c>
      <c r="O269">
        <v>0.92124873399734497</v>
      </c>
      <c r="P269">
        <f t="shared" si="35"/>
        <v>1</v>
      </c>
      <c r="Q269">
        <v>0.74819046300000003</v>
      </c>
      <c r="R269">
        <f t="shared" si="35"/>
        <v>1</v>
      </c>
      <c r="S269">
        <v>0.91773366928100597</v>
      </c>
      <c r="T269">
        <f t="shared" si="36"/>
        <v>1</v>
      </c>
      <c r="U269" s="1">
        <v>0.42449071999999999</v>
      </c>
      <c r="V269">
        <v>1</v>
      </c>
      <c r="X269">
        <v>0</v>
      </c>
    </row>
    <row r="270" spans="1:24">
      <c r="A270" s="1">
        <v>1</v>
      </c>
      <c r="B270" s="1" t="s">
        <v>270</v>
      </c>
      <c r="C270" s="1">
        <v>1</v>
      </c>
      <c r="D270" s="33">
        <v>1</v>
      </c>
      <c r="E270" s="37">
        <v>1</v>
      </c>
      <c r="F270" s="37">
        <v>1</v>
      </c>
      <c r="G270">
        <v>0.91031110299999995</v>
      </c>
      <c r="H270">
        <f t="shared" si="33"/>
        <v>1</v>
      </c>
      <c r="I270" s="85">
        <v>0.99978691339492798</v>
      </c>
      <c r="J270">
        <f t="shared" si="34"/>
        <v>1</v>
      </c>
      <c r="K270" s="86">
        <v>0.89850759506225497</v>
      </c>
      <c r="L270">
        <f t="shared" si="35"/>
        <v>1</v>
      </c>
      <c r="M270">
        <v>0.932916700839996</v>
      </c>
      <c r="N270">
        <f t="shared" si="35"/>
        <v>1</v>
      </c>
      <c r="O270">
        <v>0.90158528089523304</v>
      </c>
      <c r="P270">
        <f t="shared" si="35"/>
        <v>1</v>
      </c>
      <c r="Q270">
        <v>0.81755799100000004</v>
      </c>
      <c r="R270">
        <f t="shared" si="35"/>
        <v>1</v>
      </c>
      <c r="S270">
        <v>0.997963547706604</v>
      </c>
      <c r="T270">
        <f t="shared" si="36"/>
        <v>1</v>
      </c>
      <c r="U270" s="1">
        <v>0.55004969999999997</v>
      </c>
      <c r="V270">
        <v>1</v>
      </c>
      <c r="X270">
        <v>0</v>
      </c>
    </row>
    <row r="271" spans="1:24">
      <c r="A271" s="1">
        <v>1</v>
      </c>
      <c r="B271" s="1" t="s">
        <v>271</v>
      </c>
      <c r="C271" s="1">
        <v>1</v>
      </c>
      <c r="D271" s="33">
        <v>1</v>
      </c>
      <c r="E271" s="37">
        <v>1</v>
      </c>
      <c r="F271" s="37">
        <v>1</v>
      </c>
      <c r="G271">
        <v>0.88588595400000003</v>
      </c>
      <c r="H271">
        <f t="shared" si="33"/>
        <v>1</v>
      </c>
      <c r="I271" s="85">
        <v>0.99973458051681496</v>
      </c>
      <c r="J271">
        <f t="shared" si="34"/>
        <v>1</v>
      </c>
      <c r="K271" s="86">
        <v>0.94497060775756803</v>
      </c>
      <c r="L271">
        <f t="shared" si="35"/>
        <v>1</v>
      </c>
      <c r="M271">
        <v>0.89630371332168601</v>
      </c>
      <c r="N271">
        <f t="shared" si="35"/>
        <v>1</v>
      </c>
      <c r="O271">
        <v>0.82101756334304798</v>
      </c>
      <c r="P271">
        <f t="shared" si="35"/>
        <v>1</v>
      </c>
      <c r="Q271">
        <v>0.68922412399999999</v>
      </c>
      <c r="R271">
        <f t="shared" si="35"/>
        <v>1</v>
      </c>
      <c r="S271">
        <v>0.99605005979537897</v>
      </c>
      <c r="T271">
        <f t="shared" si="36"/>
        <v>1</v>
      </c>
      <c r="U271" s="1">
        <v>0.50130445000000001</v>
      </c>
      <c r="V271">
        <v>1</v>
      </c>
      <c r="X271">
        <v>0</v>
      </c>
    </row>
    <row r="272" spans="1:24">
      <c r="A272" s="1">
        <v>1</v>
      </c>
      <c r="B272" s="1" t="s">
        <v>272</v>
      </c>
      <c r="C272" s="1">
        <v>1</v>
      </c>
      <c r="D272" s="33">
        <v>0</v>
      </c>
      <c r="E272" s="37">
        <v>1</v>
      </c>
      <c r="F272" s="37">
        <v>1</v>
      </c>
      <c r="G272">
        <v>0.39026659699999999</v>
      </c>
      <c r="H272">
        <f t="shared" si="33"/>
        <v>0</v>
      </c>
      <c r="I272" s="85">
        <v>2.5173921138047999E-2</v>
      </c>
      <c r="J272">
        <f t="shared" si="34"/>
        <v>0</v>
      </c>
      <c r="K272" s="86">
        <v>9.7445502877235399E-2</v>
      </c>
      <c r="L272">
        <f t="shared" si="35"/>
        <v>0</v>
      </c>
      <c r="M272">
        <v>5.8088205754756997E-2</v>
      </c>
      <c r="N272">
        <f t="shared" si="35"/>
        <v>0</v>
      </c>
      <c r="O272">
        <v>0.43015202879905701</v>
      </c>
      <c r="P272">
        <f t="shared" si="35"/>
        <v>0</v>
      </c>
      <c r="Q272">
        <v>0.54129308499999995</v>
      </c>
      <c r="R272">
        <f t="shared" si="35"/>
        <v>1</v>
      </c>
      <c r="S272">
        <v>0.18397574126720401</v>
      </c>
      <c r="T272">
        <f t="shared" si="36"/>
        <v>0</v>
      </c>
      <c r="U272" s="1">
        <v>0.34313487999999998</v>
      </c>
      <c r="V272">
        <v>1</v>
      </c>
      <c r="X272">
        <v>0</v>
      </c>
    </row>
    <row r="273" spans="1:24">
      <c r="A273" s="1">
        <v>1</v>
      </c>
      <c r="B273" s="1" t="s">
        <v>273</v>
      </c>
      <c r="C273" s="1">
        <v>1</v>
      </c>
      <c r="D273" s="33">
        <v>1</v>
      </c>
      <c r="E273" s="37">
        <v>1</v>
      </c>
      <c r="F273" s="37">
        <v>1</v>
      </c>
      <c r="G273">
        <v>0.87173050600000002</v>
      </c>
      <c r="H273">
        <f t="shared" si="33"/>
        <v>1</v>
      </c>
      <c r="I273" s="85">
        <v>0.99995720386505105</v>
      </c>
      <c r="J273">
        <f t="shared" si="34"/>
        <v>1</v>
      </c>
      <c r="K273" s="86">
        <v>0.94255089759826605</v>
      </c>
      <c r="L273">
        <f t="shared" si="35"/>
        <v>1</v>
      </c>
      <c r="M273">
        <v>0.98137164115905795</v>
      </c>
      <c r="N273">
        <f t="shared" si="35"/>
        <v>1</v>
      </c>
      <c r="O273">
        <v>0.92501187324523904</v>
      </c>
      <c r="P273">
        <f t="shared" si="35"/>
        <v>1</v>
      </c>
      <c r="Q273">
        <v>0.66767668700000005</v>
      </c>
      <c r="R273">
        <f t="shared" si="35"/>
        <v>1</v>
      </c>
      <c r="S273">
        <v>0.999991774559021</v>
      </c>
      <c r="T273">
        <f t="shared" si="36"/>
        <v>1</v>
      </c>
      <c r="U273" s="1">
        <v>0.30539063</v>
      </c>
      <c r="V273">
        <v>1</v>
      </c>
      <c r="X273">
        <v>0</v>
      </c>
    </row>
    <row r="274" spans="1:24">
      <c r="A274" s="1">
        <v>1</v>
      </c>
      <c r="B274" s="1" t="s">
        <v>274</v>
      </c>
      <c r="C274" s="1">
        <v>1</v>
      </c>
      <c r="D274" s="33">
        <v>1</v>
      </c>
      <c r="E274" s="37">
        <v>1</v>
      </c>
      <c r="F274" s="37">
        <v>1</v>
      </c>
      <c r="G274">
        <v>0.50279796099999996</v>
      </c>
      <c r="H274">
        <f t="shared" si="33"/>
        <v>1</v>
      </c>
      <c r="I274" s="85">
        <v>0.99989819526672397</v>
      </c>
      <c r="J274">
        <f t="shared" si="34"/>
        <v>1</v>
      </c>
      <c r="K274" s="86">
        <v>0.829864561557769</v>
      </c>
      <c r="L274">
        <f t="shared" si="35"/>
        <v>1</v>
      </c>
      <c r="M274">
        <v>0.96456092596054099</v>
      </c>
      <c r="N274">
        <f t="shared" si="35"/>
        <v>1</v>
      </c>
      <c r="O274">
        <v>0.938948154449463</v>
      </c>
      <c r="P274">
        <f t="shared" si="35"/>
        <v>1</v>
      </c>
      <c r="Q274">
        <v>0.58698642300000003</v>
      </c>
      <c r="R274">
        <f t="shared" si="35"/>
        <v>1</v>
      </c>
      <c r="S274">
        <v>0.99481910467147805</v>
      </c>
      <c r="T274">
        <f t="shared" si="36"/>
        <v>1</v>
      </c>
      <c r="U274" s="1">
        <v>0.19408703999999999</v>
      </c>
      <c r="V274">
        <v>1</v>
      </c>
      <c r="X274">
        <v>0</v>
      </c>
    </row>
    <row r="275" spans="1:24">
      <c r="A275" s="1">
        <v>1</v>
      </c>
      <c r="B275" s="7" t="s">
        <v>275</v>
      </c>
      <c r="C275" s="1">
        <v>1</v>
      </c>
      <c r="D275" s="33">
        <v>1</v>
      </c>
      <c r="E275" s="36">
        <v>0</v>
      </c>
      <c r="F275" s="37">
        <v>1</v>
      </c>
      <c r="G275">
        <v>0.57230108999999996</v>
      </c>
      <c r="H275">
        <f t="shared" si="33"/>
        <v>1</v>
      </c>
      <c r="I275" s="85">
        <v>0.164387837052345</v>
      </c>
      <c r="J275">
        <f t="shared" si="34"/>
        <v>0</v>
      </c>
      <c r="K275" s="86">
        <v>6.2024813145399003E-2</v>
      </c>
      <c r="L275">
        <f t="shared" si="35"/>
        <v>0</v>
      </c>
      <c r="M275">
        <v>0.11289964616298701</v>
      </c>
      <c r="N275">
        <f t="shared" si="35"/>
        <v>0</v>
      </c>
      <c r="O275">
        <v>0.40965729951858498</v>
      </c>
      <c r="P275">
        <f t="shared" si="35"/>
        <v>0</v>
      </c>
      <c r="Q275">
        <v>0.53866803600000002</v>
      </c>
      <c r="R275">
        <f t="shared" si="35"/>
        <v>1</v>
      </c>
      <c r="S275">
        <v>2.7009274810553E-2</v>
      </c>
      <c r="T275">
        <f t="shared" si="36"/>
        <v>0</v>
      </c>
      <c r="U275" s="7">
        <v>0.28506666000000003</v>
      </c>
      <c r="V275">
        <v>0</v>
      </c>
      <c r="X275">
        <v>1</v>
      </c>
    </row>
    <row r="276" spans="1:24">
      <c r="A276" s="1">
        <v>1</v>
      </c>
      <c r="B276" s="1" t="s">
        <v>276</v>
      </c>
      <c r="C276" s="1">
        <v>1</v>
      </c>
      <c r="D276" s="33">
        <v>1</v>
      </c>
      <c r="E276" s="37">
        <v>1</v>
      </c>
      <c r="F276" s="37">
        <v>1</v>
      </c>
      <c r="G276">
        <v>0.572891712</v>
      </c>
      <c r="H276">
        <f t="shared" si="33"/>
        <v>1</v>
      </c>
      <c r="I276" s="85">
        <v>0.99477416276931796</v>
      </c>
      <c r="J276">
        <f t="shared" si="34"/>
        <v>1</v>
      </c>
      <c r="K276" s="86">
        <v>0.72113496065139704</v>
      </c>
      <c r="L276">
        <f t="shared" si="35"/>
        <v>1</v>
      </c>
      <c r="M276">
        <v>0.50360751152038596</v>
      </c>
      <c r="N276">
        <f t="shared" si="35"/>
        <v>1</v>
      </c>
      <c r="O276">
        <v>0.60878974199295</v>
      </c>
      <c r="P276">
        <f t="shared" si="35"/>
        <v>1</v>
      </c>
      <c r="Q276">
        <v>0.69775921100000005</v>
      </c>
      <c r="R276">
        <f t="shared" si="35"/>
        <v>1</v>
      </c>
      <c r="S276">
        <v>0.26550182700157199</v>
      </c>
      <c r="T276">
        <f t="shared" si="36"/>
        <v>0</v>
      </c>
      <c r="U276" s="1">
        <v>0.39891293999999999</v>
      </c>
      <c r="V276">
        <v>1</v>
      </c>
      <c r="X276">
        <v>0</v>
      </c>
    </row>
    <row r="277" spans="1:24">
      <c r="A277" s="1">
        <v>1</v>
      </c>
      <c r="B277" s="1" t="s">
        <v>277</v>
      </c>
      <c r="C277" s="1">
        <v>1</v>
      </c>
      <c r="D277" s="33">
        <v>0</v>
      </c>
      <c r="E277" s="37">
        <v>1</v>
      </c>
      <c r="F277" s="37">
        <v>1</v>
      </c>
      <c r="G277">
        <v>0.67362743599999997</v>
      </c>
      <c r="H277">
        <f t="shared" si="33"/>
        <v>1</v>
      </c>
      <c r="I277" s="85">
        <v>0.81085628271102905</v>
      </c>
      <c r="J277">
        <f t="shared" si="34"/>
        <v>1</v>
      </c>
      <c r="K277" s="86">
        <v>0.90735256671905495</v>
      </c>
      <c r="L277">
        <f t="shared" si="35"/>
        <v>1</v>
      </c>
      <c r="M277">
        <v>0.75413990020751998</v>
      </c>
      <c r="N277">
        <f t="shared" si="35"/>
        <v>1</v>
      </c>
      <c r="O277">
        <v>0.57867932319641102</v>
      </c>
      <c r="P277">
        <f t="shared" si="35"/>
        <v>1</v>
      </c>
      <c r="Q277">
        <v>0.72391009299999998</v>
      </c>
      <c r="R277">
        <f t="shared" si="35"/>
        <v>1</v>
      </c>
      <c r="S277">
        <v>0.59005624055862405</v>
      </c>
      <c r="T277">
        <f t="shared" si="36"/>
        <v>1</v>
      </c>
      <c r="U277" s="1">
        <v>0.49436444000000002</v>
      </c>
      <c r="V277">
        <v>1</v>
      </c>
      <c r="X277">
        <v>0</v>
      </c>
    </row>
    <row r="278" spans="1:24">
      <c r="A278" s="1">
        <v>1</v>
      </c>
      <c r="B278" s="1" t="s">
        <v>278</v>
      </c>
      <c r="C278" s="1">
        <v>1</v>
      </c>
      <c r="D278" s="33">
        <v>1</v>
      </c>
      <c r="E278" s="37">
        <v>1</v>
      </c>
      <c r="F278" s="37">
        <v>1</v>
      </c>
      <c r="G278">
        <v>0.83364617799999996</v>
      </c>
      <c r="H278">
        <f t="shared" si="33"/>
        <v>1</v>
      </c>
      <c r="I278" s="85">
        <v>0.99999332427978505</v>
      </c>
      <c r="J278">
        <f t="shared" si="34"/>
        <v>1</v>
      </c>
      <c r="K278" s="86">
        <v>0.98832100629806496</v>
      </c>
      <c r="L278">
        <f t="shared" si="35"/>
        <v>1</v>
      </c>
      <c r="M278">
        <v>0.99536883831024203</v>
      </c>
      <c r="N278">
        <f t="shared" si="35"/>
        <v>1</v>
      </c>
      <c r="O278">
        <v>0.89797031879425104</v>
      </c>
      <c r="P278">
        <f t="shared" si="35"/>
        <v>1</v>
      </c>
      <c r="Q278">
        <v>0.78208255800000004</v>
      </c>
      <c r="R278">
        <f t="shared" ref="R278:T278" si="37">IF(Q278&gt;$A$2,1,0)</f>
        <v>1</v>
      </c>
      <c r="S278">
        <v>0.98914474248886097</v>
      </c>
      <c r="T278">
        <f t="shared" si="37"/>
        <v>1</v>
      </c>
      <c r="U278" s="1">
        <v>0.58959013000000005</v>
      </c>
      <c r="V278">
        <v>1</v>
      </c>
      <c r="X278">
        <v>0</v>
      </c>
    </row>
    <row r="279" spans="1:24">
      <c r="A279" s="1">
        <v>1</v>
      </c>
      <c r="B279" s="7" t="s">
        <v>279</v>
      </c>
      <c r="C279" s="1">
        <v>1</v>
      </c>
      <c r="D279" s="33">
        <v>1</v>
      </c>
      <c r="E279" s="37">
        <v>1</v>
      </c>
      <c r="F279" s="37">
        <v>1</v>
      </c>
      <c r="G279">
        <v>0.65563947</v>
      </c>
      <c r="H279">
        <f t="shared" ref="H279:H342" si="38">IF(G279&gt;$A$2,1,0)</f>
        <v>1</v>
      </c>
      <c r="I279" s="85">
        <v>0.58575105667114302</v>
      </c>
      <c r="J279">
        <f t="shared" ref="J279:J342" si="39">IF(I279&gt;$A$2,1,0)</f>
        <v>1</v>
      </c>
      <c r="K279" s="86">
        <v>0.67533230781555098</v>
      </c>
      <c r="L279">
        <f t="shared" ref="L279:T342" si="40">IF(K279&gt;$A$2,1,0)</f>
        <v>1</v>
      </c>
      <c r="M279">
        <v>0.95179933309554998</v>
      </c>
      <c r="N279">
        <f t="shared" si="40"/>
        <v>1</v>
      </c>
      <c r="O279">
        <v>0.817063748836517</v>
      </c>
      <c r="P279">
        <f t="shared" si="40"/>
        <v>1</v>
      </c>
      <c r="Q279">
        <v>0.66828805199999997</v>
      </c>
      <c r="R279">
        <f t="shared" si="40"/>
        <v>1</v>
      </c>
      <c r="S279">
        <v>0.99961346387863204</v>
      </c>
      <c r="T279">
        <f t="shared" si="40"/>
        <v>1</v>
      </c>
      <c r="U279" s="7">
        <v>0.27089990000000003</v>
      </c>
      <c r="V279">
        <v>1</v>
      </c>
      <c r="X279">
        <v>1</v>
      </c>
    </row>
    <row r="280" spans="1:24">
      <c r="A280" s="1">
        <v>1</v>
      </c>
      <c r="B280" s="1" t="s">
        <v>280</v>
      </c>
      <c r="C280" s="1">
        <v>1</v>
      </c>
      <c r="D280" s="33">
        <v>1</v>
      </c>
      <c r="E280" s="37">
        <v>1</v>
      </c>
      <c r="F280" s="37">
        <v>1</v>
      </c>
      <c r="G280">
        <v>0.79317528000000004</v>
      </c>
      <c r="H280">
        <f t="shared" si="38"/>
        <v>1</v>
      </c>
      <c r="I280" s="85">
        <v>0.99115246534347501</v>
      </c>
      <c r="J280">
        <f t="shared" si="39"/>
        <v>1</v>
      </c>
      <c r="K280" s="86">
        <v>0.21782721579074801</v>
      </c>
      <c r="L280">
        <f t="shared" si="40"/>
        <v>0</v>
      </c>
      <c r="M280">
        <v>0.90935271978378296</v>
      </c>
      <c r="N280">
        <f t="shared" si="40"/>
        <v>1</v>
      </c>
      <c r="O280">
        <v>0.70649045705795299</v>
      </c>
      <c r="P280">
        <f t="shared" si="40"/>
        <v>1</v>
      </c>
      <c r="Q280">
        <v>0.79559814900000003</v>
      </c>
      <c r="R280">
        <f t="shared" si="40"/>
        <v>1</v>
      </c>
      <c r="S280">
        <v>0.97704493999481201</v>
      </c>
      <c r="T280">
        <f t="shared" si="40"/>
        <v>1</v>
      </c>
      <c r="U280" s="1">
        <v>0.37085170000000001</v>
      </c>
      <c r="V280">
        <v>1</v>
      </c>
      <c r="X280">
        <v>0</v>
      </c>
    </row>
    <row r="281" spans="1:24">
      <c r="A281" s="1">
        <v>1</v>
      </c>
      <c r="B281" s="1" t="s">
        <v>281</v>
      </c>
      <c r="C281" s="1">
        <v>1</v>
      </c>
      <c r="D281" s="33">
        <v>1</v>
      </c>
      <c r="E281" s="37">
        <v>1</v>
      </c>
      <c r="F281" s="37">
        <v>1</v>
      </c>
      <c r="G281">
        <v>0.87910646199999998</v>
      </c>
      <c r="H281">
        <f t="shared" si="38"/>
        <v>1</v>
      </c>
      <c r="I281" s="85">
        <v>0.99994540214538596</v>
      </c>
      <c r="J281">
        <f t="shared" si="39"/>
        <v>1</v>
      </c>
      <c r="K281" s="86">
        <v>0.94704324007034302</v>
      </c>
      <c r="L281">
        <f t="shared" si="40"/>
        <v>1</v>
      </c>
      <c r="M281">
        <v>0.99781310558319103</v>
      </c>
      <c r="N281">
        <f t="shared" si="40"/>
        <v>1</v>
      </c>
      <c r="O281">
        <v>0.91241228580474798</v>
      </c>
      <c r="P281">
        <f t="shared" si="40"/>
        <v>1</v>
      </c>
      <c r="Q281">
        <v>0.918464065</v>
      </c>
      <c r="R281">
        <f t="shared" si="40"/>
        <v>1</v>
      </c>
      <c r="S281">
        <v>0.99837315082550004</v>
      </c>
      <c r="T281">
        <f t="shared" ref="T281:T342" si="41">IF(S281&gt;$A$2,1,0)</f>
        <v>1</v>
      </c>
      <c r="U281" s="1">
        <v>0.56335299999999999</v>
      </c>
      <c r="V281">
        <v>1</v>
      </c>
      <c r="X281">
        <v>0</v>
      </c>
    </row>
    <row r="282" spans="1:24">
      <c r="A282" s="1">
        <v>1</v>
      </c>
      <c r="B282" s="1" t="s">
        <v>282</v>
      </c>
      <c r="C282" s="1">
        <v>1</v>
      </c>
      <c r="D282" s="33">
        <v>1</v>
      </c>
      <c r="E282" s="37">
        <v>1</v>
      </c>
      <c r="F282" s="37">
        <v>1</v>
      </c>
      <c r="G282">
        <v>0.449586123</v>
      </c>
      <c r="H282">
        <f t="shared" si="38"/>
        <v>0</v>
      </c>
      <c r="I282" s="85">
        <v>0.87200480699539196</v>
      </c>
      <c r="J282">
        <f t="shared" si="39"/>
        <v>1</v>
      </c>
      <c r="K282" s="86">
        <v>0.55812627077102595</v>
      </c>
      <c r="L282">
        <f t="shared" si="40"/>
        <v>1</v>
      </c>
      <c r="M282">
        <v>0.78630274534225497</v>
      </c>
      <c r="N282">
        <f t="shared" si="40"/>
        <v>1</v>
      </c>
      <c r="O282">
        <v>0.50926202535629295</v>
      </c>
      <c r="P282">
        <f t="shared" si="40"/>
        <v>1</v>
      </c>
      <c r="Q282">
        <v>0.39428967199999998</v>
      </c>
      <c r="R282">
        <f t="shared" si="40"/>
        <v>0</v>
      </c>
      <c r="S282">
        <v>0.434046030044556</v>
      </c>
      <c r="T282">
        <f t="shared" si="41"/>
        <v>0</v>
      </c>
      <c r="U282" s="1">
        <v>0.17642496999999999</v>
      </c>
      <c r="V282">
        <v>1</v>
      </c>
      <c r="X282">
        <v>0</v>
      </c>
    </row>
    <row r="283" spans="1:24">
      <c r="A283" s="1">
        <v>1</v>
      </c>
      <c r="B283" s="1" t="s">
        <v>283</v>
      </c>
      <c r="C283" s="1">
        <v>1</v>
      </c>
      <c r="D283" s="33">
        <v>1</v>
      </c>
      <c r="E283" s="37">
        <v>1</v>
      </c>
      <c r="F283" s="37">
        <v>1</v>
      </c>
      <c r="G283">
        <v>0.925444245</v>
      </c>
      <c r="H283">
        <f t="shared" si="38"/>
        <v>1</v>
      </c>
      <c r="I283" s="85">
        <v>0.97800737619400002</v>
      </c>
      <c r="J283">
        <f t="shared" si="39"/>
        <v>1</v>
      </c>
      <c r="K283" s="86">
        <v>0.48930582404136602</v>
      </c>
      <c r="L283">
        <f t="shared" si="40"/>
        <v>0</v>
      </c>
      <c r="M283">
        <v>0.63180547952652</v>
      </c>
      <c r="N283">
        <f t="shared" si="40"/>
        <v>1</v>
      </c>
      <c r="O283">
        <v>0.78257155418395996</v>
      </c>
      <c r="P283">
        <f t="shared" si="40"/>
        <v>1</v>
      </c>
      <c r="Q283">
        <v>0.73433756800000005</v>
      </c>
      <c r="R283">
        <f t="shared" si="40"/>
        <v>1</v>
      </c>
      <c r="S283">
        <v>0.564613938331604</v>
      </c>
      <c r="T283">
        <f t="shared" si="41"/>
        <v>1</v>
      </c>
      <c r="U283" s="1">
        <v>0.30802515000000003</v>
      </c>
      <c r="V283">
        <v>1</v>
      </c>
      <c r="X283">
        <v>0</v>
      </c>
    </row>
    <row r="284" spans="1:24">
      <c r="A284" s="1">
        <v>1</v>
      </c>
      <c r="B284" s="1" t="s">
        <v>284</v>
      </c>
      <c r="C284" s="1">
        <v>1</v>
      </c>
      <c r="D284" s="33">
        <v>1</v>
      </c>
      <c r="E284" s="37">
        <v>1</v>
      </c>
      <c r="F284" s="37">
        <v>1</v>
      </c>
      <c r="G284">
        <v>0.84958797699999999</v>
      </c>
      <c r="H284">
        <f t="shared" si="38"/>
        <v>1</v>
      </c>
      <c r="I284" s="85">
        <v>0.99891471862793002</v>
      </c>
      <c r="J284">
        <f t="shared" si="39"/>
        <v>1</v>
      </c>
      <c r="K284" s="86">
        <v>0.82780963182449296</v>
      </c>
      <c r="L284">
        <f t="shared" si="40"/>
        <v>1</v>
      </c>
      <c r="M284">
        <v>0.78663867712020896</v>
      </c>
      <c r="N284">
        <f t="shared" si="40"/>
        <v>1</v>
      </c>
      <c r="O284">
        <v>0.77466249465942405</v>
      </c>
      <c r="P284">
        <f t="shared" si="40"/>
        <v>1</v>
      </c>
      <c r="Q284">
        <v>0.73292869299999996</v>
      </c>
      <c r="R284">
        <f t="shared" si="40"/>
        <v>1</v>
      </c>
      <c r="S284">
        <v>0.9978386759758</v>
      </c>
      <c r="T284">
        <f t="shared" si="41"/>
        <v>1</v>
      </c>
      <c r="U284" s="1">
        <v>0.49020287000000001</v>
      </c>
      <c r="V284">
        <v>1</v>
      </c>
      <c r="X284">
        <v>0</v>
      </c>
    </row>
    <row r="285" spans="1:24">
      <c r="A285" s="1">
        <v>1</v>
      </c>
      <c r="B285" s="1" t="s">
        <v>285</v>
      </c>
      <c r="C285" s="1">
        <v>1</v>
      </c>
      <c r="D285" s="33">
        <v>1</v>
      </c>
      <c r="E285" s="37">
        <v>1</v>
      </c>
      <c r="F285" s="37">
        <v>1</v>
      </c>
      <c r="G285">
        <v>0.85206246399999996</v>
      </c>
      <c r="H285">
        <f t="shared" si="38"/>
        <v>1</v>
      </c>
      <c r="I285" s="85">
        <v>0.98475617170333896</v>
      </c>
      <c r="J285">
        <f t="shared" si="39"/>
        <v>1</v>
      </c>
      <c r="K285" s="86">
        <v>0.98962187767028797</v>
      </c>
      <c r="L285">
        <f t="shared" si="40"/>
        <v>1</v>
      </c>
      <c r="M285">
        <v>0.97020065784454301</v>
      </c>
      <c r="N285">
        <f t="shared" si="40"/>
        <v>1</v>
      </c>
      <c r="O285">
        <v>0.80072903633117698</v>
      </c>
      <c r="P285">
        <f t="shared" si="40"/>
        <v>1</v>
      </c>
      <c r="Q285">
        <v>0.79051643599999999</v>
      </c>
      <c r="R285">
        <f t="shared" si="40"/>
        <v>1</v>
      </c>
      <c r="S285">
        <v>0.97235888242721602</v>
      </c>
      <c r="T285">
        <f t="shared" si="41"/>
        <v>1</v>
      </c>
      <c r="U285" s="1">
        <v>0.53708160000000005</v>
      </c>
      <c r="V285">
        <v>1</v>
      </c>
      <c r="X285">
        <v>0</v>
      </c>
    </row>
    <row r="286" spans="1:24">
      <c r="A286" s="1">
        <v>1</v>
      </c>
      <c r="B286" s="7" t="s">
        <v>286</v>
      </c>
      <c r="C286" s="1">
        <v>1</v>
      </c>
      <c r="D286" s="33">
        <v>1</v>
      </c>
      <c r="E286" s="37">
        <v>1</v>
      </c>
      <c r="F286" s="37">
        <v>1</v>
      </c>
      <c r="G286">
        <v>0.72115242499999999</v>
      </c>
      <c r="H286">
        <f t="shared" si="38"/>
        <v>1</v>
      </c>
      <c r="I286" s="85">
        <v>0.59291827678680398</v>
      </c>
      <c r="J286">
        <f t="shared" si="39"/>
        <v>1</v>
      </c>
      <c r="K286" s="86">
        <v>0.89928442239761297</v>
      </c>
      <c r="L286">
        <f t="shared" si="40"/>
        <v>1</v>
      </c>
      <c r="M286" s="30">
        <v>0.97002363204955999</v>
      </c>
      <c r="N286">
        <f t="shared" si="40"/>
        <v>1</v>
      </c>
      <c r="O286">
        <v>0.69884443283080999</v>
      </c>
      <c r="P286">
        <f t="shared" si="40"/>
        <v>1</v>
      </c>
      <c r="Q286">
        <v>0.64431417000000002</v>
      </c>
      <c r="R286">
        <f t="shared" si="40"/>
        <v>1</v>
      </c>
      <c r="S286">
        <v>0.99830555915832497</v>
      </c>
      <c r="T286">
        <f t="shared" si="41"/>
        <v>1</v>
      </c>
      <c r="U286" s="7">
        <v>0.46355626</v>
      </c>
      <c r="V286">
        <v>1</v>
      </c>
      <c r="X286">
        <v>1</v>
      </c>
    </row>
    <row r="287" spans="1:24">
      <c r="A287" s="1">
        <v>1</v>
      </c>
      <c r="B287" s="5" t="s">
        <v>287</v>
      </c>
      <c r="C287" s="1">
        <v>1</v>
      </c>
      <c r="D287" s="33">
        <v>1</v>
      </c>
      <c r="E287" s="37">
        <v>1</v>
      </c>
      <c r="F287" s="37">
        <v>1</v>
      </c>
      <c r="G287">
        <v>0.32705765999999997</v>
      </c>
      <c r="H287">
        <f t="shared" si="38"/>
        <v>0</v>
      </c>
      <c r="I287" s="85">
        <v>0.292301565408707</v>
      </c>
      <c r="J287">
        <f t="shared" si="39"/>
        <v>0</v>
      </c>
      <c r="K287" s="86">
        <v>0.52100741863250699</v>
      </c>
      <c r="L287">
        <f t="shared" si="40"/>
        <v>1</v>
      </c>
      <c r="M287">
        <v>0.87113004922866799</v>
      </c>
      <c r="N287">
        <f t="shared" si="40"/>
        <v>1</v>
      </c>
      <c r="O287">
        <v>0.69697886705398604</v>
      </c>
      <c r="P287">
        <f t="shared" si="40"/>
        <v>1</v>
      </c>
      <c r="Q287">
        <v>0.62030649199999999</v>
      </c>
      <c r="R287">
        <f t="shared" si="40"/>
        <v>1</v>
      </c>
      <c r="S287">
        <v>0.46291339397430398</v>
      </c>
      <c r="T287">
        <f t="shared" si="41"/>
        <v>0</v>
      </c>
      <c r="U287" s="5">
        <v>0.26750143999999998</v>
      </c>
      <c r="V287">
        <v>1</v>
      </c>
      <c r="X287">
        <v>0</v>
      </c>
    </row>
    <row r="288" spans="1:24">
      <c r="A288" s="1">
        <v>1</v>
      </c>
      <c r="B288" s="1" t="s">
        <v>288</v>
      </c>
      <c r="C288" s="1">
        <v>1</v>
      </c>
      <c r="D288" s="33">
        <v>0</v>
      </c>
      <c r="E288" s="36">
        <v>0</v>
      </c>
      <c r="F288" s="37">
        <v>1</v>
      </c>
      <c r="G288">
        <v>0.21515916299999999</v>
      </c>
      <c r="H288">
        <f t="shared" si="38"/>
        <v>0</v>
      </c>
      <c r="I288" s="85">
        <v>0.15612876415252699</v>
      </c>
      <c r="J288">
        <f t="shared" si="39"/>
        <v>0</v>
      </c>
      <c r="K288" s="86">
        <v>0.11509579420089699</v>
      </c>
      <c r="L288">
        <f t="shared" si="40"/>
        <v>0</v>
      </c>
      <c r="M288">
        <v>0.426007241010666</v>
      </c>
      <c r="N288">
        <f t="shared" si="40"/>
        <v>0</v>
      </c>
      <c r="O288">
        <v>0.20939473807811701</v>
      </c>
      <c r="P288">
        <f t="shared" si="40"/>
        <v>0</v>
      </c>
      <c r="Q288">
        <v>0.215993553</v>
      </c>
      <c r="R288">
        <f t="shared" si="40"/>
        <v>0</v>
      </c>
      <c r="S288">
        <v>5.1159657537936998E-2</v>
      </c>
      <c r="T288">
        <f t="shared" si="41"/>
        <v>0</v>
      </c>
      <c r="U288" s="1">
        <v>2.7629826E-2</v>
      </c>
      <c r="V288">
        <v>0</v>
      </c>
      <c r="X288">
        <v>0</v>
      </c>
    </row>
    <row r="289" spans="1:24">
      <c r="A289" s="1">
        <v>1</v>
      </c>
      <c r="B289" s="1" t="s">
        <v>289</v>
      </c>
      <c r="C289" s="1">
        <v>1</v>
      </c>
      <c r="D289" s="33">
        <v>1</v>
      </c>
      <c r="E289" s="37">
        <v>1</v>
      </c>
      <c r="F289" s="37">
        <v>1</v>
      </c>
      <c r="G289">
        <v>0.94974142299999997</v>
      </c>
      <c r="H289">
        <f t="shared" si="38"/>
        <v>1</v>
      </c>
      <c r="I289" s="85">
        <v>0.99998462200164795</v>
      </c>
      <c r="J289">
        <f t="shared" si="39"/>
        <v>1</v>
      </c>
      <c r="K289" s="86">
        <v>0.96819835901260298</v>
      </c>
      <c r="L289">
        <f t="shared" si="40"/>
        <v>1</v>
      </c>
      <c r="M289">
        <v>0.95838940143585205</v>
      </c>
      <c r="N289">
        <f t="shared" si="40"/>
        <v>1</v>
      </c>
      <c r="O289">
        <v>0.93405669927597001</v>
      </c>
      <c r="P289">
        <f t="shared" si="40"/>
        <v>1</v>
      </c>
      <c r="Q289">
        <v>0.807780147</v>
      </c>
      <c r="R289">
        <f t="shared" si="40"/>
        <v>1</v>
      </c>
      <c r="S289">
        <v>0.999930620193481</v>
      </c>
      <c r="T289">
        <f t="shared" si="41"/>
        <v>1</v>
      </c>
      <c r="U289" s="1">
        <v>0.35733446000000002</v>
      </c>
      <c r="V289">
        <v>1</v>
      </c>
      <c r="X289">
        <v>0</v>
      </c>
    </row>
    <row r="290" spans="1:24">
      <c r="A290" s="1">
        <v>1</v>
      </c>
      <c r="B290" s="1" t="s">
        <v>290</v>
      </c>
      <c r="C290" s="1">
        <v>1</v>
      </c>
      <c r="D290" s="33">
        <v>1</v>
      </c>
      <c r="E290" s="37">
        <v>1</v>
      </c>
      <c r="F290" s="37">
        <v>1</v>
      </c>
      <c r="G290">
        <v>0.56768691500000001</v>
      </c>
      <c r="H290">
        <f t="shared" si="38"/>
        <v>1</v>
      </c>
      <c r="I290" s="85">
        <v>0.41225299239158603</v>
      </c>
      <c r="J290">
        <f t="shared" si="39"/>
        <v>0</v>
      </c>
      <c r="K290" s="86">
        <v>0.94444596767425504</v>
      </c>
      <c r="L290">
        <f t="shared" si="40"/>
        <v>1</v>
      </c>
      <c r="M290">
        <v>0.65217894315719604</v>
      </c>
      <c r="N290">
        <f t="shared" si="40"/>
        <v>1</v>
      </c>
      <c r="O290">
        <v>0.239893838763237</v>
      </c>
      <c r="P290">
        <f t="shared" si="40"/>
        <v>0</v>
      </c>
      <c r="Q290">
        <v>0.39708650099999998</v>
      </c>
      <c r="R290">
        <f t="shared" si="40"/>
        <v>0</v>
      </c>
      <c r="S290">
        <v>0.28976321220397899</v>
      </c>
      <c r="T290">
        <f t="shared" si="41"/>
        <v>0</v>
      </c>
      <c r="U290" s="1">
        <v>0.38498968</v>
      </c>
      <c r="V290">
        <v>1</v>
      </c>
      <c r="X290">
        <v>0</v>
      </c>
    </row>
    <row r="291" spans="1:24">
      <c r="A291" s="1" t="s">
        <v>291</v>
      </c>
      <c r="B291" s="1"/>
      <c r="C291" s="22"/>
      <c r="D291" s="33"/>
      <c r="E291" s="38"/>
      <c r="F291" s="38"/>
      <c r="K291" s="86"/>
      <c r="M291" s="30"/>
      <c r="X291">
        <v>2</v>
      </c>
    </row>
    <row r="292" spans="1:24">
      <c r="A292" s="1">
        <v>0</v>
      </c>
      <c r="B292" s="1" t="s">
        <v>292</v>
      </c>
      <c r="C292" s="1">
        <v>0</v>
      </c>
      <c r="D292" s="33">
        <v>0</v>
      </c>
      <c r="E292" s="36">
        <v>0</v>
      </c>
      <c r="F292" s="37">
        <v>1</v>
      </c>
      <c r="G292">
        <v>0.83508211399999999</v>
      </c>
      <c r="H292">
        <f t="shared" si="38"/>
        <v>1</v>
      </c>
      <c r="I292" s="85">
        <v>0.44168180227279702</v>
      </c>
      <c r="J292">
        <f t="shared" si="39"/>
        <v>0</v>
      </c>
      <c r="K292" s="86">
        <v>7.7380068600177696E-2</v>
      </c>
      <c r="L292">
        <f t="shared" si="40"/>
        <v>0</v>
      </c>
      <c r="M292">
        <v>0.89894676208496105</v>
      </c>
      <c r="N292">
        <f t="shared" si="40"/>
        <v>1</v>
      </c>
      <c r="O292">
        <v>0.99695968627929699</v>
      </c>
      <c r="P292">
        <f t="shared" si="40"/>
        <v>1</v>
      </c>
      <c r="Q292">
        <v>0.80317062100000003</v>
      </c>
      <c r="R292">
        <f t="shared" si="40"/>
        <v>1</v>
      </c>
      <c r="S292">
        <v>0.99173086881637595</v>
      </c>
      <c r="T292">
        <f t="shared" si="41"/>
        <v>1</v>
      </c>
      <c r="U292" s="1">
        <v>0.48244654999999997</v>
      </c>
      <c r="V292">
        <v>1</v>
      </c>
      <c r="X292">
        <v>0</v>
      </c>
    </row>
    <row r="293" spans="1:24">
      <c r="A293" s="1">
        <v>0</v>
      </c>
      <c r="B293" s="1" t="s">
        <v>293</v>
      </c>
      <c r="C293" s="1">
        <v>0</v>
      </c>
      <c r="D293" s="33">
        <v>0</v>
      </c>
      <c r="E293" s="36">
        <v>0</v>
      </c>
      <c r="F293" s="37">
        <v>0</v>
      </c>
      <c r="G293" s="30">
        <v>0.22750131800000001</v>
      </c>
      <c r="H293">
        <f t="shared" si="38"/>
        <v>0</v>
      </c>
      <c r="I293" s="85">
        <v>3.2365657389163999E-2</v>
      </c>
      <c r="J293">
        <f t="shared" si="39"/>
        <v>0</v>
      </c>
      <c r="K293" s="86">
        <v>0.109409414231777</v>
      </c>
      <c r="L293">
        <f t="shared" si="40"/>
        <v>0</v>
      </c>
      <c r="M293">
        <v>0.26101192831993097</v>
      </c>
      <c r="N293">
        <f t="shared" si="40"/>
        <v>0</v>
      </c>
      <c r="O293">
        <v>3.6648727953433997E-2</v>
      </c>
      <c r="P293">
        <f t="shared" si="40"/>
        <v>0</v>
      </c>
      <c r="Q293">
        <v>0.30696269900000001</v>
      </c>
      <c r="R293">
        <f t="shared" si="40"/>
        <v>0</v>
      </c>
      <c r="S293">
        <v>0.24336549639701799</v>
      </c>
      <c r="T293">
        <f t="shared" si="41"/>
        <v>0</v>
      </c>
      <c r="U293" s="1">
        <v>4.8909303000000001E-2</v>
      </c>
      <c r="V293">
        <v>0</v>
      </c>
      <c r="X293">
        <v>0</v>
      </c>
    </row>
    <row r="294" spans="1:24">
      <c r="A294" s="1">
        <v>0</v>
      </c>
      <c r="B294" s="1" t="s">
        <v>294</v>
      </c>
      <c r="C294" s="1">
        <v>0</v>
      </c>
      <c r="D294" s="33">
        <v>0</v>
      </c>
      <c r="E294" s="36">
        <v>0</v>
      </c>
      <c r="F294" s="37">
        <v>0</v>
      </c>
      <c r="G294">
        <v>3.3426635000000003E-2</v>
      </c>
      <c r="H294">
        <f t="shared" si="38"/>
        <v>0</v>
      </c>
      <c r="I294" s="85">
        <v>4.2920173655147698E-6</v>
      </c>
      <c r="J294">
        <f t="shared" si="39"/>
        <v>0</v>
      </c>
      <c r="K294" s="86">
        <v>7.9514523968100496E-3</v>
      </c>
      <c r="L294">
        <f t="shared" si="40"/>
        <v>0</v>
      </c>
      <c r="M294" s="30">
        <v>3.0270183458923999E-2</v>
      </c>
      <c r="N294">
        <f t="shared" si="40"/>
        <v>0</v>
      </c>
      <c r="O294">
        <v>3.1294319778681003E-2</v>
      </c>
      <c r="P294">
        <f t="shared" si="40"/>
        <v>0</v>
      </c>
      <c r="Q294" s="30">
        <v>0.16635702599999999</v>
      </c>
      <c r="R294">
        <f t="shared" si="40"/>
        <v>0</v>
      </c>
      <c r="S294" s="30">
        <v>3.6834089551119999E-3</v>
      </c>
      <c r="T294">
        <f t="shared" si="41"/>
        <v>0</v>
      </c>
      <c r="U294" s="1">
        <v>3.3020984000000003E-2</v>
      </c>
      <c r="V294">
        <v>0</v>
      </c>
      <c r="X294">
        <v>0</v>
      </c>
    </row>
    <row r="295" spans="1:24">
      <c r="A295" s="1">
        <v>0</v>
      </c>
      <c r="B295" s="1" t="s">
        <v>295</v>
      </c>
      <c r="C295" s="1">
        <v>0</v>
      </c>
      <c r="D295" s="33">
        <v>0</v>
      </c>
      <c r="E295" s="36">
        <v>0</v>
      </c>
      <c r="F295" s="37">
        <v>0</v>
      </c>
      <c r="G295">
        <v>5.8236244999999999E-2</v>
      </c>
      <c r="H295">
        <f t="shared" si="38"/>
        <v>0</v>
      </c>
      <c r="I295" s="85">
        <v>5.8769819588633297E-6</v>
      </c>
      <c r="J295">
        <f t="shared" si="39"/>
        <v>0</v>
      </c>
      <c r="K295" s="86">
        <v>1.01438947021961E-2</v>
      </c>
      <c r="L295">
        <f t="shared" si="40"/>
        <v>0</v>
      </c>
      <c r="M295">
        <v>0.15992964804172499</v>
      </c>
      <c r="N295">
        <f t="shared" si="40"/>
        <v>0</v>
      </c>
      <c r="O295">
        <v>4.6989768743515001E-2</v>
      </c>
      <c r="P295">
        <f t="shared" si="40"/>
        <v>0</v>
      </c>
      <c r="Q295">
        <v>0.207919359</v>
      </c>
      <c r="R295">
        <f t="shared" si="40"/>
        <v>0</v>
      </c>
      <c r="S295">
        <v>2.9167238622904001E-2</v>
      </c>
      <c r="T295">
        <f t="shared" si="41"/>
        <v>0</v>
      </c>
      <c r="U295" s="1">
        <v>6.5643549999999995E-2</v>
      </c>
      <c r="V295">
        <v>0</v>
      </c>
      <c r="X295">
        <v>0</v>
      </c>
    </row>
    <row r="296" spans="1:24">
      <c r="A296" s="1">
        <v>0</v>
      </c>
      <c r="B296" s="1" t="s">
        <v>296</v>
      </c>
      <c r="C296" s="1">
        <v>0</v>
      </c>
      <c r="D296" s="33">
        <v>0</v>
      </c>
      <c r="E296" s="36">
        <v>0</v>
      </c>
      <c r="F296" s="37">
        <v>0</v>
      </c>
      <c r="G296">
        <v>6.5011598000000004E-2</v>
      </c>
      <c r="H296">
        <f t="shared" si="38"/>
        <v>0</v>
      </c>
      <c r="I296" s="85">
        <v>1.6311801970005001E-2</v>
      </c>
      <c r="J296">
        <f t="shared" si="39"/>
        <v>0</v>
      </c>
      <c r="K296" s="86">
        <v>0.142592638731002</v>
      </c>
      <c r="L296">
        <f t="shared" si="40"/>
        <v>0</v>
      </c>
      <c r="M296">
        <v>0.36133259534835799</v>
      </c>
      <c r="N296">
        <f t="shared" si="40"/>
        <v>0</v>
      </c>
      <c r="O296">
        <v>0.15826228260993999</v>
      </c>
      <c r="P296">
        <f t="shared" si="40"/>
        <v>0</v>
      </c>
      <c r="Q296">
        <v>0.135935798</v>
      </c>
      <c r="R296">
        <f t="shared" si="40"/>
        <v>0</v>
      </c>
      <c r="S296">
        <v>0.19695715606212599</v>
      </c>
      <c r="T296">
        <f t="shared" si="41"/>
        <v>0</v>
      </c>
      <c r="U296" s="1">
        <v>4.2159393000000003E-2</v>
      </c>
      <c r="V296">
        <v>0</v>
      </c>
      <c r="X296">
        <v>0</v>
      </c>
    </row>
    <row r="297" spans="1:24">
      <c r="A297" s="1">
        <v>0</v>
      </c>
      <c r="B297" s="1" t="s">
        <v>297</v>
      </c>
      <c r="C297" s="1">
        <v>0</v>
      </c>
      <c r="D297" s="33">
        <v>1</v>
      </c>
      <c r="E297" s="36">
        <v>0</v>
      </c>
      <c r="F297" s="37">
        <v>0</v>
      </c>
      <c r="G297">
        <v>0.93859392399999997</v>
      </c>
      <c r="H297">
        <f t="shared" si="38"/>
        <v>1</v>
      </c>
      <c r="I297" s="85">
        <v>0.98080796003341697</v>
      </c>
      <c r="J297">
        <f t="shared" si="39"/>
        <v>1</v>
      </c>
      <c r="K297" s="86">
        <v>0.43679600954055697</v>
      </c>
      <c r="L297">
        <f t="shared" si="40"/>
        <v>0</v>
      </c>
      <c r="M297">
        <v>0.61708062887191795</v>
      </c>
      <c r="N297">
        <f t="shared" si="40"/>
        <v>1</v>
      </c>
      <c r="O297">
        <v>0.96383333206176802</v>
      </c>
      <c r="P297">
        <f t="shared" si="40"/>
        <v>1</v>
      </c>
      <c r="Q297">
        <v>0.47050872399999999</v>
      </c>
      <c r="R297">
        <f t="shared" si="40"/>
        <v>0</v>
      </c>
      <c r="S297">
        <v>0.94987505674362205</v>
      </c>
      <c r="T297">
        <f t="shared" si="41"/>
        <v>1</v>
      </c>
      <c r="U297" s="1">
        <v>0.3053109</v>
      </c>
      <c r="V297">
        <v>1</v>
      </c>
      <c r="X297">
        <v>0</v>
      </c>
    </row>
    <row r="298" spans="1:24">
      <c r="A298" s="1">
        <v>0</v>
      </c>
      <c r="B298" s="1" t="s">
        <v>298</v>
      </c>
      <c r="C298" s="1">
        <v>0</v>
      </c>
      <c r="D298" s="33">
        <v>0</v>
      </c>
      <c r="E298" s="36">
        <v>0</v>
      </c>
      <c r="F298" s="37">
        <v>0</v>
      </c>
      <c r="G298">
        <v>0.283128977</v>
      </c>
      <c r="H298">
        <f t="shared" si="38"/>
        <v>0</v>
      </c>
      <c r="I298" s="85">
        <v>1.8713964149355999E-2</v>
      </c>
      <c r="J298">
        <f t="shared" si="39"/>
        <v>0</v>
      </c>
      <c r="K298" s="86">
        <v>0.182187795639038</v>
      </c>
      <c r="L298">
        <f t="shared" si="40"/>
        <v>0</v>
      </c>
      <c r="M298">
        <v>0.18127140402793901</v>
      </c>
      <c r="N298">
        <f t="shared" si="40"/>
        <v>0</v>
      </c>
      <c r="O298">
        <v>0.153863459825516</v>
      </c>
      <c r="P298">
        <f t="shared" si="40"/>
        <v>0</v>
      </c>
      <c r="Q298">
        <v>0.13314105600000001</v>
      </c>
      <c r="R298">
        <f t="shared" si="40"/>
        <v>0</v>
      </c>
      <c r="S298">
        <v>0.254411101341248</v>
      </c>
      <c r="T298">
        <f t="shared" si="41"/>
        <v>0</v>
      </c>
      <c r="U298" s="1">
        <v>9.5321619999999996E-2</v>
      </c>
      <c r="V298">
        <v>0</v>
      </c>
      <c r="X298">
        <v>0</v>
      </c>
    </row>
    <row r="299" spans="1:24">
      <c r="A299" s="1">
        <v>0</v>
      </c>
      <c r="B299" s="1" t="s">
        <v>299</v>
      </c>
      <c r="C299" s="1">
        <v>0</v>
      </c>
      <c r="D299" s="33">
        <v>0</v>
      </c>
      <c r="E299" s="36">
        <v>0</v>
      </c>
      <c r="F299" s="37">
        <v>0</v>
      </c>
      <c r="G299">
        <v>0.83573180400000002</v>
      </c>
      <c r="H299">
        <f t="shared" si="38"/>
        <v>1</v>
      </c>
      <c r="I299" s="85">
        <v>0.99647635221481301</v>
      </c>
      <c r="J299">
        <f t="shared" si="39"/>
        <v>1</v>
      </c>
      <c r="K299" s="86">
        <v>0.40195637941360401</v>
      </c>
      <c r="L299">
        <f t="shared" si="40"/>
        <v>0</v>
      </c>
      <c r="M299">
        <v>0.582292079925537</v>
      </c>
      <c r="N299">
        <f t="shared" si="40"/>
        <v>1</v>
      </c>
      <c r="O299">
        <v>0.97508054971694902</v>
      </c>
      <c r="P299">
        <f t="shared" si="40"/>
        <v>1</v>
      </c>
      <c r="Q299">
        <v>0.670124948</v>
      </c>
      <c r="R299">
        <f t="shared" si="40"/>
        <v>1</v>
      </c>
      <c r="S299">
        <v>0.99609476327896096</v>
      </c>
      <c r="T299">
        <f t="shared" si="41"/>
        <v>1</v>
      </c>
      <c r="U299" s="1">
        <v>0.425784</v>
      </c>
      <c r="V299">
        <v>1</v>
      </c>
      <c r="X299">
        <v>0</v>
      </c>
    </row>
    <row r="300" spans="1:24">
      <c r="A300" s="1">
        <v>0</v>
      </c>
      <c r="B300" s="1" t="s">
        <v>300</v>
      </c>
      <c r="C300" s="1">
        <v>0</v>
      </c>
      <c r="D300" s="33">
        <v>0</v>
      </c>
      <c r="E300" s="36">
        <v>0</v>
      </c>
      <c r="F300" s="37">
        <v>1</v>
      </c>
      <c r="G300">
        <v>0.14500948799999999</v>
      </c>
      <c r="H300">
        <f t="shared" si="38"/>
        <v>0</v>
      </c>
      <c r="I300" s="85">
        <v>1.6892233863473001E-2</v>
      </c>
      <c r="J300">
        <f t="shared" si="39"/>
        <v>0</v>
      </c>
      <c r="K300" s="86">
        <v>9.37527045607566E-2</v>
      </c>
      <c r="L300">
        <f t="shared" si="40"/>
        <v>0</v>
      </c>
      <c r="M300">
        <v>0.177608206868172</v>
      </c>
      <c r="N300">
        <f t="shared" si="40"/>
        <v>0</v>
      </c>
      <c r="O300">
        <v>9.4325654208660001E-2</v>
      </c>
      <c r="P300">
        <f t="shared" si="40"/>
        <v>0</v>
      </c>
      <c r="Q300">
        <v>0.141341776</v>
      </c>
      <c r="R300">
        <f t="shared" si="40"/>
        <v>0</v>
      </c>
      <c r="S300">
        <v>1.7974217189480001E-3</v>
      </c>
      <c r="T300">
        <f t="shared" si="41"/>
        <v>0</v>
      </c>
      <c r="U300" s="1">
        <v>3.8037493999999998E-2</v>
      </c>
      <c r="V300">
        <v>0</v>
      </c>
      <c r="X300">
        <v>0</v>
      </c>
    </row>
    <row r="301" spans="1:24">
      <c r="A301" s="1">
        <v>0</v>
      </c>
      <c r="B301" s="1" t="s">
        <v>301</v>
      </c>
      <c r="C301" s="1">
        <v>0</v>
      </c>
      <c r="D301" s="33">
        <v>1</v>
      </c>
      <c r="E301" s="36">
        <v>0</v>
      </c>
      <c r="F301" s="37">
        <v>0</v>
      </c>
      <c r="G301">
        <v>0.49099209900000002</v>
      </c>
      <c r="H301">
        <f t="shared" si="38"/>
        <v>0</v>
      </c>
      <c r="I301" s="85">
        <v>0.615836501121521</v>
      </c>
      <c r="J301">
        <f t="shared" si="39"/>
        <v>1</v>
      </c>
      <c r="K301" s="86">
        <v>0.31006866693496699</v>
      </c>
      <c r="L301">
        <f t="shared" si="40"/>
        <v>0</v>
      </c>
      <c r="M301" s="30">
        <v>0.410582095384598</v>
      </c>
      <c r="N301">
        <f t="shared" si="40"/>
        <v>0</v>
      </c>
      <c r="O301">
        <v>0.79072129726409901</v>
      </c>
      <c r="P301">
        <f t="shared" si="40"/>
        <v>1</v>
      </c>
      <c r="Q301">
        <v>0.61149042799999997</v>
      </c>
      <c r="R301">
        <f t="shared" si="40"/>
        <v>1</v>
      </c>
      <c r="S301">
        <v>0.60118669271469105</v>
      </c>
      <c r="T301">
        <f t="shared" si="41"/>
        <v>1</v>
      </c>
      <c r="U301" s="1">
        <v>0.17148736000000001</v>
      </c>
      <c r="V301">
        <v>1</v>
      </c>
      <c r="X301">
        <v>0</v>
      </c>
    </row>
    <row r="302" spans="1:24">
      <c r="A302" s="1">
        <v>0</v>
      </c>
      <c r="B302" s="1" t="s">
        <v>302</v>
      </c>
      <c r="C302" s="1">
        <v>0</v>
      </c>
      <c r="D302" s="33">
        <v>0</v>
      </c>
      <c r="E302" s="36">
        <v>0</v>
      </c>
      <c r="F302" s="37">
        <v>0</v>
      </c>
      <c r="G302">
        <v>0.28888350699999998</v>
      </c>
      <c r="H302">
        <f t="shared" si="38"/>
        <v>0</v>
      </c>
      <c r="I302" s="85">
        <v>0.18631346523761799</v>
      </c>
      <c r="J302">
        <f t="shared" si="39"/>
        <v>0</v>
      </c>
      <c r="K302" s="86">
        <v>0.27912193536758401</v>
      </c>
      <c r="L302">
        <f t="shared" si="40"/>
        <v>0</v>
      </c>
      <c r="M302">
        <v>0.63199102878570601</v>
      </c>
      <c r="N302">
        <f t="shared" si="40"/>
        <v>1</v>
      </c>
      <c r="O302">
        <v>0.60219061374664296</v>
      </c>
      <c r="P302">
        <f t="shared" si="40"/>
        <v>1</v>
      </c>
      <c r="Q302">
        <v>0.50924533599999999</v>
      </c>
      <c r="R302">
        <f t="shared" si="40"/>
        <v>1</v>
      </c>
      <c r="S302">
        <v>0.44182071089744601</v>
      </c>
      <c r="T302">
        <f t="shared" si="41"/>
        <v>0</v>
      </c>
      <c r="U302" s="1">
        <v>0.48449130000000001</v>
      </c>
      <c r="V302">
        <v>1</v>
      </c>
      <c r="X302">
        <v>0</v>
      </c>
    </row>
    <row r="303" spans="1:24">
      <c r="A303" s="1">
        <v>0</v>
      </c>
      <c r="B303" s="7" t="s">
        <v>303</v>
      </c>
      <c r="C303" s="1">
        <v>0</v>
      </c>
      <c r="D303" s="33">
        <v>1</v>
      </c>
      <c r="E303" s="37">
        <v>1</v>
      </c>
      <c r="F303" s="37">
        <v>1</v>
      </c>
      <c r="G303" s="30">
        <v>6.9769993000000002E-2</v>
      </c>
      <c r="H303">
        <f t="shared" si="38"/>
        <v>0</v>
      </c>
      <c r="I303" s="85">
        <v>8.7678918134770407E-6</v>
      </c>
      <c r="J303">
        <f t="shared" si="39"/>
        <v>0</v>
      </c>
      <c r="K303" s="86">
        <v>1.3598028570413499E-2</v>
      </c>
      <c r="L303">
        <f t="shared" si="40"/>
        <v>0</v>
      </c>
      <c r="M303" s="30">
        <v>1.7766347154975E-2</v>
      </c>
      <c r="N303">
        <f t="shared" si="40"/>
        <v>0</v>
      </c>
      <c r="O303" s="30">
        <v>3.2144773751496998E-2</v>
      </c>
      <c r="P303">
        <f t="shared" si="40"/>
        <v>0</v>
      </c>
      <c r="Q303">
        <v>8.9169583999999996E-2</v>
      </c>
      <c r="R303">
        <f t="shared" si="40"/>
        <v>0</v>
      </c>
      <c r="S303" s="30">
        <v>5.1615913398560002E-3</v>
      </c>
      <c r="T303">
        <f t="shared" si="41"/>
        <v>0</v>
      </c>
      <c r="U303" s="7">
        <v>7.3735075999999998E-3</v>
      </c>
      <c r="V303">
        <v>0</v>
      </c>
      <c r="X303">
        <v>1</v>
      </c>
    </row>
    <row r="304" spans="1:24">
      <c r="A304" s="1">
        <v>0</v>
      </c>
      <c r="B304" s="1" t="s">
        <v>304</v>
      </c>
      <c r="C304" s="1">
        <v>0</v>
      </c>
      <c r="D304" s="33">
        <v>0</v>
      </c>
      <c r="E304" s="36">
        <v>0</v>
      </c>
      <c r="F304" s="37">
        <v>0</v>
      </c>
      <c r="G304" s="30">
        <v>0.129342183</v>
      </c>
      <c r="H304">
        <f t="shared" si="38"/>
        <v>0</v>
      </c>
      <c r="I304" s="85">
        <v>2.8660686686635E-2</v>
      </c>
      <c r="J304">
        <f t="shared" si="39"/>
        <v>0</v>
      </c>
      <c r="K304" s="86">
        <v>0.91729891300201405</v>
      </c>
      <c r="L304">
        <f t="shared" si="40"/>
        <v>1</v>
      </c>
      <c r="M304">
        <v>0.24941477179527299</v>
      </c>
      <c r="N304">
        <f t="shared" si="40"/>
        <v>0</v>
      </c>
      <c r="O304">
        <v>4.581556096673E-2</v>
      </c>
      <c r="P304">
        <f t="shared" si="40"/>
        <v>0</v>
      </c>
      <c r="Q304">
        <v>0.34267631199999998</v>
      </c>
      <c r="R304">
        <f t="shared" si="40"/>
        <v>0</v>
      </c>
      <c r="S304">
        <v>2.0752541720867001E-2</v>
      </c>
      <c r="T304">
        <f t="shared" si="41"/>
        <v>0</v>
      </c>
      <c r="U304" s="1">
        <v>0.29558432000000001</v>
      </c>
      <c r="V304">
        <v>1</v>
      </c>
      <c r="X304">
        <v>0</v>
      </c>
    </row>
    <row r="305" spans="1:24">
      <c r="A305" s="1">
        <v>0</v>
      </c>
      <c r="B305" s="1" t="s">
        <v>305</v>
      </c>
      <c r="C305" s="1">
        <v>0</v>
      </c>
      <c r="D305" s="33">
        <v>1</v>
      </c>
      <c r="E305" s="36">
        <v>0</v>
      </c>
      <c r="F305" s="37">
        <v>0</v>
      </c>
      <c r="G305">
        <v>0.55382257700000004</v>
      </c>
      <c r="H305">
        <f t="shared" si="38"/>
        <v>1</v>
      </c>
      <c r="I305" s="85">
        <v>0.32268977165222201</v>
      </c>
      <c r="J305">
        <f t="shared" si="39"/>
        <v>0</v>
      </c>
      <c r="K305" s="86">
        <v>3.5096444189548402E-2</v>
      </c>
      <c r="L305">
        <f t="shared" si="40"/>
        <v>0</v>
      </c>
      <c r="M305">
        <v>0.91488909721374501</v>
      </c>
      <c r="N305">
        <f t="shared" si="40"/>
        <v>1</v>
      </c>
      <c r="O305">
        <v>0.75402629375457797</v>
      </c>
      <c r="P305">
        <f t="shared" si="40"/>
        <v>1</v>
      </c>
      <c r="Q305">
        <v>0.43762472299999999</v>
      </c>
      <c r="R305">
        <f t="shared" si="40"/>
        <v>0</v>
      </c>
      <c r="S305">
        <v>0.99513322114944502</v>
      </c>
      <c r="T305">
        <f t="shared" si="41"/>
        <v>1</v>
      </c>
      <c r="U305" s="1">
        <v>0.32121283</v>
      </c>
      <c r="V305">
        <v>1</v>
      </c>
      <c r="X305">
        <v>0</v>
      </c>
    </row>
    <row r="306" spans="1:24">
      <c r="A306" s="1">
        <v>0</v>
      </c>
      <c r="B306" s="1" t="s">
        <v>306</v>
      </c>
      <c r="C306" s="1">
        <v>0</v>
      </c>
      <c r="D306" s="33">
        <v>0</v>
      </c>
      <c r="E306" s="36">
        <v>0</v>
      </c>
      <c r="F306" s="37">
        <v>0</v>
      </c>
      <c r="G306">
        <v>0.170310616</v>
      </c>
      <c r="H306">
        <f t="shared" si="38"/>
        <v>0</v>
      </c>
      <c r="I306" s="85">
        <v>5.4011843167200003E-4</v>
      </c>
      <c r="J306">
        <f t="shared" si="39"/>
        <v>0</v>
      </c>
      <c r="K306" s="86">
        <v>4.30541969835758E-2</v>
      </c>
      <c r="L306">
        <f t="shared" si="40"/>
        <v>0</v>
      </c>
      <c r="M306">
        <v>0.28955054283142101</v>
      </c>
      <c r="N306">
        <f t="shared" si="40"/>
        <v>0</v>
      </c>
      <c r="O306">
        <v>8.0547019839286998E-2</v>
      </c>
      <c r="P306">
        <f t="shared" si="40"/>
        <v>0</v>
      </c>
      <c r="Q306">
        <v>0.24330089999999999</v>
      </c>
      <c r="R306">
        <f t="shared" si="40"/>
        <v>0</v>
      </c>
      <c r="S306">
        <v>4.1105244308710001E-2</v>
      </c>
      <c r="T306">
        <f t="shared" si="41"/>
        <v>0</v>
      </c>
      <c r="U306" s="1">
        <v>3.9043806E-2</v>
      </c>
      <c r="V306">
        <v>0</v>
      </c>
      <c r="X306">
        <v>0</v>
      </c>
    </row>
    <row r="307" spans="1:24">
      <c r="A307" s="1">
        <v>0</v>
      </c>
      <c r="B307" s="1" t="s">
        <v>307</v>
      </c>
      <c r="C307" s="1">
        <v>0</v>
      </c>
      <c r="D307" s="33">
        <v>1</v>
      </c>
      <c r="E307" s="36">
        <v>0</v>
      </c>
      <c r="F307" s="37">
        <v>1</v>
      </c>
      <c r="G307">
        <v>0.20650328700000001</v>
      </c>
      <c r="H307">
        <f t="shared" si="38"/>
        <v>0</v>
      </c>
      <c r="I307" s="85">
        <v>0.35584208369255099</v>
      </c>
      <c r="J307">
        <f t="shared" si="39"/>
        <v>0</v>
      </c>
      <c r="K307" s="86">
        <v>0.242813184857368</v>
      </c>
      <c r="L307">
        <f t="shared" si="40"/>
        <v>0</v>
      </c>
      <c r="M307" s="30">
        <v>0.59324246644973699</v>
      </c>
      <c r="N307">
        <f t="shared" si="40"/>
        <v>1</v>
      </c>
      <c r="O307">
        <v>0.41352182626724199</v>
      </c>
      <c r="P307">
        <f t="shared" si="40"/>
        <v>0</v>
      </c>
      <c r="Q307">
        <v>0.54307126999999999</v>
      </c>
      <c r="R307">
        <f t="shared" si="40"/>
        <v>1</v>
      </c>
      <c r="S307">
        <v>0.62080144882202204</v>
      </c>
      <c r="T307">
        <f t="shared" si="41"/>
        <v>1</v>
      </c>
      <c r="U307" s="1">
        <v>0.25305462000000001</v>
      </c>
      <c r="V307">
        <v>1</v>
      </c>
      <c r="X307">
        <v>0</v>
      </c>
    </row>
    <row r="308" spans="1:24">
      <c r="A308" s="1">
        <v>0</v>
      </c>
      <c r="B308" s="5" t="s">
        <v>308</v>
      </c>
      <c r="C308" s="1">
        <v>0</v>
      </c>
      <c r="D308" s="33">
        <v>0</v>
      </c>
      <c r="E308" s="36">
        <v>0</v>
      </c>
      <c r="F308" s="37">
        <v>0</v>
      </c>
      <c r="G308">
        <v>5.9484034999999998E-2</v>
      </c>
      <c r="H308">
        <f t="shared" si="38"/>
        <v>0</v>
      </c>
      <c r="I308" s="85">
        <v>1.4526309678300001E-4</v>
      </c>
      <c r="J308">
        <f t="shared" si="39"/>
        <v>0</v>
      </c>
      <c r="K308" s="86">
        <v>1.6197947785258199E-2</v>
      </c>
      <c r="L308">
        <f t="shared" si="40"/>
        <v>0</v>
      </c>
      <c r="M308">
        <v>1.4639498665929E-2</v>
      </c>
      <c r="N308">
        <f t="shared" si="40"/>
        <v>0</v>
      </c>
      <c r="O308">
        <v>3.2383620273320002E-3</v>
      </c>
      <c r="P308">
        <f t="shared" si="40"/>
        <v>0</v>
      </c>
      <c r="Q308">
        <v>3.9777987000000001E-2</v>
      </c>
      <c r="R308">
        <f t="shared" si="40"/>
        <v>0</v>
      </c>
      <c r="S308" s="30">
        <v>3.604639088735E-3</v>
      </c>
      <c r="T308">
        <f t="shared" si="41"/>
        <v>0</v>
      </c>
      <c r="U308" s="5">
        <v>1.6675929999999999E-2</v>
      </c>
      <c r="V308">
        <v>0</v>
      </c>
      <c r="X308">
        <v>0</v>
      </c>
    </row>
    <row r="309" spans="1:24">
      <c r="A309" s="1">
        <v>0</v>
      </c>
      <c r="B309" s="7" t="s">
        <v>309</v>
      </c>
      <c r="C309" s="1">
        <v>0</v>
      </c>
      <c r="D309" s="33">
        <v>1</v>
      </c>
      <c r="E309" s="37">
        <v>1</v>
      </c>
      <c r="F309" s="37">
        <v>1</v>
      </c>
      <c r="G309">
        <v>0.36680239399999998</v>
      </c>
      <c r="H309">
        <f t="shared" si="38"/>
        <v>0</v>
      </c>
      <c r="I309" s="85">
        <v>0.24687084555625899</v>
      </c>
      <c r="J309">
        <f t="shared" si="39"/>
        <v>0</v>
      </c>
      <c r="K309" s="86">
        <v>0.87820231914520197</v>
      </c>
      <c r="L309">
        <f t="shared" si="40"/>
        <v>1</v>
      </c>
      <c r="M309" s="30">
        <v>0.21469549834728199</v>
      </c>
      <c r="N309">
        <f t="shared" si="40"/>
        <v>0</v>
      </c>
      <c r="O309">
        <v>0.64660698175430298</v>
      </c>
      <c r="P309">
        <f t="shared" si="40"/>
        <v>1</v>
      </c>
      <c r="Q309">
        <v>0.15968765300000001</v>
      </c>
      <c r="R309">
        <f t="shared" si="40"/>
        <v>0</v>
      </c>
      <c r="S309">
        <v>0.98940849304199197</v>
      </c>
      <c r="T309">
        <f t="shared" si="41"/>
        <v>1</v>
      </c>
      <c r="U309" s="7">
        <v>0.35378273999999998</v>
      </c>
      <c r="V309">
        <v>1</v>
      </c>
      <c r="X309">
        <v>1</v>
      </c>
    </row>
    <row r="310" spans="1:24">
      <c r="A310" s="1">
        <v>0</v>
      </c>
      <c r="B310" s="1" t="s">
        <v>310</v>
      </c>
      <c r="C310" s="1">
        <v>0</v>
      </c>
      <c r="D310" s="33">
        <v>0</v>
      </c>
      <c r="E310" s="36">
        <v>0</v>
      </c>
      <c r="F310" s="37">
        <v>0</v>
      </c>
      <c r="G310">
        <v>0.116263695</v>
      </c>
      <c r="H310">
        <f t="shared" si="38"/>
        <v>0</v>
      </c>
      <c r="I310" s="85">
        <v>1.9168574363E-4</v>
      </c>
      <c r="J310">
        <f t="shared" si="39"/>
        <v>0</v>
      </c>
      <c r="K310" s="86">
        <v>5.6951716542243897E-3</v>
      </c>
      <c r="L310">
        <f t="shared" si="40"/>
        <v>0</v>
      </c>
      <c r="M310">
        <v>0.13275995850563099</v>
      </c>
      <c r="N310">
        <f t="shared" si="40"/>
        <v>0</v>
      </c>
      <c r="O310">
        <v>2.9049873352051E-2</v>
      </c>
      <c r="P310">
        <f t="shared" si="40"/>
        <v>0</v>
      </c>
      <c r="Q310" s="30">
        <v>0.18102538600000001</v>
      </c>
      <c r="R310">
        <f t="shared" si="40"/>
        <v>0</v>
      </c>
      <c r="S310">
        <v>1.1366562917829E-2</v>
      </c>
      <c r="T310">
        <f t="shared" si="41"/>
        <v>0</v>
      </c>
      <c r="U310" s="1">
        <v>0.12270389499999999</v>
      </c>
      <c r="V310">
        <v>0</v>
      </c>
      <c r="X310">
        <v>0</v>
      </c>
    </row>
    <row r="311" spans="1:24">
      <c r="A311" s="1">
        <v>0</v>
      </c>
      <c r="B311" s="1" t="s">
        <v>311</v>
      </c>
      <c r="C311" s="1">
        <v>0</v>
      </c>
      <c r="D311" s="33">
        <v>0</v>
      </c>
      <c r="E311" s="36">
        <v>0</v>
      </c>
      <c r="F311" s="37">
        <v>0</v>
      </c>
      <c r="G311">
        <v>0.37694668799999997</v>
      </c>
      <c r="H311">
        <f t="shared" si="38"/>
        <v>0</v>
      </c>
      <c r="I311" s="85">
        <v>8.4320880472659995E-2</v>
      </c>
      <c r="J311">
        <f t="shared" si="39"/>
        <v>0</v>
      </c>
      <c r="K311" s="86">
        <v>0.10313126444816501</v>
      </c>
      <c r="L311">
        <f t="shared" si="40"/>
        <v>0</v>
      </c>
      <c r="M311">
        <v>3.8885511457919998E-2</v>
      </c>
      <c r="N311">
        <f t="shared" si="40"/>
        <v>0</v>
      </c>
      <c r="O311">
        <v>9.1011941432953006E-2</v>
      </c>
      <c r="P311">
        <f t="shared" si="40"/>
        <v>0</v>
      </c>
      <c r="Q311">
        <v>0.130346924</v>
      </c>
      <c r="R311">
        <f t="shared" si="40"/>
        <v>0</v>
      </c>
      <c r="S311">
        <v>0.37897258996963501</v>
      </c>
      <c r="T311">
        <f t="shared" si="41"/>
        <v>0</v>
      </c>
      <c r="U311" s="1">
        <v>0.18072722999999999</v>
      </c>
      <c r="V311">
        <v>0</v>
      </c>
      <c r="X311">
        <v>0</v>
      </c>
    </row>
    <row r="312" spans="1:24">
      <c r="A312" s="1">
        <v>0</v>
      </c>
      <c r="B312" s="1" t="s">
        <v>312</v>
      </c>
      <c r="C312" s="1">
        <v>0</v>
      </c>
      <c r="D312" s="33">
        <v>0</v>
      </c>
      <c r="E312" s="36">
        <v>0</v>
      </c>
      <c r="F312" s="37">
        <v>0</v>
      </c>
      <c r="G312">
        <v>6.4663179000000001E-2</v>
      </c>
      <c r="H312">
        <f t="shared" si="38"/>
        <v>0</v>
      </c>
      <c r="I312" s="85">
        <v>4.9219615757470003E-3</v>
      </c>
      <c r="J312">
        <f t="shared" si="39"/>
        <v>0</v>
      </c>
      <c r="K312" s="86">
        <v>0.105344489216804</v>
      </c>
      <c r="L312">
        <f t="shared" si="40"/>
        <v>0</v>
      </c>
      <c r="M312">
        <v>0.38117671012878401</v>
      </c>
      <c r="N312">
        <f t="shared" si="40"/>
        <v>0</v>
      </c>
      <c r="O312">
        <v>0.16079281270504001</v>
      </c>
      <c r="P312">
        <f t="shared" si="40"/>
        <v>0</v>
      </c>
      <c r="Q312" s="30">
        <v>0.28350052199999998</v>
      </c>
      <c r="R312">
        <f t="shared" si="40"/>
        <v>0</v>
      </c>
      <c r="S312">
        <v>0.30360788106918302</v>
      </c>
      <c r="T312">
        <f t="shared" si="41"/>
        <v>0</v>
      </c>
      <c r="U312" s="1">
        <v>8.3125660000000004E-3</v>
      </c>
      <c r="V312">
        <v>0</v>
      </c>
      <c r="X312">
        <v>0</v>
      </c>
    </row>
    <row r="313" spans="1:24">
      <c r="A313" s="1">
        <v>0</v>
      </c>
      <c r="B313" s="1" t="s">
        <v>313</v>
      </c>
      <c r="C313" s="1">
        <v>0</v>
      </c>
      <c r="D313" s="33">
        <v>0</v>
      </c>
      <c r="E313" s="36">
        <v>0</v>
      </c>
      <c r="F313" s="37">
        <v>0</v>
      </c>
      <c r="G313">
        <v>0.115054108</v>
      </c>
      <c r="H313">
        <f t="shared" si="38"/>
        <v>0</v>
      </c>
      <c r="I313" s="85">
        <v>3.1422756612300998E-2</v>
      </c>
      <c r="J313">
        <f t="shared" si="39"/>
        <v>0</v>
      </c>
      <c r="K313" s="86">
        <v>0.67171996831893899</v>
      </c>
      <c r="L313">
        <f t="shared" si="40"/>
        <v>1</v>
      </c>
      <c r="M313">
        <v>0.31015312671661399</v>
      </c>
      <c r="N313">
        <f t="shared" si="40"/>
        <v>0</v>
      </c>
      <c r="O313">
        <v>0.125226110219955</v>
      </c>
      <c r="P313">
        <f t="shared" si="40"/>
        <v>0</v>
      </c>
      <c r="Q313">
        <v>0.18868932099999999</v>
      </c>
      <c r="R313">
        <f t="shared" si="40"/>
        <v>0</v>
      </c>
      <c r="S313">
        <v>0.196494281291962</v>
      </c>
      <c r="T313">
        <f t="shared" si="41"/>
        <v>0</v>
      </c>
      <c r="U313" s="1">
        <v>2.9860793E-2</v>
      </c>
      <c r="V313">
        <v>0</v>
      </c>
      <c r="X313">
        <v>0</v>
      </c>
    </row>
    <row r="314" spans="1:24">
      <c r="A314" s="1">
        <v>0</v>
      </c>
      <c r="B314" s="1" t="s">
        <v>314</v>
      </c>
      <c r="C314" s="1">
        <v>0</v>
      </c>
      <c r="D314" s="33">
        <v>0</v>
      </c>
      <c r="E314" s="36">
        <v>0</v>
      </c>
      <c r="F314" s="37">
        <v>0</v>
      </c>
      <c r="G314" s="30">
        <v>0.424256623</v>
      </c>
      <c r="H314">
        <f t="shared" si="38"/>
        <v>0</v>
      </c>
      <c r="I314" s="85">
        <v>2.1001007407899998E-3</v>
      </c>
      <c r="J314">
        <f t="shared" si="39"/>
        <v>0</v>
      </c>
      <c r="K314" s="86">
        <v>8.6448071524500795E-3</v>
      </c>
      <c r="L314">
        <f t="shared" si="40"/>
        <v>0</v>
      </c>
      <c r="M314" s="30">
        <v>0.31820735335349998</v>
      </c>
      <c r="N314">
        <f t="shared" si="40"/>
        <v>0</v>
      </c>
      <c r="O314">
        <v>6.7662842571734994E-2</v>
      </c>
      <c r="P314">
        <f t="shared" si="40"/>
        <v>0</v>
      </c>
      <c r="Q314">
        <v>0.16466386599999999</v>
      </c>
      <c r="R314">
        <f t="shared" si="40"/>
        <v>0</v>
      </c>
      <c r="S314">
        <v>1.3410302344709999E-3</v>
      </c>
      <c r="T314">
        <f t="shared" si="41"/>
        <v>0</v>
      </c>
      <c r="U314" s="1">
        <v>0.121208414</v>
      </c>
      <c r="V314">
        <v>0</v>
      </c>
      <c r="X314">
        <v>0</v>
      </c>
    </row>
    <row r="315" spans="1:24">
      <c r="A315" s="1">
        <v>0</v>
      </c>
      <c r="B315" s="1" t="s">
        <v>315</v>
      </c>
      <c r="C315" s="1">
        <v>0</v>
      </c>
      <c r="D315" s="33">
        <v>0</v>
      </c>
      <c r="E315" s="36">
        <v>0</v>
      </c>
      <c r="F315" s="37">
        <v>0</v>
      </c>
      <c r="G315">
        <v>0.23601672100000001</v>
      </c>
      <c r="H315">
        <f t="shared" si="38"/>
        <v>0</v>
      </c>
      <c r="I315" s="85">
        <v>6.9127177994232598E-5</v>
      </c>
      <c r="J315">
        <f t="shared" si="39"/>
        <v>0</v>
      </c>
      <c r="K315" s="86">
        <v>0.199862465262413</v>
      </c>
      <c r="L315">
        <f t="shared" si="40"/>
        <v>0</v>
      </c>
      <c r="M315">
        <v>0.16120816767215701</v>
      </c>
      <c r="N315">
        <f t="shared" si="40"/>
        <v>0</v>
      </c>
      <c r="O315">
        <v>3.6483153700829003E-2</v>
      </c>
      <c r="P315">
        <f t="shared" si="40"/>
        <v>0</v>
      </c>
      <c r="Q315">
        <v>0.18627706199999999</v>
      </c>
      <c r="R315">
        <f t="shared" si="40"/>
        <v>0</v>
      </c>
      <c r="S315">
        <v>1.7473746091127E-2</v>
      </c>
      <c r="T315">
        <f t="shared" si="41"/>
        <v>0</v>
      </c>
      <c r="U315" s="1">
        <v>0.12643172999999999</v>
      </c>
      <c r="V315">
        <v>0</v>
      </c>
      <c r="X315">
        <v>0</v>
      </c>
    </row>
    <row r="316" spans="1:24">
      <c r="A316" s="1">
        <v>0</v>
      </c>
      <c r="B316" s="1" t="s">
        <v>316</v>
      </c>
      <c r="C316" s="1">
        <v>0</v>
      </c>
      <c r="D316" s="33">
        <v>0</v>
      </c>
      <c r="E316" s="36">
        <v>0</v>
      </c>
      <c r="F316" s="37">
        <v>0</v>
      </c>
      <c r="G316">
        <v>0.36018028899999999</v>
      </c>
      <c r="H316">
        <f t="shared" si="38"/>
        <v>0</v>
      </c>
      <c r="I316" s="85">
        <v>0.14410641789436299</v>
      </c>
      <c r="J316">
        <f t="shared" si="39"/>
        <v>0</v>
      </c>
      <c r="K316" s="86">
        <v>0.41518270969390803</v>
      </c>
      <c r="L316">
        <f t="shared" si="40"/>
        <v>0</v>
      </c>
      <c r="M316">
        <v>0.33997082710266102</v>
      </c>
      <c r="N316">
        <f t="shared" si="40"/>
        <v>0</v>
      </c>
      <c r="O316">
        <v>0.46694815158844</v>
      </c>
      <c r="P316">
        <f t="shared" si="40"/>
        <v>0</v>
      </c>
      <c r="Q316">
        <v>0.37980717400000003</v>
      </c>
      <c r="R316">
        <f t="shared" si="40"/>
        <v>0</v>
      </c>
      <c r="S316">
        <v>0.68664693832397505</v>
      </c>
      <c r="T316">
        <f t="shared" si="41"/>
        <v>1</v>
      </c>
      <c r="U316" s="1">
        <v>0.29846346000000001</v>
      </c>
      <c r="V316">
        <v>1</v>
      </c>
      <c r="X316">
        <v>0</v>
      </c>
    </row>
    <row r="317" spans="1:24">
      <c r="A317" s="1">
        <v>0</v>
      </c>
      <c r="B317" s="1" t="s">
        <v>317</v>
      </c>
      <c r="C317" s="1">
        <v>0</v>
      </c>
      <c r="D317" s="33">
        <v>1</v>
      </c>
      <c r="E317" s="37">
        <v>1</v>
      </c>
      <c r="F317" s="37">
        <v>0</v>
      </c>
      <c r="G317">
        <v>0.84920799700000005</v>
      </c>
      <c r="H317">
        <f t="shared" si="38"/>
        <v>1</v>
      </c>
      <c r="I317" s="85">
        <v>0.632035732269287</v>
      </c>
      <c r="J317">
        <f t="shared" si="39"/>
        <v>1</v>
      </c>
      <c r="K317" s="86">
        <v>0.77748185396194402</v>
      </c>
      <c r="L317">
        <f t="shared" si="40"/>
        <v>1</v>
      </c>
      <c r="M317">
        <v>0.792763352394104</v>
      </c>
      <c r="N317">
        <f t="shared" si="40"/>
        <v>1</v>
      </c>
      <c r="O317">
        <v>0.59348881244659402</v>
      </c>
      <c r="P317">
        <f t="shared" si="40"/>
        <v>1</v>
      </c>
      <c r="Q317">
        <v>0.498576403</v>
      </c>
      <c r="R317">
        <f t="shared" si="40"/>
        <v>0</v>
      </c>
      <c r="S317">
        <v>0.86516922712326105</v>
      </c>
      <c r="T317">
        <f t="shared" si="41"/>
        <v>1</v>
      </c>
      <c r="U317" s="1">
        <v>0.18725462000000001</v>
      </c>
      <c r="V317">
        <v>0</v>
      </c>
      <c r="X317">
        <v>0</v>
      </c>
    </row>
    <row r="318" spans="1:24">
      <c r="A318" s="1">
        <v>0</v>
      </c>
      <c r="B318" s="1" t="s">
        <v>318</v>
      </c>
      <c r="C318" s="1">
        <v>0</v>
      </c>
      <c r="D318" s="33">
        <v>1</v>
      </c>
      <c r="E318" s="37">
        <v>1</v>
      </c>
      <c r="F318" s="37">
        <v>1</v>
      </c>
      <c r="G318">
        <v>0.86932051200000005</v>
      </c>
      <c r="H318">
        <f t="shared" si="38"/>
        <v>1</v>
      </c>
      <c r="I318" s="85">
        <v>0.99973040819168102</v>
      </c>
      <c r="J318">
        <f t="shared" si="39"/>
        <v>1</v>
      </c>
      <c r="K318" s="86">
        <v>0.632859766483306</v>
      </c>
      <c r="L318">
        <f t="shared" si="40"/>
        <v>1</v>
      </c>
      <c r="M318">
        <v>0.88810020685195901</v>
      </c>
      <c r="N318">
        <f t="shared" si="40"/>
        <v>1</v>
      </c>
      <c r="O318">
        <v>0.98475754261016801</v>
      </c>
      <c r="P318">
        <f t="shared" si="40"/>
        <v>1</v>
      </c>
      <c r="Q318">
        <v>0.73956340600000003</v>
      </c>
      <c r="R318">
        <f t="shared" si="40"/>
        <v>1</v>
      </c>
      <c r="S318">
        <v>0.99315071105956998</v>
      </c>
      <c r="T318">
        <f t="shared" si="41"/>
        <v>1</v>
      </c>
      <c r="U318" s="1">
        <v>0.46200736999999997</v>
      </c>
      <c r="V318">
        <v>1</v>
      </c>
      <c r="X318">
        <v>0</v>
      </c>
    </row>
    <row r="319" spans="1:24">
      <c r="A319" s="1">
        <v>0</v>
      </c>
      <c r="B319" s="1" t="s">
        <v>319</v>
      </c>
      <c r="C319" s="1">
        <v>0</v>
      </c>
      <c r="D319" s="33">
        <v>1</v>
      </c>
      <c r="E319" s="36">
        <v>0</v>
      </c>
      <c r="F319" s="37">
        <v>1</v>
      </c>
      <c r="G319">
        <v>0.42930203700000003</v>
      </c>
      <c r="H319">
        <f t="shared" si="38"/>
        <v>0</v>
      </c>
      <c r="I319" s="85">
        <v>0.80379068851471003</v>
      </c>
      <c r="J319">
        <f t="shared" si="39"/>
        <v>1</v>
      </c>
      <c r="K319" s="86">
        <v>0.99312275648116999</v>
      </c>
      <c r="L319">
        <f t="shared" si="40"/>
        <v>1</v>
      </c>
      <c r="M319">
        <v>0.70921587944030795</v>
      </c>
      <c r="N319">
        <f t="shared" si="40"/>
        <v>1</v>
      </c>
      <c r="O319">
        <v>0.80619055032730103</v>
      </c>
      <c r="P319">
        <f t="shared" si="40"/>
        <v>1</v>
      </c>
      <c r="Q319">
        <v>0.65915107699999997</v>
      </c>
      <c r="R319">
        <f t="shared" si="40"/>
        <v>1</v>
      </c>
      <c r="S319">
        <v>0.53140068054199197</v>
      </c>
      <c r="T319">
        <f t="shared" si="41"/>
        <v>1</v>
      </c>
      <c r="U319" s="1">
        <v>0.5259971</v>
      </c>
      <c r="V319">
        <v>1</v>
      </c>
      <c r="X319">
        <v>0</v>
      </c>
    </row>
    <row r="320" spans="1:24">
      <c r="A320" s="1">
        <v>0</v>
      </c>
      <c r="B320" s="7" t="s">
        <v>320</v>
      </c>
      <c r="C320" s="1">
        <v>0</v>
      </c>
      <c r="D320" s="33">
        <v>0</v>
      </c>
      <c r="E320" s="37">
        <v>0</v>
      </c>
      <c r="F320" s="37">
        <v>1</v>
      </c>
      <c r="G320">
        <v>0.40464761900000001</v>
      </c>
      <c r="H320">
        <f t="shared" si="38"/>
        <v>0</v>
      </c>
      <c r="I320" s="85">
        <v>0.195011377334595</v>
      </c>
      <c r="J320">
        <f t="shared" si="39"/>
        <v>0</v>
      </c>
      <c r="K320" s="86">
        <v>0.87458086013793901</v>
      </c>
      <c r="L320">
        <f t="shared" si="40"/>
        <v>1</v>
      </c>
      <c r="M320">
        <v>8.7428160011767994E-2</v>
      </c>
      <c r="N320">
        <f t="shared" si="40"/>
        <v>0</v>
      </c>
      <c r="O320">
        <v>0.10404393821954699</v>
      </c>
      <c r="P320">
        <f t="shared" si="40"/>
        <v>0</v>
      </c>
      <c r="Q320">
        <v>0.10963018200000001</v>
      </c>
      <c r="R320">
        <f t="shared" si="40"/>
        <v>0</v>
      </c>
      <c r="S320">
        <v>0.99195802211761497</v>
      </c>
      <c r="T320">
        <f t="shared" si="41"/>
        <v>1</v>
      </c>
      <c r="U320" s="7">
        <v>6.5277100000000005E-2</v>
      </c>
      <c r="V320">
        <v>0</v>
      </c>
      <c r="X320">
        <v>1</v>
      </c>
    </row>
    <row r="321" spans="1:24">
      <c r="A321" s="1">
        <v>0</v>
      </c>
      <c r="B321" s="1" t="s">
        <v>321</v>
      </c>
      <c r="C321" s="1">
        <v>0</v>
      </c>
      <c r="D321" s="33">
        <v>0</v>
      </c>
      <c r="E321" s="36">
        <v>0</v>
      </c>
      <c r="F321" s="37">
        <v>0</v>
      </c>
      <c r="G321">
        <v>0.37954652300000002</v>
      </c>
      <c r="H321">
        <f t="shared" si="38"/>
        <v>0</v>
      </c>
      <c r="I321" s="85">
        <v>0.40500798821449302</v>
      </c>
      <c r="J321">
        <f t="shared" si="39"/>
        <v>0</v>
      </c>
      <c r="K321" s="86">
        <v>0.141653582453727</v>
      </c>
      <c r="L321">
        <f t="shared" si="40"/>
        <v>0</v>
      </c>
      <c r="M321" s="30">
        <v>0.5314080119133</v>
      </c>
      <c r="N321">
        <f t="shared" si="40"/>
        <v>1</v>
      </c>
      <c r="O321">
        <v>0.159800440073013</v>
      </c>
      <c r="P321">
        <f t="shared" si="40"/>
        <v>0</v>
      </c>
      <c r="Q321">
        <v>0.46812963499999999</v>
      </c>
      <c r="R321">
        <f t="shared" si="40"/>
        <v>0</v>
      </c>
      <c r="S321">
        <v>0.70694589614868197</v>
      </c>
      <c r="T321">
        <f t="shared" si="41"/>
        <v>1</v>
      </c>
      <c r="U321" s="1">
        <v>3.720656E-2</v>
      </c>
      <c r="V321">
        <v>0</v>
      </c>
      <c r="X321">
        <v>0</v>
      </c>
    </row>
    <row r="322" spans="1:24">
      <c r="A322" s="1">
        <v>0</v>
      </c>
      <c r="B322" s="1" t="s">
        <v>322</v>
      </c>
      <c r="C322" s="1">
        <v>0</v>
      </c>
      <c r="D322" s="33">
        <v>0</v>
      </c>
      <c r="E322" s="36">
        <v>0</v>
      </c>
      <c r="F322" s="37">
        <v>0</v>
      </c>
      <c r="G322">
        <v>0.66866254800000002</v>
      </c>
      <c r="H322">
        <f t="shared" si="38"/>
        <v>1</v>
      </c>
      <c r="I322" s="85">
        <v>0.54541218280792203</v>
      </c>
      <c r="J322">
        <f t="shared" si="39"/>
        <v>1</v>
      </c>
      <c r="K322" s="86">
        <v>0.72071743011474598</v>
      </c>
      <c r="L322">
        <f t="shared" si="40"/>
        <v>1</v>
      </c>
      <c r="M322">
        <v>0.81808501482009899</v>
      </c>
      <c r="N322">
        <f t="shared" si="40"/>
        <v>1</v>
      </c>
      <c r="O322">
        <v>0.48896557092666598</v>
      </c>
      <c r="P322">
        <f t="shared" si="40"/>
        <v>0</v>
      </c>
      <c r="Q322">
        <v>0.70774507499999995</v>
      </c>
      <c r="R322">
        <f t="shared" si="40"/>
        <v>1</v>
      </c>
      <c r="S322">
        <v>0.84310525655746504</v>
      </c>
      <c r="T322">
        <f t="shared" si="41"/>
        <v>1</v>
      </c>
      <c r="U322" s="1">
        <v>0.1583012</v>
      </c>
      <c r="V322">
        <v>0</v>
      </c>
      <c r="X322">
        <v>0</v>
      </c>
    </row>
    <row r="323" spans="1:24">
      <c r="A323" s="1">
        <v>0</v>
      </c>
      <c r="B323" s="1" t="s">
        <v>323</v>
      </c>
      <c r="C323" s="1">
        <v>0</v>
      </c>
      <c r="D323" s="33">
        <v>1</v>
      </c>
      <c r="E323" s="36">
        <v>1</v>
      </c>
      <c r="F323" s="37">
        <v>0</v>
      </c>
      <c r="G323">
        <v>0.38680323999999999</v>
      </c>
      <c r="H323">
        <f t="shared" si="38"/>
        <v>0</v>
      </c>
      <c r="I323" s="85">
        <v>1.5710890293121001E-2</v>
      </c>
      <c r="J323">
        <f t="shared" si="39"/>
        <v>0</v>
      </c>
      <c r="K323" s="86">
        <v>0.53415346145629805</v>
      </c>
      <c r="L323">
        <f t="shared" si="40"/>
        <v>1</v>
      </c>
      <c r="M323" s="30">
        <v>0.289191395044327</v>
      </c>
      <c r="N323">
        <f t="shared" si="40"/>
        <v>0</v>
      </c>
      <c r="O323">
        <v>5.1375709474086997E-2</v>
      </c>
      <c r="P323">
        <f t="shared" si="40"/>
        <v>0</v>
      </c>
      <c r="Q323">
        <v>0.32441523700000002</v>
      </c>
      <c r="R323">
        <f t="shared" si="40"/>
        <v>0</v>
      </c>
      <c r="S323">
        <v>0.51873826980590798</v>
      </c>
      <c r="T323">
        <f t="shared" si="41"/>
        <v>1</v>
      </c>
      <c r="U323" s="1">
        <v>0.41309884000000002</v>
      </c>
      <c r="V323">
        <v>1</v>
      </c>
      <c r="X323">
        <v>0</v>
      </c>
    </row>
    <row r="324" spans="1:24">
      <c r="A324" s="1">
        <v>0</v>
      </c>
      <c r="B324" s="1" t="s">
        <v>324</v>
      </c>
      <c r="C324" s="1">
        <v>0</v>
      </c>
      <c r="D324" s="33">
        <v>0</v>
      </c>
      <c r="E324" s="36">
        <v>0</v>
      </c>
      <c r="F324" s="37">
        <v>0</v>
      </c>
      <c r="G324">
        <v>9.871386E-2</v>
      </c>
      <c r="H324">
        <f t="shared" si="38"/>
        <v>0</v>
      </c>
      <c r="I324" s="85">
        <v>1.3808188959956001E-2</v>
      </c>
      <c r="J324">
        <f t="shared" si="39"/>
        <v>0</v>
      </c>
      <c r="K324" s="86">
        <v>2.8939483687281602E-2</v>
      </c>
      <c r="L324">
        <f t="shared" si="40"/>
        <v>0</v>
      </c>
      <c r="M324">
        <v>0.226896926760673</v>
      </c>
      <c r="N324">
        <f t="shared" si="40"/>
        <v>0</v>
      </c>
      <c r="O324">
        <v>0.49405586719512901</v>
      </c>
      <c r="P324">
        <f t="shared" si="40"/>
        <v>0</v>
      </c>
      <c r="Q324">
        <v>0.27283269199999999</v>
      </c>
      <c r="R324">
        <f t="shared" si="40"/>
        <v>0</v>
      </c>
      <c r="S324">
        <v>7.2582811117172005E-2</v>
      </c>
      <c r="T324">
        <f t="shared" si="41"/>
        <v>0</v>
      </c>
      <c r="U324" s="1">
        <v>0.42105251999999999</v>
      </c>
      <c r="V324">
        <v>1</v>
      </c>
      <c r="X324">
        <v>0</v>
      </c>
    </row>
    <row r="325" spans="1:24">
      <c r="A325" s="1">
        <v>0</v>
      </c>
      <c r="B325" s="1" t="s">
        <v>325</v>
      </c>
      <c r="C325" s="1">
        <v>0</v>
      </c>
      <c r="D325" s="33">
        <v>0</v>
      </c>
      <c r="E325" s="36">
        <v>0</v>
      </c>
      <c r="F325" s="37">
        <v>0</v>
      </c>
      <c r="G325">
        <v>0.89195144199999998</v>
      </c>
      <c r="H325">
        <f t="shared" si="38"/>
        <v>1</v>
      </c>
      <c r="I325" s="85">
        <v>0.26380422711372398</v>
      </c>
      <c r="J325">
        <f t="shared" si="39"/>
        <v>0</v>
      </c>
      <c r="K325" s="86">
        <v>0.84912097454071001</v>
      </c>
      <c r="L325">
        <f t="shared" si="40"/>
        <v>1</v>
      </c>
      <c r="M325">
        <v>0.87693703174590998</v>
      </c>
      <c r="N325">
        <f t="shared" si="40"/>
        <v>1</v>
      </c>
      <c r="O325">
        <v>0.96910548210143999</v>
      </c>
      <c r="P325">
        <f t="shared" si="40"/>
        <v>1</v>
      </c>
      <c r="Q325">
        <v>0.71258479399999997</v>
      </c>
      <c r="R325">
        <f t="shared" si="40"/>
        <v>1</v>
      </c>
      <c r="S325">
        <v>0.99364823102951005</v>
      </c>
      <c r="T325">
        <f t="shared" si="41"/>
        <v>1</v>
      </c>
      <c r="U325" s="1">
        <v>0.40359473000000001</v>
      </c>
      <c r="V325">
        <v>1</v>
      </c>
      <c r="X325">
        <v>0</v>
      </c>
    </row>
    <row r="326" spans="1:24">
      <c r="A326" s="1">
        <v>0</v>
      </c>
      <c r="B326" s="1" t="s">
        <v>326</v>
      </c>
      <c r="C326" s="1">
        <v>0</v>
      </c>
      <c r="D326" s="33">
        <v>0</v>
      </c>
      <c r="E326" s="36">
        <v>0</v>
      </c>
      <c r="F326" s="37">
        <v>0</v>
      </c>
      <c r="G326">
        <v>0.27378576999999998</v>
      </c>
      <c r="H326">
        <f t="shared" si="38"/>
        <v>0</v>
      </c>
      <c r="I326" s="85">
        <v>0.57938432693481401</v>
      </c>
      <c r="J326">
        <f t="shared" si="39"/>
        <v>1</v>
      </c>
      <c r="K326" s="86">
        <v>2.3235535249113998E-2</v>
      </c>
      <c r="L326">
        <f t="shared" si="40"/>
        <v>0</v>
      </c>
      <c r="M326">
        <v>0.4625244140625</v>
      </c>
      <c r="N326">
        <f t="shared" si="40"/>
        <v>0</v>
      </c>
      <c r="O326">
        <v>0.34275561571121199</v>
      </c>
      <c r="P326">
        <f t="shared" si="40"/>
        <v>0</v>
      </c>
      <c r="Q326">
        <v>0.615982115</v>
      </c>
      <c r="R326">
        <f t="shared" si="40"/>
        <v>1</v>
      </c>
      <c r="S326">
        <v>0.22050142288207999</v>
      </c>
      <c r="T326">
        <f t="shared" si="41"/>
        <v>0</v>
      </c>
      <c r="U326" s="1">
        <v>0.22340541999999999</v>
      </c>
      <c r="V326">
        <v>0</v>
      </c>
      <c r="X326">
        <v>0</v>
      </c>
    </row>
    <row r="327" spans="1:24">
      <c r="A327" s="1">
        <v>0</v>
      </c>
      <c r="B327" s="1" t="s">
        <v>327</v>
      </c>
      <c r="C327" s="1">
        <v>0</v>
      </c>
      <c r="D327" s="33">
        <v>0</v>
      </c>
      <c r="E327" s="36">
        <v>0</v>
      </c>
      <c r="F327" s="37">
        <v>0</v>
      </c>
      <c r="G327">
        <v>0.83952140799999997</v>
      </c>
      <c r="H327">
        <f t="shared" si="38"/>
        <v>1</v>
      </c>
      <c r="I327" s="85">
        <v>0.96656513214111295</v>
      </c>
      <c r="J327">
        <f t="shared" si="39"/>
        <v>1</v>
      </c>
      <c r="K327" s="86">
        <v>0.44134539365768399</v>
      </c>
      <c r="L327">
        <f t="shared" si="40"/>
        <v>0</v>
      </c>
      <c r="M327">
        <v>0.58438783884048495</v>
      </c>
      <c r="N327">
        <f t="shared" si="40"/>
        <v>1</v>
      </c>
      <c r="O327">
        <v>0.96351140737533603</v>
      </c>
      <c r="P327">
        <f t="shared" si="40"/>
        <v>1</v>
      </c>
      <c r="Q327">
        <v>0.63464713100000003</v>
      </c>
      <c r="R327">
        <f t="shared" si="40"/>
        <v>1</v>
      </c>
      <c r="S327">
        <v>0.60848844051361095</v>
      </c>
      <c r="T327">
        <f t="shared" si="41"/>
        <v>1</v>
      </c>
      <c r="U327" s="1">
        <v>0.41950959999999998</v>
      </c>
      <c r="V327">
        <v>1</v>
      </c>
      <c r="X327">
        <v>0</v>
      </c>
    </row>
    <row r="328" spans="1:24">
      <c r="A328" s="1">
        <v>0</v>
      </c>
      <c r="B328" s="1" t="s">
        <v>328</v>
      </c>
      <c r="C328" s="1">
        <v>0</v>
      </c>
      <c r="D328" s="33">
        <v>0</v>
      </c>
      <c r="E328" s="36">
        <v>0</v>
      </c>
      <c r="F328" s="37">
        <v>0</v>
      </c>
      <c r="G328">
        <v>4.6249878000000001E-2</v>
      </c>
      <c r="H328">
        <f t="shared" si="38"/>
        <v>0</v>
      </c>
      <c r="I328" s="85">
        <v>3.4544460475445002E-2</v>
      </c>
      <c r="J328">
        <f t="shared" si="39"/>
        <v>0</v>
      </c>
      <c r="K328" s="86">
        <v>0.31896054744720398</v>
      </c>
      <c r="L328">
        <f t="shared" si="40"/>
        <v>0</v>
      </c>
      <c r="M328">
        <v>0.10614150762558</v>
      </c>
      <c r="N328">
        <f t="shared" si="40"/>
        <v>0</v>
      </c>
      <c r="O328">
        <v>1.2878549285233E-2</v>
      </c>
      <c r="P328">
        <f t="shared" si="40"/>
        <v>0</v>
      </c>
      <c r="Q328">
        <v>9.1788694000000004E-2</v>
      </c>
      <c r="R328">
        <f t="shared" si="40"/>
        <v>0</v>
      </c>
      <c r="S328">
        <v>0.13035696744918801</v>
      </c>
      <c r="T328">
        <f t="shared" si="41"/>
        <v>0</v>
      </c>
      <c r="U328" s="1">
        <v>6.7290550000000005E-2</v>
      </c>
      <c r="V328">
        <v>0</v>
      </c>
      <c r="X328">
        <v>0</v>
      </c>
    </row>
    <row r="329" spans="1:24">
      <c r="A329" s="1">
        <v>0</v>
      </c>
      <c r="B329" s="1" t="s">
        <v>329</v>
      </c>
      <c r="C329" s="1">
        <v>0</v>
      </c>
      <c r="D329" s="33">
        <v>0</v>
      </c>
      <c r="E329" s="36">
        <v>0</v>
      </c>
      <c r="F329" s="37">
        <v>0</v>
      </c>
      <c r="G329">
        <v>0.46637195300000001</v>
      </c>
      <c r="H329">
        <f t="shared" si="38"/>
        <v>0</v>
      </c>
      <c r="I329" s="85">
        <v>0.67345243692398105</v>
      </c>
      <c r="J329">
        <f t="shared" si="39"/>
        <v>1</v>
      </c>
      <c r="K329" s="86">
        <v>0.1704823076725</v>
      </c>
      <c r="L329">
        <f t="shared" si="40"/>
        <v>0</v>
      </c>
      <c r="M329">
        <v>8.1836640834808003E-2</v>
      </c>
      <c r="N329">
        <f t="shared" si="40"/>
        <v>0</v>
      </c>
      <c r="O329">
        <v>0.127507209777832</v>
      </c>
      <c r="P329">
        <f t="shared" si="40"/>
        <v>0</v>
      </c>
      <c r="Q329">
        <v>0.13602502599999999</v>
      </c>
      <c r="R329">
        <f t="shared" si="40"/>
        <v>0</v>
      </c>
      <c r="S329">
        <v>1.9915379583836001E-2</v>
      </c>
      <c r="T329">
        <f t="shared" si="41"/>
        <v>0</v>
      </c>
      <c r="U329" s="1">
        <v>5.3733087999999998E-2</v>
      </c>
      <c r="V329">
        <v>0</v>
      </c>
      <c r="X329">
        <v>0</v>
      </c>
    </row>
    <row r="330" spans="1:24">
      <c r="A330" s="1">
        <v>0</v>
      </c>
      <c r="B330" s="5" t="s">
        <v>330</v>
      </c>
      <c r="C330" s="1">
        <v>0</v>
      </c>
      <c r="D330" s="33">
        <v>0</v>
      </c>
      <c r="E330" s="36">
        <v>0</v>
      </c>
      <c r="F330" s="37">
        <v>0</v>
      </c>
      <c r="G330">
        <v>0.31421977299999998</v>
      </c>
      <c r="H330">
        <f t="shared" si="38"/>
        <v>0</v>
      </c>
      <c r="I330" s="85">
        <v>0.125619947910309</v>
      </c>
      <c r="J330">
        <f t="shared" si="39"/>
        <v>0</v>
      </c>
      <c r="K330" s="86">
        <v>0.28131708502769398</v>
      </c>
      <c r="L330">
        <f t="shared" si="40"/>
        <v>0</v>
      </c>
      <c r="M330">
        <v>0.49095371365547202</v>
      </c>
      <c r="N330">
        <f t="shared" si="40"/>
        <v>0</v>
      </c>
      <c r="O330">
        <v>0.299406617879868</v>
      </c>
      <c r="P330">
        <f t="shared" si="40"/>
        <v>0</v>
      </c>
      <c r="Q330">
        <v>0.330785573</v>
      </c>
      <c r="R330">
        <f t="shared" si="40"/>
        <v>0</v>
      </c>
      <c r="S330">
        <v>0.95065432786941495</v>
      </c>
      <c r="T330">
        <f t="shared" si="41"/>
        <v>1</v>
      </c>
      <c r="U330" s="5">
        <v>0.15691063999999999</v>
      </c>
      <c r="V330">
        <v>0</v>
      </c>
      <c r="X330">
        <v>0</v>
      </c>
    </row>
    <row r="331" spans="1:24">
      <c r="A331" s="1">
        <v>0</v>
      </c>
      <c r="B331" s="1" t="s">
        <v>331</v>
      </c>
      <c r="C331" s="1">
        <v>0</v>
      </c>
      <c r="D331" s="33">
        <v>0</v>
      </c>
      <c r="E331" s="36">
        <v>0</v>
      </c>
      <c r="F331" s="37">
        <v>0</v>
      </c>
      <c r="G331">
        <v>4.0204442999999999E-2</v>
      </c>
      <c r="H331">
        <f t="shared" si="38"/>
        <v>0</v>
      </c>
      <c r="I331" s="85">
        <v>1.1261469684541E-2</v>
      </c>
      <c r="J331">
        <f t="shared" si="39"/>
        <v>0</v>
      </c>
      <c r="K331" s="86">
        <v>3.12287686392664E-3</v>
      </c>
      <c r="L331">
        <f t="shared" si="40"/>
        <v>0</v>
      </c>
      <c r="M331">
        <v>0.31678950786590598</v>
      </c>
      <c r="N331">
        <f t="shared" si="40"/>
        <v>0</v>
      </c>
      <c r="O331">
        <v>4.4384412467479997E-2</v>
      </c>
      <c r="P331">
        <f t="shared" si="40"/>
        <v>0</v>
      </c>
      <c r="Q331">
        <v>0.17575170100000001</v>
      </c>
      <c r="R331">
        <f t="shared" si="40"/>
        <v>0</v>
      </c>
      <c r="S331">
        <v>1.3758474029601E-2</v>
      </c>
      <c r="T331">
        <f t="shared" si="41"/>
        <v>0</v>
      </c>
      <c r="U331" s="1">
        <v>0.21715122000000001</v>
      </c>
      <c r="V331">
        <v>0</v>
      </c>
      <c r="X331">
        <v>0</v>
      </c>
    </row>
    <row r="332" spans="1:24">
      <c r="A332" s="1">
        <v>0</v>
      </c>
      <c r="B332" s="1" t="s">
        <v>332</v>
      </c>
      <c r="C332" s="1">
        <v>0</v>
      </c>
      <c r="D332" s="33">
        <v>0</v>
      </c>
      <c r="E332" s="36">
        <v>0</v>
      </c>
      <c r="F332" s="37">
        <v>0</v>
      </c>
      <c r="G332">
        <v>0.207557932</v>
      </c>
      <c r="H332">
        <f t="shared" si="38"/>
        <v>0</v>
      </c>
      <c r="I332" s="85">
        <v>1.199977472425E-3</v>
      </c>
      <c r="J332">
        <f t="shared" si="39"/>
        <v>0</v>
      </c>
      <c r="K332" s="86">
        <v>0.23064531385898501</v>
      </c>
      <c r="L332">
        <f t="shared" si="40"/>
        <v>0</v>
      </c>
      <c r="M332">
        <v>8.4752120077610002E-2</v>
      </c>
      <c r="N332">
        <f t="shared" si="40"/>
        <v>0</v>
      </c>
      <c r="O332">
        <v>0.175677940249443</v>
      </c>
      <c r="P332">
        <f t="shared" si="40"/>
        <v>0</v>
      </c>
      <c r="Q332">
        <v>0.14254693700000001</v>
      </c>
      <c r="R332">
        <f t="shared" si="40"/>
        <v>0</v>
      </c>
      <c r="S332">
        <v>0.311598420143127</v>
      </c>
      <c r="T332">
        <f t="shared" si="41"/>
        <v>0</v>
      </c>
      <c r="U332" s="1">
        <v>5.7415582E-2</v>
      </c>
      <c r="V332">
        <v>0</v>
      </c>
      <c r="X332">
        <v>0</v>
      </c>
    </row>
    <row r="333" spans="1:24">
      <c r="A333" s="1">
        <v>0</v>
      </c>
      <c r="B333" s="1" t="s">
        <v>333</v>
      </c>
      <c r="C333" s="1">
        <v>0</v>
      </c>
      <c r="D333" s="33">
        <v>0</v>
      </c>
      <c r="E333" s="36">
        <v>0</v>
      </c>
      <c r="F333" s="37">
        <v>0</v>
      </c>
      <c r="G333">
        <v>0.297248334</v>
      </c>
      <c r="H333">
        <f t="shared" si="38"/>
        <v>0</v>
      </c>
      <c r="I333" s="85">
        <v>1.9715066999196999E-2</v>
      </c>
      <c r="J333">
        <f t="shared" si="39"/>
        <v>0</v>
      </c>
      <c r="K333" s="86">
        <v>4.0165055543184197E-2</v>
      </c>
      <c r="L333">
        <f t="shared" si="40"/>
        <v>0</v>
      </c>
      <c r="M333">
        <v>0.30501660704612699</v>
      </c>
      <c r="N333">
        <f t="shared" si="40"/>
        <v>0</v>
      </c>
      <c r="O333">
        <v>9.1548025608062994E-2</v>
      </c>
      <c r="P333">
        <f t="shared" si="40"/>
        <v>0</v>
      </c>
      <c r="Q333">
        <v>0.27096071799999999</v>
      </c>
      <c r="R333">
        <f t="shared" si="40"/>
        <v>0</v>
      </c>
      <c r="S333">
        <v>0.116352491080761</v>
      </c>
      <c r="T333">
        <f t="shared" si="41"/>
        <v>0</v>
      </c>
      <c r="U333" s="1">
        <v>0.15011999000000001</v>
      </c>
      <c r="V333">
        <v>0</v>
      </c>
      <c r="X333">
        <v>0</v>
      </c>
    </row>
    <row r="334" spans="1:24">
      <c r="A334" s="1">
        <v>0</v>
      </c>
      <c r="B334" s="1" t="s">
        <v>334</v>
      </c>
      <c r="C334" s="1">
        <v>0</v>
      </c>
      <c r="D334" s="33">
        <v>0</v>
      </c>
      <c r="E334" s="36">
        <v>0</v>
      </c>
      <c r="F334" s="37">
        <v>0</v>
      </c>
      <c r="G334" s="30">
        <v>3.5824149999999999E-2</v>
      </c>
      <c r="H334">
        <f t="shared" si="38"/>
        <v>0</v>
      </c>
      <c r="I334" s="85">
        <v>1.75633049366297E-5</v>
      </c>
      <c r="J334">
        <f t="shared" si="39"/>
        <v>0</v>
      </c>
      <c r="K334" s="86">
        <v>3.7093721330165798E-3</v>
      </c>
      <c r="L334">
        <f t="shared" si="40"/>
        <v>0</v>
      </c>
      <c r="M334">
        <v>1.9915217533708E-2</v>
      </c>
      <c r="N334">
        <f t="shared" si="40"/>
        <v>0</v>
      </c>
      <c r="O334" s="30">
        <v>5.8840829879049997E-3</v>
      </c>
      <c r="P334">
        <f t="shared" si="40"/>
        <v>0</v>
      </c>
      <c r="Q334">
        <v>0.102736309</v>
      </c>
      <c r="R334">
        <f t="shared" si="40"/>
        <v>0</v>
      </c>
      <c r="S334">
        <v>4.8423800617460001E-3</v>
      </c>
      <c r="T334">
        <f t="shared" si="41"/>
        <v>0</v>
      </c>
      <c r="U334" s="1">
        <v>0.16236566999999999</v>
      </c>
      <c r="V334">
        <v>0</v>
      </c>
      <c r="X334">
        <v>0</v>
      </c>
    </row>
    <row r="335" spans="1:24">
      <c r="A335" s="1">
        <v>1</v>
      </c>
      <c r="B335" s="1" t="s">
        <v>335</v>
      </c>
      <c r="C335" s="1">
        <v>1</v>
      </c>
      <c r="D335" s="33">
        <v>1</v>
      </c>
      <c r="E335" s="37">
        <v>1</v>
      </c>
      <c r="F335" s="37">
        <v>1</v>
      </c>
      <c r="G335">
        <v>0.93234086000000005</v>
      </c>
      <c r="H335">
        <f t="shared" si="38"/>
        <v>1</v>
      </c>
      <c r="I335" s="85">
        <v>0.994909107685089</v>
      </c>
      <c r="J335">
        <f t="shared" si="39"/>
        <v>1</v>
      </c>
      <c r="K335" s="86">
        <v>0.96256214380264205</v>
      </c>
      <c r="L335">
        <f t="shared" si="40"/>
        <v>1</v>
      </c>
      <c r="M335">
        <v>0.94325625896453902</v>
      </c>
      <c r="N335">
        <f t="shared" si="40"/>
        <v>1</v>
      </c>
      <c r="O335">
        <v>0.86648380756378196</v>
      </c>
      <c r="P335">
        <f t="shared" si="40"/>
        <v>1</v>
      </c>
      <c r="Q335">
        <v>0.59135425100000005</v>
      </c>
      <c r="R335">
        <f t="shared" si="40"/>
        <v>1</v>
      </c>
      <c r="S335">
        <v>0.974786937236786</v>
      </c>
      <c r="T335">
        <f t="shared" si="41"/>
        <v>1</v>
      </c>
      <c r="U335" s="1">
        <v>0.33847153000000002</v>
      </c>
      <c r="V335">
        <v>1</v>
      </c>
      <c r="X335">
        <v>0</v>
      </c>
    </row>
    <row r="336" spans="1:24">
      <c r="A336" s="1">
        <v>1</v>
      </c>
      <c r="B336" s="1" t="s">
        <v>336</v>
      </c>
      <c r="C336" s="1">
        <v>1</v>
      </c>
      <c r="D336" s="33">
        <v>0</v>
      </c>
      <c r="E336" s="36">
        <v>1</v>
      </c>
      <c r="F336" s="37">
        <v>1</v>
      </c>
      <c r="G336">
        <v>0.60719192</v>
      </c>
      <c r="H336">
        <f t="shared" si="38"/>
        <v>1</v>
      </c>
      <c r="I336" s="85">
        <v>0.84543079137802102</v>
      </c>
      <c r="J336">
        <f t="shared" si="39"/>
        <v>1</v>
      </c>
      <c r="K336" s="86">
        <v>0.24148729443550099</v>
      </c>
      <c r="L336">
        <f t="shared" si="40"/>
        <v>0</v>
      </c>
      <c r="M336">
        <v>0.35009944438934298</v>
      </c>
      <c r="N336">
        <f t="shared" si="40"/>
        <v>0</v>
      </c>
      <c r="O336">
        <v>0.92140364646911599</v>
      </c>
      <c r="P336">
        <f t="shared" si="40"/>
        <v>1</v>
      </c>
      <c r="Q336">
        <v>0.53518915199999995</v>
      </c>
      <c r="R336">
        <f t="shared" si="40"/>
        <v>1</v>
      </c>
      <c r="S336">
        <v>0.88437366485595703</v>
      </c>
      <c r="T336">
        <f t="shared" si="41"/>
        <v>1</v>
      </c>
      <c r="U336" s="1">
        <v>0.33432247999999998</v>
      </c>
      <c r="V336">
        <v>1</v>
      </c>
      <c r="X336">
        <v>0</v>
      </c>
    </row>
    <row r="337" spans="1:24">
      <c r="A337" s="1">
        <v>1</v>
      </c>
      <c r="B337" s="1" t="s">
        <v>337</v>
      </c>
      <c r="C337" s="1">
        <v>1</v>
      </c>
      <c r="D337" s="33">
        <v>1</v>
      </c>
      <c r="E337" s="37">
        <v>1</v>
      </c>
      <c r="F337" s="37">
        <v>1</v>
      </c>
      <c r="G337">
        <v>0.94368195499999996</v>
      </c>
      <c r="H337">
        <f t="shared" si="38"/>
        <v>1</v>
      </c>
      <c r="I337" s="85">
        <v>0.99999988079071001</v>
      </c>
      <c r="J337">
        <f t="shared" si="39"/>
        <v>1</v>
      </c>
      <c r="K337" s="86">
        <v>0.97544187307357699</v>
      </c>
      <c r="L337">
        <f t="shared" si="40"/>
        <v>1</v>
      </c>
      <c r="M337">
        <v>0.739624083042145</v>
      </c>
      <c r="N337">
        <f t="shared" si="40"/>
        <v>1</v>
      </c>
      <c r="O337">
        <v>0.98914521932601895</v>
      </c>
      <c r="P337">
        <f t="shared" si="40"/>
        <v>1</v>
      </c>
      <c r="Q337">
        <v>0.864467561</v>
      </c>
      <c r="R337">
        <f t="shared" si="40"/>
        <v>1</v>
      </c>
      <c r="S337">
        <v>0.74397754669189498</v>
      </c>
      <c r="T337">
        <f t="shared" si="41"/>
        <v>1</v>
      </c>
      <c r="U337" s="1">
        <v>0.42932734</v>
      </c>
      <c r="V337">
        <v>1</v>
      </c>
      <c r="X337">
        <v>0</v>
      </c>
    </row>
    <row r="338" spans="1:24">
      <c r="A338" s="1">
        <v>1</v>
      </c>
      <c r="B338" s="1" t="s">
        <v>338</v>
      </c>
      <c r="C338" s="1">
        <v>1</v>
      </c>
      <c r="D338" s="33">
        <v>1</v>
      </c>
      <c r="E338" s="37">
        <v>1</v>
      </c>
      <c r="F338" s="37">
        <v>1</v>
      </c>
      <c r="G338">
        <v>0.83155041900000004</v>
      </c>
      <c r="H338">
        <f t="shared" si="38"/>
        <v>1</v>
      </c>
      <c r="I338" s="85">
        <v>0.99334704875946001</v>
      </c>
      <c r="J338">
        <f t="shared" si="39"/>
        <v>1</v>
      </c>
      <c r="K338" s="86">
        <v>0.96285957098007202</v>
      </c>
      <c r="L338">
        <f t="shared" si="40"/>
        <v>1</v>
      </c>
      <c r="M338">
        <v>0.20940524339675901</v>
      </c>
      <c r="N338">
        <f t="shared" si="40"/>
        <v>0</v>
      </c>
      <c r="O338">
        <v>0.989568531513214</v>
      </c>
      <c r="P338">
        <f t="shared" si="40"/>
        <v>1</v>
      </c>
      <c r="Q338">
        <v>0.70473617300000002</v>
      </c>
      <c r="R338">
        <f t="shared" si="40"/>
        <v>1</v>
      </c>
      <c r="S338">
        <v>0.48752999305725098</v>
      </c>
      <c r="T338">
        <f t="shared" si="41"/>
        <v>0</v>
      </c>
      <c r="U338" s="1">
        <v>0.23022671</v>
      </c>
      <c r="V338">
        <v>1</v>
      </c>
      <c r="X338">
        <v>0</v>
      </c>
    </row>
    <row r="339" spans="1:24">
      <c r="A339" s="1">
        <v>1</v>
      </c>
      <c r="B339" s="1" t="s">
        <v>339</v>
      </c>
      <c r="C339" s="1">
        <v>1</v>
      </c>
      <c r="D339" s="33">
        <v>1</v>
      </c>
      <c r="E339" s="37">
        <v>1</v>
      </c>
      <c r="F339" s="37">
        <v>1</v>
      </c>
      <c r="G339">
        <v>0.94579201899999998</v>
      </c>
      <c r="H339">
        <f t="shared" si="38"/>
        <v>1</v>
      </c>
      <c r="I339" s="85">
        <v>0.99641185998916604</v>
      </c>
      <c r="J339">
        <f t="shared" si="39"/>
        <v>1</v>
      </c>
      <c r="K339" s="86">
        <v>0.83517551422119096</v>
      </c>
      <c r="L339">
        <f t="shared" si="40"/>
        <v>1</v>
      </c>
      <c r="M339">
        <v>0.67495405673980702</v>
      </c>
      <c r="N339">
        <f t="shared" si="40"/>
        <v>1</v>
      </c>
      <c r="O339">
        <v>0.97147613763809204</v>
      </c>
      <c r="P339">
        <f t="shared" si="40"/>
        <v>1</v>
      </c>
      <c r="Q339">
        <v>0.70401203599999995</v>
      </c>
      <c r="R339">
        <f t="shared" si="40"/>
        <v>1</v>
      </c>
      <c r="S339">
        <v>0.95902651548385598</v>
      </c>
      <c r="T339">
        <f t="shared" si="41"/>
        <v>1</v>
      </c>
      <c r="U339" s="1">
        <v>0.49624973999999999</v>
      </c>
      <c r="V339">
        <v>1</v>
      </c>
      <c r="X339">
        <v>0</v>
      </c>
    </row>
    <row r="340" spans="1:24">
      <c r="A340" s="1">
        <v>1</v>
      </c>
      <c r="B340" s="1" t="s">
        <v>340</v>
      </c>
      <c r="C340" s="1">
        <v>1</v>
      </c>
      <c r="D340" s="33">
        <v>1</v>
      </c>
      <c r="E340" s="37">
        <v>1</v>
      </c>
      <c r="F340" s="37">
        <v>1</v>
      </c>
      <c r="G340">
        <v>0.90839862800000004</v>
      </c>
      <c r="H340">
        <f t="shared" si="38"/>
        <v>1</v>
      </c>
      <c r="I340" s="85">
        <v>0.98819971084594704</v>
      </c>
      <c r="J340">
        <f t="shared" si="39"/>
        <v>1</v>
      </c>
      <c r="K340" s="86">
        <v>0.57387369871139504</v>
      </c>
      <c r="L340">
        <f t="shared" si="40"/>
        <v>1</v>
      </c>
      <c r="M340">
        <v>0.30091744661331199</v>
      </c>
      <c r="N340">
        <f t="shared" si="40"/>
        <v>0</v>
      </c>
      <c r="O340">
        <v>0.90896344184875499</v>
      </c>
      <c r="P340">
        <f t="shared" si="40"/>
        <v>1</v>
      </c>
      <c r="Q340">
        <v>0.59705936900000001</v>
      </c>
      <c r="R340">
        <f t="shared" si="40"/>
        <v>1</v>
      </c>
      <c r="S340">
        <v>0.60674738883972201</v>
      </c>
      <c r="T340">
        <f t="shared" si="41"/>
        <v>1</v>
      </c>
      <c r="U340" s="1">
        <v>0.36718023</v>
      </c>
      <c r="V340">
        <v>1</v>
      </c>
      <c r="X340">
        <v>0</v>
      </c>
    </row>
    <row r="341" spans="1:24">
      <c r="A341" s="1">
        <v>1</v>
      </c>
      <c r="B341" s="7" t="s">
        <v>341</v>
      </c>
      <c r="C341" s="1">
        <v>1</v>
      </c>
      <c r="D341" s="33">
        <v>0</v>
      </c>
      <c r="E341" s="37">
        <v>1</v>
      </c>
      <c r="F341" s="37">
        <v>1</v>
      </c>
      <c r="G341">
        <v>0.87223130500000001</v>
      </c>
      <c r="H341">
        <f t="shared" si="38"/>
        <v>1</v>
      </c>
      <c r="I341" s="85">
        <v>0.99115478992462203</v>
      </c>
      <c r="J341">
        <f t="shared" si="39"/>
        <v>1</v>
      </c>
      <c r="K341" s="86">
        <v>0.91645312309265103</v>
      </c>
      <c r="L341">
        <f t="shared" si="40"/>
        <v>1</v>
      </c>
      <c r="M341">
        <v>0.92753046751022294</v>
      </c>
      <c r="N341">
        <f t="shared" si="40"/>
        <v>1</v>
      </c>
      <c r="O341">
        <v>0.96991562843322798</v>
      </c>
      <c r="P341">
        <f t="shared" si="40"/>
        <v>1</v>
      </c>
      <c r="Q341">
        <v>0.84925532299999995</v>
      </c>
      <c r="R341">
        <f t="shared" si="40"/>
        <v>1</v>
      </c>
      <c r="S341">
        <v>0.99987518787384</v>
      </c>
      <c r="T341">
        <f t="shared" si="41"/>
        <v>1</v>
      </c>
      <c r="U341" s="1">
        <v>0.27300092999999998</v>
      </c>
      <c r="V341">
        <v>1</v>
      </c>
      <c r="X341">
        <v>1</v>
      </c>
    </row>
    <row r="342" spans="1:24">
      <c r="A342" s="1">
        <v>1</v>
      </c>
      <c r="B342" s="1" t="s">
        <v>342</v>
      </c>
      <c r="C342" s="1">
        <v>1</v>
      </c>
      <c r="D342" s="33">
        <v>1</v>
      </c>
      <c r="E342" s="37">
        <v>1</v>
      </c>
      <c r="F342" s="37">
        <v>1</v>
      </c>
      <c r="G342">
        <v>0.19019646900000001</v>
      </c>
      <c r="H342">
        <f t="shared" si="38"/>
        <v>0</v>
      </c>
      <c r="I342" s="85">
        <v>0.76886993646621704</v>
      </c>
      <c r="J342">
        <f t="shared" si="39"/>
        <v>1</v>
      </c>
      <c r="K342" s="86">
        <v>0.58629864454269398</v>
      </c>
      <c r="L342">
        <f t="shared" si="40"/>
        <v>1</v>
      </c>
      <c r="M342">
        <v>0.27949795126915</v>
      </c>
      <c r="N342">
        <f t="shared" si="40"/>
        <v>0</v>
      </c>
      <c r="O342">
        <v>0.28726977109909102</v>
      </c>
      <c r="P342">
        <f t="shared" si="40"/>
        <v>0</v>
      </c>
      <c r="Q342">
        <v>0.41711705900000001</v>
      </c>
      <c r="R342">
        <f t="shared" si="40"/>
        <v>0</v>
      </c>
      <c r="S342">
        <v>0.29672423005104098</v>
      </c>
      <c r="T342">
        <f t="shared" si="41"/>
        <v>0</v>
      </c>
      <c r="U342" s="1">
        <v>0.3345225</v>
      </c>
      <c r="V342">
        <v>1</v>
      </c>
      <c r="X342">
        <v>0</v>
      </c>
    </row>
    <row r="343" spans="1:24">
      <c r="A343" s="1">
        <v>1</v>
      </c>
      <c r="B343" s="1" t="s">
        <v>343</v>
      </c>
      <c r="C343" s="1">
        <v>1</v>
      </c>
      <c r="D343" s="33">
        <v>0</v>
      </c>
      <c r="E343" s="37">
        <v>1</v>
      </c>
      <c r="F343" s="37">
        <v>1</v>
      </c>
      <c r="G343">
        <v>0.27420279400000003</v>
      </c>
      <c r="H343">
        <f t="shared" ref="H343:H406" si="42">IF(G343&gt;$A$2,1,0)</f>
        <v>0</v>
      </c>
      <c r="I343" s="85">
        <v>0.77114135026931796</v>
      </c>
      <c r="J343">
        <f t="shared" ref="J343:J406" si="43">IF(I343&gt;$A$2,1,0)</f>
        <v>1</v>
      </c>
      <c r="K343" s="86">
        <v>6.1102327890694098E-3</v>
      </c>
      <c r="L343">
        <f t="shared" ref="L343:T406" si="44">IF(K343&gt;$A$2,1,0)</f>
        <v>0</v>
      </c>
      <c r="M343">
        <v>0.65259778499603305</v>
      </c>
      <c r="N343">
        <f t="shared" si="44"/>
        <v>1</v>
      </c>
      <c r="O343">
        <v>0.47124987840652499</v>
      </c>
      <c r="P343">
        <f t="shared" si="44"/>
        <v>0</v>
      </c>
      <c r="Q343">
        <v>0.24656558000000001</v>
      </c>
      <c r="R343">
        <f t="shared" si="44"/>
        <v>0</v>
      </c>
      <c r="S343">
        <v>0.14122587442398099</v>
      </c>
      <c r="T343">
        <f t="shared" si="44"/>
        <v>0</v>
      </c>
      <c r="U343" s="1">
        <v>0.22531309999999999</v>
      </c>
      <c r="V343">
        <v>1</v>
      </c>
      <c r="X343">
        <v>0</v>
      </c>
    </row>
    <row r="344" spans="1:24">
      <c r="A344" s="1">
        <v>1</v>
      </c>
      <c r="B344" s="1" t="s">
        <v>344</v>
      </c>
      <c r="C344" s="1">
        <v>1</v>
      </c>
      <c r="D344" s="33">
        <v>1</v>
      </c>
      <c r="E344" s="37">
        <v>1</v>
      </c>
      <c r="F344" s="37">
        <v>1</v>
      </c>
      <c r="G344">
        <v>0.93645161399999999</v>
      </c>
      <c r="H344">
        <f t="shared" si="42"/>
        <v>1</v>
      </c>
      <c r="I344" s="85">
        <v>0.99999356269836404</v>
      </c>
      <c r="J344">
        <f t="shared" si="43"/>
        <v>1</v>
      </c>
      <c r="K344" s="86">
        <v>0.99421060085296598</v>
      </c>
      <c r="L344">
        <f t="shared" si="44"/>
        <v>1</v>
      </c>
      <c r="M344" s="30">
        <v>0.93104910850524902</v>
      </c>
      <c r="N344">
        <f t="shared" si="44"/>
        <v>1</v>
      </c>
      <c r="O344">
        <v>0.99673414230346702</v>
      </c>
      <c r="P344">
        <f t="shared" si="44"/>
        <v>1</v>
      </c>
      <c r="Q344">
        <v>0.83293193600000004</v>
      </c>
      <c r="R344">
        <f t="shared" si="44"/>
        <v>1</v>
      </c>
      <c r="S344">
        <v>0.99980729818344105</v>
      </c>
      <c r="T344">
        <f t="shared" si="44"/>
        <v>1</v>
      </c>
      <c r="U344" s="1">
        <v>0.30315816000000001</v>
      </c>
      <c r="V344">
        <v>1</v>
      </c>
      <c r="X344">
        <v>0</v>
      </c>
    </row>
    <row r="345" spans="1:24">
      <c r="A345" s="1">
        <v>1</v>
      </c>
      <c r="B345" s="7" t="s">
        <v>345</v>
      </c>
      <c r="C345" s="1">
        <v>1</v>
      </c>
      <c r="D345" s="33">
        <v>1</v>
      </c>
      <c r="E345" s="37">
        <v>1</v>
      </c>
      <c r="F345" s="37">
        <v>1</v>
      </c>
      <c r="G345">
        <v>0.42874583599999999</v>
      </c>
      <c r="H345">
        <f t="shared" si="42"/>
        <v>0</v>
      </c>
      <c r="I345" s="85">
        <v>0.54213422536849998</v>
      </c>
      <c r="J345">
        <f t="shared" si="43"/>
        <v>1</v>
      </c>
      <c r="K345" s="86">
        <v>0.60368621349334695</v>
      </c>
      <c r="L345">
        <f t="shared" si="44"/>
        <v>1</v>
      </c>
      <c r="M345">
        <v>0.287366032600403</v>
      </c>
      <c r="N345">
        <f t="shared" si="44"/>
        <v>0</v>
      </c>
      <c r="O345">
        <v>0.78152900934219405</v>
      </c>
      <c r="P345">
        <f t="shared" si="44"/>
        <v>1</v>
      </c>
      <c r="Q345">
        <v>0.62198173999999995</v>
      </c>
      <c r="R345">
        <f t="shared" si="44"/>
        <v>1</v>
      </c>
      <c r="S345">
        <v>0.99840241670608498</v>
      </c>
      <c r="T345">
        <f t="shared" ref="T345:T406" si="45">IF(S345&gt;$A$2,1,0)</f>
        <v>1</v>
      </c>
      <c r="U345" s="1">
        <v>0.39090910000000001</v>
      </c>
      <c r="V345">
        <v>1</v>
      </c>
      <c r="X345">
        <v>1</v>
      </c>
    </row>
    <row r="346" spans="1:24">
      <c r="A346" s="1">
        <v>1</v>
      </c>
      <c r="B346" s="1" t="s">
        <v>346</v>
      </c>
      <c r="C346" s="1">
        <v>1</v>
      </c>
      <c r="D346" s="33">
        <v>1</v>
      </c>
      <c r="E346" s="37">
        <v>1</v>
      </c>
      <c r="F346" s="37">
        <v>1</v>
      </c>
      <c r="G346">
        <v>0.94396781900000004</v>
      </c>
      <c r="H346">
        <f t="shared" si="42"/>
        <v>1</v>
      </c>
      <c r="I346" s="85">
        <v>0.99455076456069902</v>
      </c>
      <c r="J346">
        <f t="shared" si="43"/>
        <v>1</v>
      </c>
      <c r="K346" s="86">
        <v>0.60482347011566095</v>
      </c>
      <c r="L346">
        <f t="shared" si="44"/>
        <v>1</v>
      </c>
      <c r="M346">
        <v>0.70414364337921098</v>
      </c>
      <c r="N346">
        <f t="shared" si="44"/>
        <v>1</v>
      </c>
      <c r="O346">
        <v>0.96851849555969205</v>
      </c>
      <c r="P346">
        <f t="shared" si="44"/>
        <v>1</v>
      </c>
      <c r="Q346">
        <v>0.77363073800000004</v>
      </c>
      <c r="R346">
        <f t="shared" si="44"/>
        <v>1</v>
      </c>
      <c r="S346">
        <v>0.99005740880966198</v>
      </c>
      <c r="T346">
        <f t="shared" si="45"/>
        <v>1</v>
      </c>
      <c r="U346" s="1">
        <v>0.27143803</v>
      </c>
      <c r="V346">
        <v>1</v>
      </c>
      <c r="X346">
        <v>0</v>
      </c>
    </row>
    <row r="347" spans="1:24">
      <c r="A347" s="1">
        <v>1</v>
      </c>
      <c r="B347" s="1" t="s">
        <v>347</v>
      </c>
      <c r="C347" s="1">
        <v>1</v>
      </c>
      <c r="D347" s="33">
        <v>1</v>
      </c>
      <c r="E347" s="37">
        <v>1</v>
      </c>
      <c r="F347" s="37">
        <v>1</v>
      </c>
      <c r="G347">
        <v>0.90837091199999997</v>
      </c>
      <c r="H347">
        <f t="shared" si="42"/>
        <v>1</v>
      </c>
      <c r="I347" s="85">
        <v>0.74471122026443504</v>
      </c>
      <c r="J347">
        <f t="shared" si="43"/>
        <v>1</v>
      </c>
      <c r="K347" s="86">
        <v>0.96944403648376398</v>
      </c>
      <c r="L347">
        <f t="shared" si="44"/>
        <v>1</v>
      </c>
      <c r="M347">
        <v>0.84700495004653897</v>
      </c>
      <c r="N347">
        <f t="shared" si="44"/>
        <v>1</v>
      </c>
      <c r="O347">
        <v>0.98167395591735795</v>
      </c>
      <c r="P347">
        <f t="shared" si="44"/>
        <v>1</v>
      </c>
      <c r="Q347">
        <v>0.81284367999999996</v>
      </c>
      <c r="R347">
        <f t="shared" si="44"/>
        <v>1</v>
      </c>
      <c r="S347">
        <v>0.962879478931427</v>
      </c>
      <c r="T347">
        <f t="shared" si="45"/>
        <v>1</v>
      </c>
      <c r="U347" s="1">
        <v>0.41789221999999998</v>
      </c>
      <c r="V347">
        <v>1</v>
      </c>
      <c r="X347">
        <v>0</v>
      </c>
    </row>
    <row r="348" spans="1:24">
      <c r="A348" s="1">
        <v>1</v>
      </c>
      <c r="B348" s="1" t="s">
        <v>348</v>
      </c>
      <c r="C348" s="1">
        <v>1</v>
      </c>
      <c r="D348" s="33">
        <v>1</v>
      </c>
      <c r="E348" s="37">
        <v>1</v>
      </c>
      <c r="F348" s="37">
        <v>1</v>
      </c>
      <c r="G348">
        <v>0.97026866700000003</v>
      </c>
      <c r="H348">
        <f t="shared" si="42"/>
        <v>1</v>
      </c>
      <c r="I348" s="85">
        <v>0.99999964237213101</v>
      </c>
      <c r="J348">
        <f t="shared" si="43"/>
        <v>1</v>
      </c>
      <c r="K348" s="86">
        <v>0.99455738067626898</v>
      </c>
      <c r="L348">
        <f t="shared" si="44"/>
        <v>1</v>
      </c>
      <c r="M348">
        <v>0.75309467315673795</v>
      </c>
      <c r="N348">
        <f t="shared" si="44"/>
        <v>1</v>
      </c>
      <c r="O348">
        <v>0.99678373336792003</v>
      </c>
      <c r="P348">
        <f t="shared" si="44"/>
        <v>1</v>
      </c>
      <c r="Q348">
        <v>0.84773594100000005</v>
      </c>
      <c r="R348">
        <f t="shared" si="44"/>
        <v>1</v>
      </c>
      <c r="S348">
        <v>0.99999117851257302</v>
      </c>
      <c r="T348">
        <f t="shared" si="45"/>
        <v>1</v>
      </c>
      <c r="U348" s="1">
        <v>0.52560836</v>
      </c>
      <c r="V348">
        <v>1</v>
      </c>
      <c r="X348">
        <v>0</v>
      </c>
    </row>
    <row r="349" spans="1:24">
      <c r="A349" s="1">
        <v>1</v>
      </c>
      <c r="B349" s="1" t="s">
        <v>349</v>
      </c>
      <c r="C349" s="1">
        <v>1</v>
      </c>
      <c r="D349" s="33">
        <v>0</v>
      </c>
      <c r="E349" s="36">
        <v>0</v>
      </c>
      <c r="F349" s="37">
        <v>0</v>
      </c>
      <c r="G349" s="30">
        <v>0.84181952500000001</v>
      </c>
      <c r="H349">
        <f t="shared" si="42"/>
        <v>1</v>
      </c>
      <c r="I349" s="85">
        <v>0.97222501039505005</v>
      </c>
      <c r="J349">
        <f t="shared" si="43"/>
        <v>1</v>
      </c>
      <c r="K349" s="86">
        <v>0.52601093053817705</v>
      </c>
      <c r="L349">
        <f t="shared" si="44"/>
        <v>1</v>
      </c>
      <c r="M349" s="30">
        <v>0.218164056539535</v>
      </c>
      <c r="N349">
        <f t="shared" si="44"/>
        <v>0</v>
      </c>
      <c r="O349">
        <v>0.98023223876953103</v>
      </c>
      <c r="P349">
        <f t="shared" si="44"/>
        <v>1</v>
      </c>
      <c r="Q349">
        <v>0.56201458000000004</v>
      </c>
      <c r="R349">
        <f t="shared" si="44"/>
        <v>1</v>
      </c>
      <c r="S349">
        <v>0.99600887298583995</v>
      </c>
      <c r="T349">
        <f t="shared" si="45"/>
        <v>1</v>
      </c>
      <c r="U349" s="1">
        <v>0.21647611</v>
      </c>
      <c r="V349">
        <v>1</v>
      </c>
      <c r="X349">
        <v>0</v>
      </c>
    </row>
    <row r="350" spans="1:24">
      <c r="A350" s="1">
        <v>1</v>
      </c>
      <c r="B350" s="1" t="s">
        <v>350</v>
      </c>
      <c r="C350" s="1">
        <v>1</v>
      </c>
      <c r="D350" s="33">
        <v>0</v>
      </c>
      <c r="E350" s="36">
        <v>0</v>
      </c>
      <c r="F350" s="37">
        <v>1</v>
      </c>
      <c r="G350">
        <v>0.307873338</v>
      </c>
      <c r="H350">
        <f t="shared" si="42"/>
        <v>0</v>
      </c>
      <c r="I350" s="85">
        <v>0.365937650203705</v>
      </c>
      <c r="J350">
        <f t="shared" si="43"/>
        <v>0</v>
      </c>
      <c r="K350" s="86">
        <v>0.91755276918411199</v>
      </c>
      <c r="L350">
        <f t="shared" si="44"/>
        <v>1</v>
      </c>
      <c r="M350">
        <v>0.30757099390029902</v>
      </c>
      <c r="N350">
        <f t="shared" si="44"/>
        <v>0</v>
      </c>
      <c r="O350">
        <v>0.48975968360900901</v>
      </c>
      <c r="P350">
        <f t="shared" si="44"/>
        <v>0</v>
      </c>
      <c r="Q350">
        <v>0.57349699700000001</v>
      </c>
      <c r="R350">
        <f t="shared" si="44"/>
        <v>1</v>
      </c>
      <c r="S350">
        <v>0.137675940990448</v>
      </c>
      <c r="T350">
        <f t="shared" si="45"/>
        <v>0</v>
      </c>
      <c r="U350" s="1">
        <v>0.52539380000000002</v>
      </c>
      <c r="V350">
        <v>1</v>
      </c>
      <c r="X350">
        <v>0</v>
      </c>
    </row>
    <row r="351" spans="1:24">
      <c r="A351" s="1">
        <v>1</v>
      </c>
      <c r="B351" s="1" t="s">
        <v>351</v>
      </c>
      <c r="C351" s="1">
        <v>1</v>
      </c>
      <c r="D351" s="33">
        <v>1</v>
      </c>
      <c r="E351" s="37">
        <v>1</v>
      </c>
      <c r="F351" s="37">
        <v>1</v>
      </c>
      <c r="G351">
        <v>0.27212902900000002</v>
      </c>
      <c r="H351">
        <f t="shared" si="42"/>
        <v>0</v>
      </c>
      <c r="I351" s="85">
        <v>1.5600875020026999E-2</v>
      </c>
      <c r="J351">
        <f t="shared" si="43"/>
        <v>0</v>
      </c>
      <c r="K351" s="86">
        <v>0.15705905854701899</v>
      </c>
      <c r="L351">
        <f t="shared" si="44"/>
        <v>0</v>
      </c>
      <c r="M351">
        <v>0.13675588369369501</v>
      </c>
      <c r="N351">
        <f t="shared" si="44"/>
        <v>0</v>
      </c>
      <c r="O351">
        <v>8.9070156216620996E-2</v>
      </c>
      <c r="P351">
        <f t="shared" si="44"/>
        <v>0</v>
      </c>
      <c r="Q351">
        <v>0.23815573800000001</v>
      </c>
      <c r="R351">
        <f t="shared" si="44"/>
        <v>0</v>
      </c>
      <c r="S351">
        <v>7.8674554824830004E-3</v>
      </c>
      <c r="T351">
        <f t="shared" si="45"/>
        <v>0</v>
      </c>
      <c r="U351" s="1">
        <v>0.17238563000000001</v>
      </c>
      <c r="V351">
        <v>0</v>
      </c>
      <c r="X351">
        <v>0</v>
      </c>
    </row>
    <row r="352" spans="1:24">
      <c r="A352" s="1">
        <v>1</v>
      </c>
      <c r="B352" s="5" t="s">
        <v>352</v>
      </c>
      <c r="C352" s="1">
        <v>1</v>
      </c>
      <c r="D352" s="33">
        <v>1</v>
      </c>
      <c r="E352" s="36">
        <v>0</v>
      </c>
      <c r="F352" s="37">
        <v>1</v>
      </c>
      <c r="G352">
        <v>0.16424596299999999</v>
      </c>
      <c r="H352">
        <f t="shared" si="42"/>
        <v>0</v>
      </c>
      <c r="I352" s="85">
        <v>0.229428470134735</v>
      </c>
      <c r="J352">
        <f t="shared" si="43"/>
        <v>0</v>
      </c>
      <c r="K352" s="86">
        <v>1.04892794042825E-2</v>
      </c>
      <c r="L352">
        <f t="shared" si="44"/>
        <v>0</v>
      </c>
      <c r="M352">
        <v>0.136819422245026</v>
      </c>
      <c r="N352">
        <f t="shared" si="44"/>
        <v>0</v>
      </c>
      <c r="O352">
        <v>1.9879803061484999E-2</v>
      </c>
      <c r="P352">
        <f t="shared" si="44"/>
        <v>0</v>
      </c>
      <c r="Q352">
        <v>0.144925416</v>
      </c>
      <c r="R352">
        <f t="shared" si="44"/>
        <v>0</v>
      </c>
      <c r="S352">
        <v>0.31663131713867199</v>
      </c>
      <c r="T352">
        <f t="shared" si="45"/>
        <v>0</v>
      </c>
      <c r="U352" s="1">
        <v>0.26654679999999997</v>
      </c>
      <c r="V352">
        <v>1</v>
      </c>
      <c r="X352">
        <v>0</v>
      </c>
    </row>
    <row r="353" spans="1:24">
      <c r="A353" s="1">
        <v>1</v>
      </c>
      <c r="B353" s="7" t="s">
        <v>353</v>
      </c>
      <c r="C353" s="1">
        <v>1</v>
      </c>
      <c r="D353" s="33">
        <v>1</v>
      </c>
      <c r="E353" s="37">
        <v>1</v>
      </c>
      <c r="F353" s="37">
        <v>1</v>
      </c>
      <c r="G353">
        <v>0.35888251700000001</v>
      </c>
      <c r="H353">
        <f t="shared" si="42"/>
        <v>0</v>
      </c>
      <c r="I353" s="85">
        <v>0.53497278690338101</v>
      </c>
      <c r="J353">
        <f t="shared" si="43"/>
        <v>1</v>
      </c>
      <c r="K353" s="86">
        <v>0.100418403744697</v>
      </c>
      <c r="L353">
        <f t="shared" si="44"/>
        <v>0</v>
      </c>
      <c r="M353">
        <v>0.30903923511505099</v>
      </c>
      <c r="N353">
        <f t="shared" si="44"/>
        <v>0</v>
      </c>
      <c r="O353">
        <v>0.60844701528549205</v>
      </c>
      <c r="P353">
        <f t="shared" si="44"/>
        <v>1</v>
      </c>
      <c r="Q353">
        <v>0.56043934799999995</v>
      </c>
      <c r="R353">
        <f t="shared" si="44"/>
        <v>1</v>
      </c>
      <c r="S353">
        <v>0.36829048395156899</v>
      </c>
      <c r="T353">
        <f t="shared" si="45"/>
        <v>0</v>
      </c>
      <c r="U353" s="1">
        <v>0.28035726999999999</v>
      </c>
      <c r="V353">
        <v>0</v>
      </c>
      <c r="X353">
        <v>1</v>
      </c>
    </row>
    <row r="354" spans="1:24">
      <c r="A354" s="1">
        <v>1</v>
      </c>
      <c r="B354" s="1" t="s">
        <v>354</v>
      </c>
      <c r="C354" s="1">
        <v>1</v>
      </c>
      <c r="D354" s="33">
        <v>1</v>
      </c>
      <c r="E354" s="37">
        <v>1</v>
      </c>
      <c r="F354" s="37">
        <v>1</v>
      </c>
      <c r="G354">
        <v>0.95260876400000005</v>
      </c>
      <c r="H354">
        <f t="shared" si="42"/>
        <v>1</v>
      </c>
      <c r="I354" s="85">
        <v>0.99131470918655396</v>
      </c>
      <c r="J354">
        <f t="shared" si="43"/>
        <v>1</v>
      </c>
      <c r="K354" s="86">
        <v>0.78824722766876198</v>
      </c>
      <c r="L354">
        <f t="shared" si="44"/>
        <v>1</v>
      </c>
      <c r="M354">
        <v>0.82146054506301902</v>
      </c>
      <c r="N354">
        <f t="shared" si="44"/>
        <v>1</v>
      </c>
      <c r="O354">
        <v>0.92599231004714999</v>
      </c>
      <c r="P354">
        <f t="shared" si="44"/>
        <v>1</v>
      </c>
      <c r="Q354">
        <v>0.54442250699999994</v>
      </c>
      <c r="R354">
        <f t="shared" si="44"/>
        <v>1</v>
      </c>
      <c r="S354">
        <v>0.98206466436386097</v>
      </c>
      <c r="T354">
        <f t="shared" si="45"/>
        <v>1</v>
      </c>
      <c r="U354" s="1">
        <v>0.26526110000000003</v>
      </c>
      <c r="V354">
        <v>1</v>
      </c>
      <c r="X354">
        <v>0</v>
      </c>
    </row>
    <row r="355" spans="1:24">
      <c r="A355" s="1">
        <v>1</v>
      </c>
      <c r="B355" s="1" t="s">
        <v>355</v>
      </c>
      <c r="C355" s="1">
        <v>1</v>
      </c>
      <c r="D355" s="33">
        <v>1</v>
      </c>
      <c r="E355" s="37">
        <v>1</v>
      </c>
      <c r="F355" s="37">
        <v>1</v>
      </c>
      <c r="G355">
        <v>0.92869299699999996</v>
      </c>
      <c r="H355">
        <f t="shared" si="42"/>
        <v>1</v>
      </c>
      <c r="I355" s="85">
        <v>0.99989557266235396</v>
      </c>
      <c r="J355">
        <f t="shared" si="43"/>
        <v>1</v>
      </c>
      <c r="K355" s="86">
        <v>0.607921361923217</v>
      </c>
      <c r="L355">
        <f t="shared" si="44"/>
        <v>1</v>
      </c>
      <c r="M355">
        <v>0.73588222265243497</v>
      </c>
      <c r="N355">
        <f t="shared" si="44"/>
        <v>1</v>
      </c>
      <c r="O355">
        <v>0.99900889396667503</v>
      </c>
      <c r="P355">
        <f t="shared" si="44"/>
        <v>1</v>
      </c>
      <c r="Q355">
        <v>0.725234449</v>
      </c>
      <c r="R355">
        <f t="shared" si="44"/>
        <v>1</v>
      </c>
      <c r="S355">
        <v>0.88760352134704601</v>
      </c>
      <c r="T355">
        <f t="shared" si="45"/>
        <v>1</v>
      </c>
      <c r="U355" s="1">
        <v>0.44080964</v>
      </c>
      <c r="V355">
        <v>1</v>
      </c>
      <c r="X355">
        <v>0</v>
      </c>
    </row>
    <row r="356" spans="1:24">
      <c r="A356" s="1">
        <v>1</v>
      </c>
      <c r="B356" s="1" t="s">
        <v>356</v>
      </c>
      <c r="C356" s="1">
        <v>1</v>
      </c>
      <c r="D356" s="33">
        <v>0</v>
      </c>
      <c r="E356" s="36">
        <v>1</v>
      </c>
      <c r="F356" s="37">
        <v>1</v>
      </c>
      <c r="G356">
        <v>0.17633275700000001</v>
      </c>
      <c r="H356">
        <f t="shared" si="42"/>
        <v>0</v>
      </c>
      <c r="I356" s="85">
        <v>0.14833259582519501</v>
      </c>
      <c r="J356">
        <f t="shared" si="43"/>
        <v>0</v>
      </c>
      <c r="K356" s="86">
        <v>0.11878184974193499</v>
      </c>
      <c r="L356">
        <f t="shared" si="44"/>
        <v>0</v>
      </c>
      <c r="M356">
        <v>0.58782643079757702</v>
      </c>
      <c r="N356">
        <f t="shared" si="44"/>
        <v>1</v>
      </c>
      <c r="O356">
        <v>0.528264760971069</v>
      </c>
      <c r="P356">
        <f t="shared" si="44"/>
        <v>1</v>
      </c>
      <c r="Q356">
        <v>0.57761889700000002</v>
      </c>
      <c r="R356">
        <f t="shared" si="44"/>
        <v>1</v>
      </c>
      <c r="S356">
        <v>0.58529502153396595</v>
      </c>
      <c r="T356">
        <f t="shared" si="45"/>
        <v>1</v>
      </c>
      <c r="U356" s="1">
        <v>0.38742270000000001</v>
      </c>
      <c r="V356">
        <v>1</v>
      </c>
      <c r="X356">
        <v>0</v>
      </c>
    </row>
    <row r="357" spans="1:24">
      <c r="A357" s="1">
        <v>1</v>
      </c>
      <c r="B357" s="7" t="s">
        <v>357</v>
      </c>
      <c r="C357" s="1">
        <v>1</v>
      </c>
      <c r="D357" s="33">
        <v>0</v>
      </c>
      <c r="E357" s="36">
        <v>0</v>
      </c>
      <c r="F357" s="37">
        <v>1</v>
      </c>
      <c r="G357">
        <v>0.111634672</v>
      </c>
      <c r="H357">
        <f t="shared" si="42"/>
        <v>0</v>
      </c>
      <c r="I357" s="85">
        <v>0.229954853653908</v>
      </c>
      <c r="J357">
        <f t="shared" si="43"/>
        <v>0</v>
      </c>
      <c r="K357" s="86">
        <v>0.87019461393356301</v>
      </c>
      <c r="L357">
        <f t="shared" si="44"/>
        <v>1</v>
      </c>
      <c r="M357">
        <v>0.350031018257141</v>
      </c>
      <c r="N357">
        <f t="shared" si="44"/>
        <v>0</v>
      </c>
      <c r="O357">
        <v>0.199523121118545</v>
      </c>
      <c r="P357">
        <f t="shared" si="44"/>
        <v>0</v>
      </c>
      <c r="Q357">
        <v>0.24428835500000001</v>
      </c>
      <c r="R357">
        <f t="shared" si="44"/>
        <v>0</v>
      </c>
      <c r="S357">
        <v>0.96002310514450095</v>
      </c>
      <c r="T357">
        <f t="shared" si="45"/>
        <v>1</v>
      </c>
      <c r="U357" s="1">
        <v>0.29740172999999998</v>
      </c>
      <c r="V357">
        <v>1</v>
      </c>
      <c r="X357">
        <v>1</v>
      </c>
    </row>
    <row r="358" spans="1:24">
      <c r="A358" s="1">
        <v>1</v>
      </c>
      <c r="B358" s="1" t="s">
        <v>358</v>
      </c>
      <c r="C358" s="1">
        <v>1</v>
      </c>
      <c r="D358" s="33">
        <v>1</v>
      </c>
      <c r="E358" s="37">
        <v>1</v>
      </c>
      <c r="F358" s="37">
        <v>1</v>
      </c>
      <c r="G358">
        <v>3.3029626999999999E-2</v>
      </c>
      <c r="H358">
        <f t="shared" si="42"/>
        <v>0</v>
      </c>
      <c r="I358" s="85">
        <v>3.44748987118E-4</v>
      </c>
      <c r="J358">
        <f t="shared" si="43"/>
        <v>0</v>
      </c>
      <c r="K358" s="86">
        <v>7.7641471289098202E-3</v>
      </c>
      <c r="L358">
        <f t="shared" si="44"/>
        <v>0</v>
      </c>
      <c r="M358">
        <v>6.2082622200251E-2</v>
      </c>
      <c r="N358">
        <f t="shared" si="44"/>
        <v>0</v>
      </c>
      <c r="O358">
        <v>1.6670033335686001E-2</v>
      </c>
      <c r="P358">
        <f t="shared" si="44"/>
        <v>0</v>
      </c>
      <c r="Q358">
        <v>0.161149189</v>
      </c>
      <c r="R358">
        <f t="shared" si="44"/>
        <v>0</v>
      </c>
      <c r="S358">
        <v>0.63731908798217796</v>
      </c>
      <c r="T358">
        <f t="shared" si="45"/>
        <v>1</v>
      </c>
      <c r="U358" s="1">
        <v>0.20607085999999999</v>
      </c>
      <c r="V358">
        <v>0</v>
      </c>
      <c r="X358">
        <v>0</v>
      </c>
    </row>
    <row r="359" spans="1:24">
      <c r="A359" s="1">
        <v>1</v>
      </c>
      <c r="B359" s="1" t="s">
        <v>359</v>
      </c>
      <c r="C359" s="1">
        <v>1</v>
      </c>
      <c r="D359" s="33">
        <v>1</v>
      </c>
      <c r="E359" s="37">
        <v>1</v>
      </c>
      <c r="F359" s="37">
        <v>1</v>
      </c>
      <c r="G359">
        <v>0.65828245900000004</v>
      </c>
      <c r="H359">
        <f t="shared" si="42"/>
        <v>1</v>
      </c>
      <c r="I359" s="85">
        <v>0.47997194528579701</v>
      </c>
      <c r="J359">
        <f t="shared" si="43"/>
        <v>0</v>
      </c>
      <c r="K359" s="86">
        <v>0.99454778432846003</v>
      </c>
      <c r="L359">
        <f t="shared" si="44"/>
        <v>1</v>
      </c>
      <c r="M359">
        <v>0.82828670740127597</v>
      </c>
      <c r="N359">
        <f t="shared" si="44"/>
        <v>1</v>
      </c>
      <c r="O359">
        <v>0.493058532476425</v>
      </c>
      <c r="P359">
        <f t="shared" si="44"/>
        <v>0</v>
      </c>
      <c r="Q359">
        <v>0.74030160899999997</v>
      </c>
      <c r="R359">
        <f t="shared" si="44"/>
        <v>1</v>
      </c>
      <c r="S359">
        <v>3.4085765480994998E-2</v>
      </c>
      <c r="T359">
        <f t="shared" si="45"/>
        <v>0</v>
      </c>
      <c r="U359" s="1">
        <v>0.49659716999999998</v>
      </c>
      <c r="V359">
        <v>1</v>
      </c>
      <c r="X359">
        <v>0</v>
      </c>
    </row>
    <row r="360" spans="1:24">
      <c r="A360" s="1">
        <v>1</v>
      </c>
      <c r="B360" s="1" t="s">
        <v>360</v>
      </c>
      <c r="C360" s="1">
        <v>1</v>
      </c>
      <c r="D360" s="33">
        <v>1</v>
      </c>
      <c r="E360" s="37">
        <v>1</v>
      </c>
      <c r="F360" s="37">
        <v>1</v>
      </c>
      <c r="G360">
        <v>0.64209449299999999</v>
      </c>
      <c r="H360">
        <f t="shared" si="42"/>
        <v>1</v>
      </c>
      <c r="I360" s="85">
        <v>0.98906260728836104</v>
      </c>
      <c r="J360">
        <f t="shared" si="43"/>
        <v>1</v>
      </c>
      <c r="K360" s="86">
        <v>0.92358016967773404</v>
      </c>
      <c r="L360">
        <f t="shared" si="44"/>
        <v>1</v>
      </c>
      <c r="M360">
        <v>0.91188353300094604</v>
      </c>
      <c r="N360">
        <f t="shared" si="44"/>
        <v>1</v>
      </c>
      <c r="O360">
        <v>0.82501298189163197</v>
      </c>
      <c r="P360">
        <f t="shared" si="44"/>
        <v>1</v>
      </c>
      <c r="Q360">
        <v>0.73332709100000004</v>
      </c>
      <c r="R360">
        <f t="shared" si="44"/>
        <v>1</v>
      </c>
      <c r="S360">
        <v>0.98549818992614702</v>
      </c>
      <c r="T360">
        <f t="shared" si="45"/>
        <v>1</v>
      </c>
      <c r="U360" s="1">
        <v>0.45968123999999999</v>
      </c>
      <c r="V360">
        <v>1</v>
      </c>
      <c r="X360">
        <v>0</v>
      </c>
    </row>
    <row r="361" spans="1:24">
      <c r="A361" s="1">
        <v>1</v>
      </c>
      <c r="B361" s="1" t="s">
        <v>361</v>
      </c>
      <c r="C361" s="1">
        <v>1</v>
      </c>
      <c r="D361" s="33">
        <v>1</v>
      </c>
      <c r="E361" s="37">
        <v>1</v>
      </c>
      <c r="F361" s="37">
        <v>1</v>
      </c>
      <c r="G361">
        <v>0.96096891200000001</v>
      </c>
      <c r="H361">
        <f t="shared" si="42"/>
        <v>1</v>
      </c>
      <c r="I361" s="85">
        <v>0.96956956386566195</v>
      </c>
      <c r="J361">
        <f t="shared" si="43"/>
        <v>1</v>
      </c>
      <c r="K361" s="86">
        <v>0.99739348888397195</v>
      </c>
      <c r="L361">
        <f t="shared" si="44"/>
        <v>1</v>
      </c>
      <c r="M361">
        <v>0.66474103927612305</v>
      </c>
      <c r="N361">
        <f t="shared" si="44"/>
        <v>1</v>
      </c>
      <c r="O361">
        <v>0.98830330371856701</v>
      </c>
      <c r="P361">
        <f t="shared" si="44"/>
        <v>1</v>
      </c>
      <c r="Q361">
        <v>0.83378004999999999</v>
      </c>
      <c r="R361">
        <f t="shared" si="44"/>
        <v>1</v>
      </c>
      <c r="S361">
        <v>0.82702881097793601</v>
      </c>
      <c r="T361">
        <f t="shared" si="45"/>
        <v>1</v>
      </c>
      <c r="U361" s="1">
        <v>0.34649825000000001</v>
      </c>
      <c r="V361">
        <v>1</v>
      </c>
      <c r="X361">
        <v>0</v>
      </c>
    </row>
    <row r="362" spans="1:24">
      <c r="A362" s="1">
        <v>1</v>
      </c>
      <c r="B362" s="1" t="s">
        <v>362</v>
      </c>
      <c r="C362" s="1">
        <v>1</v>
      </c>
      <c r="D362" s="33">
        <v>1</v>
      </c>
      <c r="E362" s="37">
        <v>1</v>
      </c>
      <c r="F362" s="37">
        <v>1</v>
      </c>
      <c r="G362">
        <v>0.93683499100000001</v>
      </c>
      <c r="H362">
        <f t="shared" si="42"/>
        <v>1</v>
      </c>
      <c r="I362" s="85">
        <v>0.93344742059707597</v>
      </c>
      <c r="J362">
        <f t="shared" si="43"/>
        <v>1</v>
      </c>
      <c r="K362" s="86">
        <v>0.84846824407577504</v>
      </c>
      <c r="L362">
        <f t="shared" si="44"/>
        <v>1</v>
      </c>
      <c r="M362">
        <v>0.82588702440261796</v>
      </c>
      <c r="N362">
        <f t="shared" si="44"/>
        <v>1</v>
      </c>
      <c r="O362">
        <v>0.82214021682739302</v>
      </c>
      <c r="P362">
        <f t="shared" si="44"/>
        <v>1</v>
      </c>
      <c r="Q362">
        <v>0.63817137499999999</v>
      </c>
      <c r="R362">
        <f t="shared" si="44"/>
        <v>1</v>
      </c>
      <c r="S362">
        <v>0.99542039632797197</v>
      </c>
      <c r="T362">
        <f t="shared" si="45"/>
        <v>1</v>
      </c>
      <c r="U362" s="1">
        <v>0.50351024</v>
      </c>
      <c r="V362">
        <v>1</v>
      </c>
      <c r="X362">
        <v>0</v>
      </c>
    </row>
    <row r="363" spans="1:24">
      <c r="A363" s="1">
        <v>1</v>
      </c>
      <c r="B363" s="1" t="s">
        <v>363</v>
      </c>
      <c r="C363" s="1">
        <v>1</v>
      </c>
      <c r="D363" s="33">
        <v>0</v>
      </c>
      <c r="E363" s="36">
        <v>1</v>
      </c>
      <c r="F363" s="37">
        <v>1</v>
      </c>
      <c r="G363">
        <v>0.91118770800000004</v>
      </c>
      <c r="H363">
        <f t="shared" si="42"/>
        <v>1</v>
      </c>
      <c r="I363" s="85">
        <v>0.99975985288619995</v>
      </c>
      <c r="J363">
        <f t="shared" si="43"/>
        <v>1</v>
      </c>
      <c r="K363" s="86">
        <v>0.129373103380203</v>
      </c>
      <c r="L363">
        <f t="shared" si="44"/>
        <v>0</v>
      </c>
      <c r="M363">
        <v>0.76844817399978604</v>
      </c>
      <c r="N363">
        <f t="shared" si="44"/>
        <v>1</v>
      </c>
      <c r="O363">
        <v>0.91700631380081199</v>
      </c>
      <c r="P363">
        <f t="shared" si="44"/>
        <v>1</v>
      </c>
      <c r="Q363">
        <v>0.76571065199999999</v>
      </c>
      <c r="R363">
        <f t="shared" si="44"/>
        <v>1</v>
      </c>
      <c r="S363">
        <v>0.87342947721481301</v>
      </c>
      <c r="T363">
        <f t="shared" si="45"/>
        <v>1</v>
      </c>
      <c r="U363" s="1">
        <v>0.29616037000000001</v>
      </c>
      <c r="V363">
        <v>0</v>
      </c>
      <c r="X363">
        <v>0</v>
      </c>
    </row>
    <row r="364" spans="1:24">
      <c r="A364" s="1">
        <v>1</v>
      </c>
      <c r="B364" s="1" t="s">
        <v>364</v>
      </c>
      <c r="C364" s="1">
        <v>1</v>
      </c>
      <c r="D364" s="33">
        <v>1</v>
      </c>
      <c r="E364" s="37">
        <v>1</v>
      </c>
      <c r="F364" s="37">
        <v>1</v>
      </c>
      <c r="G364">
        <v>0.513664126</v>
      </c>
      <c r="H364">
        <f t="shared" si="42"/>
        <v>1</v>
      </c>
      <c r="I364" s="85">
        <v>0.50045669078826904</v>
      </c>
      <c r="J364">
        <f t="shared" si="43"/>
        <v>1</v>
      </c>
      <c r="K364" s="86">
        <v>0.46374139189720098</v>
      </c>
      <c r="L364">
        <f t="shared" si="44"/>
        <v>0</v>
      </c>
      <c r="M364">
        <v>0.83755129575729403</v>
      </c>
      <c r="N364">
        <f t="shared" si="44"/>
        <v>1</v>
      </c>
      <c r="O364">
        <v>0.64501541852951105</v>
      </c>
      <c r="P364">
        <f t="shared" si="44"/>
        <v>1</v>
      </c>
      <c r="Q364">
        <v>0.69066417199999997</v>
      </c>
      <c r="R364">
        <f t="shared" si="44"/>
        <v>1</v>
      </c>
      <c r="S364">
        <v>0.95575660467147805</v>
      </c>
      <c r="T364">
        <f t="shared" si="45"/>
        <v>1</v>
      </c>
      <c r="U364" s="1">
        <v>0.35292005999999998</v>
      </c>
      <c r="V364">
        <v>1</v>
      </c>
      <c r="X364">
        <v>0</v>
      </c>
    </row>
    <row r="365" spans="1:24">
      <c r="A365" s="1">
        <v>1</v>
      </c>
      <c r="B365" s="1" t="s">
        <v>365</v>
      </c>
      <c r="C365" s="1">
        <v>1</v>
      </c>
      <c r="D365" s="33">
        <v>0</v>
      </c>
      <c r="E365" s="37">
        <v>1</v>
      </c>
      <c r="F365" s="37">
        <v>1</v>
      </c>
      <c r="G365">
        <v>0.51314657900000005</v>
      </c>
      <c r="H365">
        <f t="shared" si="42"/>
        <v>1</v>
      </c>
      <c r="I365" s="85">
        <v>1.8208032473922001E-2</v>
      </c>
      <c r="J365">
        <f t="shared" si="43"/>
        <v>0</v>
      </c>
      <c r="K365" s="86">
        <v>1.6452860087156199E-2</v>
      </c>
      <c r="L365">
        <f t="shared" si="44"/>
        <v>0</v>
      </c>
      <c r="M365">
        <v>2.8515366837382001E-2</v>
      </c>
      <c r="N365">
        <f t="shared" si="44"/>
        <v>0</v>
      </c>
      <c r="O365">
        <v>0.50477021932601895</v>
      </c>
      <c r="P365">
        <f t="shared" si="44"/>
        <v>1</v>
      </c>
      <c r="Q365">
        <v>0.30020013499999998</v>
      </c>
      <c r="R365">
        <f t="shared" si="44"/>
        <v>0</v>
      </c>
      <c r="S365">
        <v>1.3343453407288E-2</v>
      </c>
      <c r="T365">
        <f t="shared" si="45"/>
        <v>0</v>
      </c>
      <c r="U365" s="1">
        <v>0.18306607</v>
      </c>
      <c r="V365">
        <v>0</v>
      </c>
      <c r="X365">
        <v>0</v>
      </c>
    </row>
    <row r="366" spans="1:24">
      <c r="A366" s="1">
        <v>1</v>
      </c>
      <c r="B366" s="1" t="s">
        <v>366</v>
      </c>
      <c r="C366" s="1">
        <v>1</v>
      </c>
      <c r="D366" s="33">
        <v>1</v>
      </c>
      <c r="E366" s="37">
        <v>1</v>
      </c>
      <c r="F366" s="37">
        <v>1</v>
      </c>
      <c r="G366">
        <v>0.91269606400000003</v>
      </c>
      <c r="H366">
        <f t="shared" si="42"/>
        <v>1</v>
      </c>
      <c r="I366" s="85">
        <v>0.97953051328659102</v>
      </c>
      <c r="J366">
        <f t="shared" si="43"/>
        <v>1</v>
      </c>
      <c r="K366" s="86">
        <v>0.64837294816970803</v>
      </c>
      <c r="L366">
        <f t="shared" si="44"/>
        <v>1</v>
      </c>
      <c r="M366">
        <v>0.39290440082549999</v>
      </c>
      <c r="N366">
        <f t="shared" si="44"/>
        <v>0</v>
      </c>
      <c r="O366">
        <v>0.90850752592086803</v>
      </c>
      <c r="P366">
        <f t="shared" si="44"/>
        <v>1</v>
      </c>
      <c r="Q366">
        <v>0.68027913600000001</v>
      </c>
      <c r="R366">
        <f t="shared" si="44"/>
        <v>1</v>
      </c>
      <c r="S366">
        <v>0.73173558712005604</v>
      </c>
      <c r="T366">
        <f t="shared" si="45"/>
        <v>1</v>
      </c>
      <c r="U366" s="1">
        <v>0.36183090000000001</v>
      </c>
      <c r="V366">
        <v>1</v>
      </c>
      <c r="X366">
        <v>0</v>
      </c>
    </row>
    <row r="367" spans="1:24">
      <c r="A367" s="1">
        <v>1</v>
      </c>
      <c r="B367" s="1" t="s">
        <v>367</v>
      </c>
      <c r="C367" s="1">
        <v>1</v>
      </c>
      <c r="D367" s="33">
        <v>1</v>
      </c>
      <c r="E367" s="37">
        <v>1</v>
      </c>
      <c r="F367" s="37">
        <v>1</v>
      </c>
      <c r="G367">
        <v>0.95806628500000002</v>
      </c>
      <c r="H367">
        <f t="shared" si="42"/>
        <v>1</v>
      </c>
      <c r="I367" s="85">
        <v>0.99949848651885997</v>
      </c>
      <c r="J367">
        <f t="shared" si="43"/>
        <v>1</v>
      </c>
      <c r="K367" s="86">
        <v>0.88017314672470004</v>
      </c>
      <c r="L367">
        <f t="shared" si="44"/>
        <v>1</v>
      </c>
      <c r="M367">
        <v>0.92005985975265503</v>
      </c>
      <c r="N367">
        <f t="shared" si="44"/>
        <v>1</v>
      </c>
      <c r="O367">
        <v>0.98141336441039995</v>
      </c>
      <c r="P367">
        <f t="shared" si="44"/>
        <v>1</v>
      </c>
      <c r="Q367">
        <v>0.811157405</v>
      </c>
      <c r="R367">
        <f t="shared" si="44"/>
        <v>1</v>
      </c>
      <c r="S367">
        <v>0.99489885568618797</v>
      </c>
      <c r="T367">
        <f t="shared" si="45"/>
        <v>1</v>
      </c>
      <c r="U367" s="1">
        <v>0.46384249999999999</v>
      </c>
      <c r="V367">
        <v>1</v>
      </c>
      <c r="X367">
        <v>0</v>
      </c>
    </row>
    <row r="368" spans="1:24">
      <c r="A368" s="1">
        <v>1</v>
      </c>
      <c r="B368" s="1" t="s">
        <v>368</v>
      </c>
      <c r="C368" s="1">
        <v>1</v>
      </c>
      <c r="D368" s="33">
        <v>1</v>
      </c>
      <c r="E368" s="37">
        <v>1</v>
      </c>
      <c r="F368" s="37">
        <v>1</v>
      </c>
      <c r="G368">
        <v>0.66505134099999996</v>
      </c>
      <c r="H368">
        <f t="shared" si="42"/>
        <v>1</v>
      </c>
      <c r="I368" s="85">
        <v>0.93967980146408103</v>
      </c>
      <c r="J368">
        <f t="shared" si="43"/>
        <v>1</v>
      </c>
      <c r="K368" s="86">
        <v>0.56677025556564298</v>
      </c>
      <c r="L368">
        <f t="shared" si="44"/>
        <v>1</v>
      </c>
      <c r="M368">
        <v>0.55187737941741899</v>
      </c>
      <c r="N368">
        <f t="shared" si="44"/>
        <v>1</v>
      </c>
      <c r="O368">
        <v>0.73515814542770397</v>
      </c>
      <c r="P368">
        <f t="shared" si="44"/>
        <v>1</v>
      </c>
      <c r="Q368">
        <v>0.61801165300000005</v>
      </c>
      <c r="R368">
        <f t="shared" si="44"/>
        <v>1</v>
      </c>
      <c r="S368">
        <v>0.15338358283042899</v>
      </c>
      <c r="T368">
        <f t="shared" si="45"/>
        <v>0</v>
      </c>
      <c r="U368" s="1">
        <v>0.36672105999999999</v>
      </c>
      <c r="V368">
        <v>1</v>
      </c>
      <c r="X368">
        <v>0</v>
      </c>
    </row>
    <row r="369" spans="1:24">
      <c r="A369" s="1">
        <v>1</v>
      </c>
      <c r="B369" s="1" t="s">
        <v>369</v>
      </c>
      <c r="C369" s="1">
        <v>1</v>
      </c>
      <c r="D369" s="33">
        <v>1</v>
      </c>
      <c r="E369" s="37">
        <v>1</v>
      </c>
      <c r="F369" s="37">
        <v>1</v>
      </c>
      <c r="G369">
        <v>0.90021216900000001</v>
      </c>
      <c r="H369">
        <f t="shared" si="42"/>
        <v>1</v>
      </c>
      <c r="I369" s="85">
        <v>0.99997210502624501</v>
      </c>
      <c r="J369">
        <f t="shared" si="43"/>
        <v>1</v>
      </c>
      <c r="K369" s="86">
        <v>0.97757863998412997</v>
      </c>
      <c r="L369">
        <f t="shared" si="44"/>
        <v>1</v>
      </c>
      <c r="M369">
        <v>0.90943729877471902</v>
      </c>
      <c r="N369">
        <f t="shared" si="44"/>
        <v>1</v>
      </c>
      <c r="O369">
        <v>0.992237389087677</v>
      </c>
      <c r="P369">
        <f t="shared" si="44"/>
        <v>1</v>
      </c>
      <c r="Q369">
        <v>0.85276418899999995</v>
      </c>
      <c r="R369">
        <f t="shared" si="44"/>
        <v>1</v>
      </c>
      <c r="S369">
        <v>0.99294972419738803</v>
      </c>
      <c r="T369">
        <f t="shared" si="45"/>
        <v>1</v>
      </c>
      <c r="U369" s="1">
        <v>0.21838605</v>
      </c>
      <c r="V369">
        <v>1</v>
      </c>
      <c r="X369">
        <v>0</v>
      </c>
    </row>
    <row r="370" spans="1:24">
      <c r="A370" s="1">
        <v>1</v>
      </c>
      <c r="B370" s="1" t="s">
        <v>370</v>
      </c>
      <c r="C370" s="1">
        <v>1</v>
      </c>
      <c r="D370" s="33">
        <v>1</v>
      </c>
      <c r="E370" s="37">
        <v>1</v>
      </c>
      <c r="F370" s="37">
        <v>1</v>
      </c>
      <c r="G370">
        <v>0.92987936699999996</v>
      </c>
      <c r="H370">
        <f t="shared" si="42"/>
        <v>1</v>
      </c>
      <c r="I370" s="85">
        <v>0.99996447563171398</v>
      </c>
      <c r="J370">
        <f t="shared" si="43"/>
        <v>1</v>
      </c>
      <c r="K370" s="86">
        <v>0.717454314231872</v>
      </c>
      <c r="L370">
        <f t="shared" si="44"/>
        <v>1</v>
      </c>
      <c r="M370">
        <v>0.87503492832183805</v>
      </c>
      <c r="N370">
        <f t="shared" si="44"/>
        <v>1</v>
      </c>
      <c r="O370">
        <v>0.97897595167160001</v>
      </c>
      <c r="P370">
        <f t="shared" si="44"/>
        <v>1</v>
      </c>
      <c r="Q370">
        <v>0.80509334799999999</v>
      </c>
      <c r="R370">
        <f t="shared" si="44"/>
        <v>1</v>
      </c>
      <c r="S370">
        <v>0.96023225784301802</v>
      </c>
      <c r="T370">
        <f t="shared" si="45"/>
        <v>1</v>
      </c>
      <c r="U370" s="1">
        <v>0.55919236000000005</v>
      </c>
      <c r="V370">
        <v>1</v>
      </c>
      <c r="X370">
        <v>0</v>
      </c>
    </row>
    <row r="371" spans="1:24">
      <c r="A371" s="1">
        <v>1</v>
      </c>
      <c r="B371" s="1" t="s">
        <v>371</v>
      </c>
      <c r="C371" s="1">
        <v>1</v>
      </c>
      <c r="D371" s="33">
        <v>1</v>
      </c>
      <c r="E371" s="37">
        <v>1</v>
      </c>
      <c r="F371" s="37">
        <v>1</v>
      </c>
      <c r="G371">
        <v>0.114723966</v>
      </c>
      <c r="H371">
        <f t="shared" si="42"/>
        <v>0</v>
      </c>
      <c r="I371" s="85">
        <v>0.72750586271286</v>
      </c>
      <c r="J371">
        <f t="shared" si="43"/>
        <v>1</v>
      </c>
      <c r="K371" s="86">
        <v>0.91433525085449197</v>
      </c>
      <c r="L371">
        <f t="shared" si="44"/>
        <v>1</v>
      </c>
      <c r="M371">
        <v>0.68345516920089699</v>
      </c>
      <c r="N371">
        <f t="shared" si="44"/>
        <v>1</v>
      </c>
      <c r="O371">
        <v>0.17154663801193201</v>
      </c>
      <c r="P371">
        <f t="shared" si="44"/>
        <v>0</v>
      </c>
      <c r="Q371">
        <v>0.40933957700000001</v>
      </c>
      <c r="R371">
        <f t="shared" si="44"/>
        <v>0</v>
      </c>
      <c r="S371">
        <v>0.96232628822326705</v>
      </c>
      <c r="T371">
        <f t="shared" si="45"/>
        <v>1</v>
      </c>
      <c r="U371" s="1">
        <v>0.40182656</v>
      </c>
      <c r="V371">
        <v>1</v>
      </c>
      <c r="X371">
        <v>0</v>
      </c>
    </row>
    <row r="372" spans="1:24">
      <c r="A372" s="1">
        <v>1</v>
      </c>
      <c r="B372" s="1" t="s">
        <v>372</v>
      </c>
      <c r="C372" s="1">
        <v>1</v>
      </c>
      <c r="D372" s="33">
        <v>0</v>
      </c>
      <c r="E372" s="36">
        <v>0</v>
      </c>
      <c r="F372" s="37">
        <v>1</v>
      </c>
      <c r="G372">
        <v>0.95485764699999998</v>
      </c>
      <c r="H372">
        <f t="shared" si="42"/>
        <v>1</v>
      </c>
      <c r="I372" s="85">
        <v>0.99999189376830999</v>
      </c>
      <c r="J372">
        <f t="shared" si="43"/>
        <v>1</v>
      </c>
      <c r="K372" s="86">
        <v>0.99875915050506503</v>
      </c>
      <c r="L372">
        <f t="shared" si="44"/>
        <v>1</v>
      </c>
      <c r="M372">
        <v>0.91457122564315796</v>
      </c>
      <c r="N372">
        <f t="shared" si="44"/>
        <v>1</v>
      </c>
      <c r="O372">
        <v>0.97536623477935802</v>
      </c>
      <c r="P372">
        <f t="shared" si="44"/>
        <v>1</v>
      </c>
      <c r="Q372">
        <v>0.83026826399999998</v>
      </c>
      <c r="R372">
        <f t="shared" si="44"/>
        <v>1</v>
      </c>
      <c r="S372">
        <v>0.99484223127365101</v>
      </c>
      <c r="T372">
        <f t="shared" si="45"/>
        <v>1</v>
      </c>
      <c r="U372" s="1">
        <v>0.5416995</v>
      </c>
      <c r="V372">
        <v>1</v>
      </c>
      <c r="X372">
        <v>0</v>
      </c>
    </row>
    <row r="373" spans="1:24">
      <c r="A373" s="1">
        <v>1</v>
      </c>
      <c r="B373" s="1" t="s">
        <v>373</v>
      </c>
      <c r="C373" s="1">
        <v>1</v>
      </c>
      <c r="D373" s="33">
        <v>1</v>
      </c>
      <c r="E373" s="37">
        <v>1</v>
      </c>
      <c r="F373" s="37">
        <v>1</v>
      </c>
      <c r="G373">
        <v>0.86266446100000005</v>
      </c>
      <c r="H373">
        <f t="shared" si="42"/>
        <v>1</v>
      </c>
      <c r="I373" s="85">
        <v>0.99994075298309304</v>
      </c>
      <c r="J373">
        <f t="shared" si="43"/>
        <v>1</v>
      </c>
      <c r="K373" s="86">
        <v>0.95969933271408003</v>
      </c>
      <c r="L373">
        <f t="shared" si="44"/>
        <v>1</v>
      </c>
      <c r="M373">
        <v>0.67421692609786998</v>
      </c>
      <c r="N373">
        <f t="shared" si="44"/>
        <v>1</v>
      </c>
      <c r="O373">
        <v>0.99688631296157804</v>
      </c>
      <c r="P373">
        <f t="shared" si="44"/>
        <v>1</v>
      </c>
      <c r="Q373">
        <v>0.70671594100000001</v>
      </c>
      <c r="R373">
        <f t="shared" si="44"/>
        <v>1</v>
      </c>
      <c r="S373">
        <v>0.92756462097168002</v>
      </c>
      <c r="T373">
        <f t="shared" si="45"/>
        <v>1</v>
      </c>
      <c r="U373" s="1">
        <v>0.31715098000000003</v>
      </c>
      <c r="V373">
        <v>1</v>
      </c>
      <c r="X373">
        <v>0</v>
      </c>
    </row>
    <row r="374" spans="1:24">
      <c r="A374" s="1">
        <v>1</v>
      </c>
      <c r="B374" s="1" t="s">
        <v>374</v>
      </c>
      <c r="C374" s="1">
        <v>1</v>
      </c>
      <c r="D374" s="33">
        <v>1</v>
      </c>
      <c r="E374" s="37">
        <v>1</v>
      </c>
      <c r="F374" s="37">
        <v>1</v>
      </c>
      <c r="G374">
        <v>0.72109609799999996</v>
      </c>
      <c r="H374">
        <f t="shared" si="42"/>
        <v>1</v>
      </c>
      <c r="I374" s="85">
        <v>0.99158501625061002</v>
      </c>
      <c r="J374">
        <f t="shared" si="43"/>
        <v>1</v>
      </c>
      <c r="K374" s="86">
        <v>0.63343524932861295</v>
      </c>
      <c r="L374">
        <f t="shared" si="44"/>
        <v>1</v>
      </c>
      <c r="M374">
        <v>0.61606734991073597</v>
      </c>
      <c r="N374">
        <f t="shared" si="44"/>
        <v>1</v>
      </c>
      <c r="O374">
        <v>0.49812248349189803</v>
      </c>
      <c r="P374">
        <f t="shared" si="44"/>
        <v>0</v>
      </c>
      <c r="Q374">
        <v>0.399809688</v>
      </c>
      <c r="R374">
        <f t="shared" si="44"/>
        <v>0</v>
      </c>
      <c r="S374">
        <v>0.178483322262764</v>
      </c>
      <c r="T374">
        <f t="shared" si="45"/>
        <v>0</v>
      </c>
      <c r="U374" s="1">
        <v>0.15938359999999999</v>
      </c>
      <c r="V374">
        <v>0</v>
      </c>
      <c r="X374">
        <v>0</v>
      </c>
    </row>
    <row r="375" spans="1:24">
      <c r="A375" s="1">
        <v>1</v>
      </c>
      <c r="B375" s="1" t="s">
        <v>375</v>
      </c>
      <c r="C375" s="1">
        <v>1</v>
      </c>
      <c r="D375" s="33">
        <v>1</v>
      </c>
      <c r="E375" s="36">
        <v>1</v>
      </c>
      <c r="F375" s="37">
        <v>1</v>
      </c>
      <c r="G375">
        <v>0.20377573399999999</v>
      </c>
      <c r="H375">
        <f t="shared" si="42"/>
        <v>0</v>
      </c>
      <c r="I375" s="85">
        <v>0.79323691129684504</v>
      </c>
      <c r="J375">
        <f t="shared" si="43"/>
        <v>1</v>
      </c>
      <c r="K375" s="86">
        <v>0.43173325061798001</v>
      </c>
      <c r="L375">
        <f t="shared" si="44"/>
        <v>0</v>
      </c>
      <c r="M375" s="30">
        <v>0.15956917405128501</v>
      </c>
      <c r="N375">
        <f t="shared" si="44"/>
        <v>0</v>
      </c>
      <c r="O375">
        <v>0.48762670159339899</v>
      </c>
      <c r="P375">
        <f t="shared" si="44"/>
        <v>0</v>
      </c>
      <c r="Q375">
        <v>0.28012934299999998</v>
      </c>
      <c r="R375">
        <f t="shared" si="44"/>
        <v>0</v>
      </c>
      <c r="S375">
        <v>0.58325129747390803</v>
      </c>
      <c r="T375">
        <f t="shared" si="45"/>
        <v>1</v>
      </c>
      <c r="U375" s="1">
        <v>0.20437658</v>
      </c>
      <c r="V375">
        <v>0</v>
      </c>
      <c r="X375">
        <v>0</v>
      </c>
    </row>
    <row r="376" spans="1:24">
      <c r="A376" s="1">
        <v>1</v>
      </c>
      <c r="B376" s="1" t="s">
        <v>376</v>
      </c>
      <c r="C376" s="1">
        <v>1</v>
      </c>
      <c r="D376" s="33">
        <v>1</v>
      </c>
      <c r="E376" s="37">
        <v>1</v>
      </c>
      <c r="F376" s="37">
        <v>1</v>
      </c>
      <c r="G376">
        <v>0.95411610599999996</v>
      </c>
      <c r="H376">
        <f t="shared" si="42"/>
        <v>1</v>
      </c>
      <c r="I376" s="85">
        <v>1</v>
      </c>
      <c r="J376">
        <f t="shared" si="43"/>
        <v>1</v>
      </c>
      <c r="K376" s="86">
        <v>0.66235977411270097</v>
      </c>
      <c r="L376">
        <f t="shared" si="44"/>
        <v>1</v>
      </c>
      <c r="M376">
        <v>0.83335947990417503</v>
      </c>
      <c r="N376">
        <f t="shared" si="44"/>
        <v>1</v>
      </c>
      <c r="O376">
        <v>0.99990499019622803</v>
      </c>
      <c r="P376">
        <f t="shared" si="44"/>
        <v>1</v>
      </c>
      <c r="Q376">
        <v>0.85254240000000003</v>
      </c>
      <c r="R376">
        <f t="shared" si="44"/>
        <v>1</v>
      </c>
      <c r="S376">
        <v>0.99999809265136697</v>
      </c>
      <c r="T376">
        <f t="shared" si="45"/>
        <v>1</v>
      </c>
      <c r="U376" s="1">
        <v>0.39864549999999999</v>
      </c>
      <c r="V376">
        <v>1</v>
      </c>
      <c r="X376">
        <v>0</v>
      </c>
    </row>
    <row r="377" spans="1:24">
      <c r="A377" s="1">
        <v>1</v>
      </c>
      <c r="B377" s="1" t="s">
        <v>377</v>
      </c>
      <c r="C377" s="1">
        <v>1</v>
      </c>
      <c r="D377" s="33">
        <v>1</v>
      </c>
      <c r="E377" s="37">
        <v>1</v>
      </c>
      <c r="F377" s="37">
        <v>1</v>
      </c>
      <c r="G377">
        <v>0.60353875199999996</v>
      </c>
      <c r="H377">
        <f t="shared" si="42"/>
        <v>1</v>
      </c>
      <c r="I377" s="85">
        <v>0.70143485069274902</v>
      </c>
      <c r="J377">
        <f t="shared" si="43"/>
        <v>1</v>
      </c>
      <c r="K377" s="86">
        <v>0.84825867414474398</v>
      </c>
      <c r="L377">
        <f t="shared" si="44"/>
        <v>1</v>
      </c>
      <c r="M377" s="30">
        <v>0.65761321783065796</v>
      </c>
      <c r="N377">
        <f t="shared" si="44"/>
        <v>1</v>
      </c>
      <c r="O377">
        <v>0.59279638528823897</v>
      </c>
      <c r="P377">
        <f t="shared" si="44"/>
        <v>1</v>
      </c>
      <c r="Q377">
        <v>0.65928208799999999</v>
      </c>
      <c r="R377">
        <f t="shared" si="44"/>
        <v>1</v>
      </c>
      <c r="S377">
        <v>0.36682805418968201</v>
      </c>
      <c r="T377">
        <f t="shared" si="45"/>
        <v>0</v>
      </c>
      <c r="U377" s="1">
        <v>0.32260444999999999</v>
      </c>
      <c r="V377">
        <v>1</v>
      </c>
      <c r="X377">
        <v>0</v>
      </c>
    </row>
    <row r="378" spans="1:24">
      <c r="A378" s="1">
        <v>1</v>
      </c>
      <c r="B378" s="1" t="s">
        <v>378</v>
      </c>
      <c r="C378" s="1">
        <v>1</v>
      </c>
      <c r="D378" s="33">
        <v>1</v>
      </c>
      <c r="E378" s="37">
        <v>1</v>
      </c>
      <c r="F378" s="37">
        <v>1</v>
      </c>
      <c r="G378">
        <v>0.95021551800000004</v>
      </c>
      <c r="H378">
        <f t="shared" si="42"/>
        <v>1</v>
      </c>
      <c r="I378" s="85">
        <v>0.99996471405029297</v>
      </c>
      <c r="J378">
        <f t="shared" si="43"/>
        <v>1</v>
      </c>
      <c r="K378" s="86">
        <v>0.98513215780258101</v>
      </c>
      <c r="L378">
        <f t="shared" si="44"/>
        <v>1</v>
      </c>
      <c r="M378">
        <v>0.80964827537536599</v>
      </c>
      <c r="N378">
        <f t="shared" si="44"/>
        <v>1</v>
      </c>
      <c r="O378">
        <v>0.99756073951721203</v>
      </c>
      <c r="P378">
        <f t="shared" si="44"/>
        <v>1</v>
      </c>
      <c r="Q378">
        <v>0.82613062900000001</v>
      </c>
      <c r="R378">
        <f t="shared" si="44"/>
        <v>1</v>
      </c>
      <c r="S378">
        <v>0.85525524616241499</v>
      </c>
      <c r="T378">
        <f t="shared" si="45"/>
        <v>1</v>
      </c>
      <c r="U378" s="1">
        <v>0.44182247000000002</v>
      </c>
      <c r="V378">
        <v>1</v>
      </c>
      <c r="X378">
        <v>0</v>
      </c>
    </row>
    <row r="379" spans="1:24">
      <c r="A379" s="1">
        <v>1</v>
      </c>
      <c r="B379" s="1" t="s">
        <v>379</v>
      </c>
      <c r="C379" s="1">
        <v>1</v>
      </c>
      <c r="D379" s="33">
        <v>1</v>
      </c>
      <c r="E379" s="36">
        <v>0</v>
      </c>
      <c r="F379" s="37">
        <v>1</v>
      </c>
      <c r="G379">
        <v>0.88085669300000002</v>
      </c>
      <c r="H379">
        <f t="shared" si="42"/>
        <v>1</v>
      </c>
      <c r="I379" s="85">
        <v>0.99503725767135598</v>
      </c>
      <c r="J379">
        <f t="shared" si="43"/>
        <v>1</v>
      </c>
      <c r="K379" s="86">
        <v>0.83775150775909402</v>
      </c>
      <c r="L379">
        <f t="shared" si="44"/>
        <v>1</v>
      </c>
      <c r="M379" s="30">
        <v>0.57889789342880305</v>
      </c>
      <c r="N379">
        <f t="shared" si="44"/>
        <v>1</v>
      </c>
      <c r="O379">
        <v>0.95877277851104703</v>
      </c>
      <c r="P379">
        <f t="shared" si="44"/>
        <v>1</v>
      </c>
      <c r="Q379">
        <v>0.77249312400000003</v>
      </c>
      <c r="R379">
        <f t="shared" si="44"/>
        <v>1</v>
      </c>
      <c r="S379">
        <v>0.954098761081696</v>
      </c>
      <c r="T379">
        <f t="shared" si="45"/>
        <v>1</v>
      </c>
      <c r="U379" s="1">
        <v>0.45349013999999999</v>
      </c>
      <c r="V379">
        <v>1</v>
      </c>
      <c r="X379">
        <v>0</v>
      </c>
    </row>
    <row r="380" spans="1:24">
      <c r="A380" s="1">
        <v>1</v>
      </c>
      <c r="B380" s="1" t="s">
        <v>380</v>
      </c>
      <c r="C380" s="1">
        <v>1</v>
      </c>
      <c r="D380" s="33">
        <v>1</v>
      </c>
      <c r="E380" s="37">
        <v>1</v>
      </c>
      <c r="F380" s="37">
        <v>1</v>
      </c>
      <c r="G380">
        <v>0.88339316800000001</v>
      </c>
      <c r="H380">
        <f t="shared" si="42"/>
        <v>1</v>
      </c>
      <c r="I380" s="85">
        <v>0.64825373888015803</v>
      </c>
      <c r="J380">
        <f t="shared" si="43"/>
        <v>1</v>
      </c>
      <c r="K380" s="86">
        <v>0.86776071786880404</v>
      </c>
      <c r="L380">
        <f t="shared" si="44"/>
        <v>1</v>
      </c>
      <c r="M380">
        <v>0.785142481327057</v>
      </c>
      <c r="N380">
        <f t="shared" si="44"/>
        <v>1</v>
      </c>
      <c r="O380">
        <v>0.87641179561615001</v>
      </c>
      <c r="P380">
        <f t="shared" si="44"/>
        <v>1</v>
      </c>
      <c r="Q380">
        <v>0.675089359</v>
      </c>
      <c r="R380">
        <f t="shared" si="44"/>
        <v>1</v>
      </c>
      <c r="S380">
        <v>0.99444550275802601</v>
      </c>
      <c r="T380">
        <f t="shared" si="45"/>
        <v>1</v>
      </c>
      <c r="U380" s="1">
        <v>0.32951605</v>
      </c>
      <c r="V380">
        <v>1</v>
      </c>
      <c r="X380">
        <v>0</v>
      </c>
    </row>
    <row r="381" spans="1:24">
      <c r="A381" s="1" t="s">
        <v>381</v>
      </c>
      <c r="B381" s="1"/>
      <c r="C381" s="22"/>
      <c r="D381" s="33"/>
      <c r="E381" s="38"/>
      <c r="F381" s="38"/>
      <c r="K381" s="86"/>
      <c r="X381">
        <v>2</v>
      </c>
    </row>
    <row r="382" spans="1:24">
      <c r="A382" s="1">
        <v>0</v>
      </c>
      <c r="B382" s="1" t="s">
        <v>382</v>
      </c>
      <c r="C382" s="1">
        <v>0</v>
      </c>
      <c r="D382" s="33">
        <v>0</v>
      </c>
      <c r="E382" s="36">
        <v>0</v>
      </c>
      <c r="F382" s="37">
        <v>0</v>
      </c>
      <c r="G382">
        <v>0.24814990200000001</v>
      </c>
      <c r="H382">
        <f t="shared" si="42"/>
        <v>0</v>
      </c>
      <c r="I382" s="85">
        <v>2.3357834666967E-2</v>
      </c>
      <c r="J382">
        <f t="shared" si="43"/>
        <v>0</v>
      </c>
      <c r="K382" s="86">
        <v>0.461583942174911</v>
      </c>
      <c r="L382">
        <f t="shared" si="44"/>
        <v>0</v>
      </c>
      <c r="M382">
        <v>0.42189052700996399</v>
      </c>
      <c r="N382">
        <f t="shared" si="44"/>
        <v>0</v>
      </c>
      <c r="O382">
        <v>0.104253925383091</v>
      </c>
      <c r="P382">
        <f t="shared" si="44"/>
        <v>0</v>
      </c>
      <c r="Q382">
        <v>0.63862222400000002</v>
      </c>
      <c r="R382">
        <f t="shared" si="44"/>
        <v>1</v>
      </c>
      <c r="S382">
        <v>4.4189203530550003E-2</v>
      </c>
      <c r="T382">
        <f t="shared" si="45"/>
        <v>0</v>
      </c>
      <c r="U382" s="1">
        <v>0.38334504000000003</v>
      </c>
      <c r="V382">
        <v>1</v>
      </c>
      <c r="X382">
        <v>0</v>
      </c>
    </row>
    <row r="383" spans="1:24">
      <c r="A383" s="1">
        <v>0</v>
      </c>
      <c r="B383" s="1" t="s">
        <v>383</v>
      </c>
      <c r="C383" s="1">
        <v>0</v>
      </c>
      <c r="D383" s="33">
        <v>0</v>
      </c>
      <c r="E383" s="36">
        <v>0</v>
      </c>
      <c r="F383" s="37">
        <v>0</v>
      </c>
      <c r="G383">
        <v>0.71782094200000002</v>
      </c>
      <c r="H383">
        <f t="shared" si="42"/>
        <v>1</v>
      </c>
      <c r="I383" s="85">
        <v>0.18589922785759</v>
      </c>
      <c r="J383">
        <f t="shared" si="43"/>
        <v>0</v>
      </c>
      <c r="K383" s="86">
        <v>0.31736075878143299</v>
      </c>
      <c r="L383">
        <f t="shared" si="44"/>
        <v>0</v>
      </c>
      <c r="M383">
        <v>0.26792389154434199</v>
      </c>
      <c r="N383">
        <f t="shared" si="44"/>
        <v>0</v>
      </c>
      <c r="O383">
        <v>0.67577791213989302</v>
      </c>
      <c r="P383">
        <f t="shared" si="44"/>
        <v>1</v>
      </c>
      <c r="Q383">
        <v>0.55954527899999995</v>
      </c>
      <c r="R383">
        <f t="shared" si="44"/>
        <v>1</v>
      </c>
      <c r="S383">
        <v>0.94830965995788596</v>
      </c>
      <c r="T383">
        <f t="shared" si="45"/>
        <v>1</v>
      </c>
      <c r="U383" s="1">
        <v>0.33081677999999998</v>
      </c>
      <c r="V383">
        <v>1</v>
      </c>
      <c r="X383">
        <v>0</v>
      </c>
    </row>
    <row r="384" spans="1:24">
      <c r="A384" s="1">
        <v>0</v>
      </c>
      <c r="B384" s="1" t="s">
        <v>384</v>
      </c>
      <c r="C384" s="1">
        <v>0</v>
      </c>
      <c r="D384" s="33">
        <v>0</v>
      </c>
      <c r="E384" s="37">
        <v>1</v>
      </c>
      <c r="F384" s="37">
        <v>1</v>
      </c>
      <c r="G384">
        <v>0.41807687300000002</v>
      </c>
      <c r="H384">
        <f t="shared" si="42"/>
        <v>0</v>
      </c>
      <c r="I384" s="85">
        <v>6.020585075021E-3</v>
      </c>
      <c r="J384">
        <f t="shared" si="43"/>
        <v>0</v>
      </c>
      <c r="K384" s="86">
        <v>0.233870804309844</v>
      </c>
      <c r="L384">
        <f t="shared" si="44"/>
        <v>0</v>
      </c>
      <c r="M384">
        <v>0.64158469438552901</v>
      </c>
      <c r="N384">
        <f t="shared" si="44"/>
        <v>1</v>
      </c>
      <c r="O384">
        <v>0.36931288242340099</v>
      </c>
      <c r="P384">
        <f t="shared" si="44"/>
        <v>0</v>
      </c>
      <c r="Q384">
        <v>0.68394595400000002</v>
      </c>
      <c r="R384">
        <f t="shared" si="44"/>
        <v>1</v>
      </c>
      <c r="S384">
        <v>0.48342281579971302</v>
      </c>
      <c r="T384">
        <f t="shared" si="45"/>
        <v>0</v>
      </c>
      <c r="U384" s="1">
        <v>0.33377846999999999</v>
      </c>
      <c r="V384">
        <v>1</v>
      </c>
      <c r="X384">
        <v>0</v>
      </c>
    </row>
    <row r="385" spans="1:24">
      <c r="A385" s="1">
        <v>0</v>
      </c>
      <c r="B385" s="1" t="s">
        <v>385</v>
      </c>
      <c r="C385" s="1">
        <v>0</v>
      </c>
      <c r="D385" s="33">
        <v>0</v>
      </c>
      <c r="E385" s="36">
        <v>0</v>
      </c>
      <c r="F385" s="37">
        <v>0</v>
      </c>
      <c r="G385">
        <v>0.25876641299999997</v>
      </c>
      <c r="H385">
        <f t="shared" si="42"/>
        <v>0</v>
      </c>
      <c r="I385" s="85">
        <v>4.4775230344400001E-4</v>
      </c>
      <c r="J385">
        <f t="shared" si="43"/>
        <v>0</v>
      </c>
      <c r="K385" s="86">
        <v>0.191741183400154</v>
      </c>
      <c r="L385">
        <f t="shared" si="44"/>
        <v>0</v>
      </c>
      <c r="M385">
        <v>0.20818024873733501</v>
      </c>
      <c r="N385">
        <f t="shared" si="44"/>
        <v>0</v>
      </c>
      <c r="O385">
        <v>7.2051472961902993E-2</v>
      </c>
      <c r="P385">
        <f t="shared" si="44"/>
        <v>0</v>
      </c>
      <c r="Q385" s="30">
        <v>0.33945244600000002</v>
      </c>
      <c r="R385">
        <f t="shared" si="44"/>
        <v>0</v>
      </c>
      <c r="S385">
        <v>5.2950340323150002E-3</v>
      </c>
      <c r="T385">
        <f t="shared" si="45"/>
        <v>0</v>
      </c>
      <c r="U385" s="1">
        <v>0.15648201</v>
      </c>
      <c r="V385">
        <v>0</v>
      </c>
      <c r="X385">
        <v>0</v>
      </c>
    </row>
    <row r="386" spans="1:24">
      <c r="A386" s="1">
        <v>0</v>
      </c>
      <c r="B386" s="1" t="s">
        <v>386</v>
      </c>
      <c r="C386" s="1">
        <v>0</v>
      </c>
      <c r="D386" s="33">
        <v>1</v>
      </c>
      <c r="E386" s="37">
        <v>1</v>
      </c>
      <c r="F386" s="37">
        <v>0</v>
      </c>
      <c r="G386">
        <v>0.61867809299999998</v>
      </c>
      <c r="H386">
        <f t="shared" si="42"/>
        <v>1</v>
      </c>
      <c r="I386" s="85">
        <v>0.93549519777297996</v>
      </c>
      <c r="J386">
        <f t="shared" si="43"/>
        <v>1</v>
      </c>
      <c r="K386" s="86">
        <v>0.61618220806121804</v>
      </c>
      <c r="L386">
        <f t="shared" si="44"/>
        <v>1</v>
      </c>
      <c r="M386">
        <v>0.99264740943908703</v>
      </c>
      <c r="N386">
        <f t="shared" si="44"/>
        <v>1</v>
      </c>
      <c r="O386">
        <v>0.917522192001343</v>
      </c>
      <c r="P386">
        <f t="shared" si="44"/>
        <v>1</v>
      </c>
      <c r="Q386">
        <v>0.64157456199999996</v>
      </c>
      <c r="R386">
        <f t="shared" si="44"/>
        <v>1</v>
      </c>
      <c r="S386">
        <v>0.65940541028976396</v>
      </c>
      <c r="T386">
        <f t="shared" si="45"/>
        <v>1</v>
      </c>
      <c r="U386" s="1">
        <v>0.36043245000000002</v>
      </c>
      <c r="V386">
        <v>1</v>
      </c>
      <c r="X386">
        <v>0</v>
      </c>
    </row>
    <row r="387" spans="1:24">
      <c r="A387" s="1">
        <v>0</v>
      </c>
      <c r="B387" s="1" t="s">
        <v>387</v>
      </c>
      <c r="C387" s="1">
        <v>0</v>
      </c>
      <c r="D387" s="33">
        <v>0</v>
      </c>
      <c r="E387" s="36">
        <v>0</v>
      </c>
      <c r="F387" s="37">
        <v>0</v>
      </c>
      <c r="G387">
        <v>8.8306448999999995E-2</v>
      </c>
      <c r="H387">
        <f t="shared" si="42"/>
        <v>0</v>
      </c>
      <c r="I387" s="85">
        <v>1.0711787268519001E-2</v>
      </c>
      <c r="J387">
        <f t="shared" si="43"/>
        <v>0</v>
      </c>
      <c r="K387" s="86">
        <v>0.32349222898483199</v>
      </c>
      <c r="L387">
        <f t="shared" si="44"/>
        <v>0</v>
      </c>
      <c r="M387">
        <v>6.3761677592989998E-3</v>
      </c>
      <c r="N387">
        <f t="shared" si="44"/>
        <v>0</v>
      </c>
      <c r="O387">
        <v>0.15984795987606101</v>
      </c>
      <c r="P387">
        <f t="shared" si="44"/>
        <v>0</v>
      </c>
      <c r="Q387">
        <v>0.39874300400000001</v>
      </c>
      <c r="R387">
        <f t="shared" si="44"/>
        <v>0</v>
      </c>
      <c r="S387">
        <v>3.2276166602969998E-3</v>
      </c>
      <c r="T387">
        <f t="shared" si="45"/>
        <v>0</v>
      </c>
      <c r="U387" s="1">
        <v>4.5116343000000003E-2</v>
      </c>
      <c r="V387">
        <v>0</v>
      </c>
      <c r="X387">
        <v>0</v>
      </c>
    </row>
    <row r="388" spans="1:24">
      <c r="A388" s="1">
        <v>0</v>
      </c>
      <c r="B388" s="1" t="s">
        <v>388</v>
      </c>
      <c r="C388" s="1">
        <v>0</v>
      </c>
      <c r="D388" s="33">
        <v>0</v>
      </c>
      <c r="E388" s="36">
        <v>0</v>
      </c>
      <c r="F388" s="37">
        <v>0</v>
      </c>
      <c r="G388">
        <v>0.10418335300000001</v>
      </c>
      <c r="H388">
        <f t="shared" si="42"/>
        <v>0</v>
      </c>
      <c r="I388" s="85">
        <v>2.37469925196E-4</v>
      </c>
      <c r="J388">
        <f t="shared" si="43"/>
        <v>0</v>
      </c>
      <c r="K388" s="86">
        <v>0.26493173837661699</v>
      </c>
      <c r="L388">
        <f t="shared" si="44"/>
        <v>0</v>
      </c>
      <c r="M388" s="30">
        <v>0.22852978110313399</v>
      </c>
      <c r="N388">
        <f t="shared" si="44"/>
        <v>0</v>
      </c>
      <c r="O388">
        <v>2.4297017604113E-2</v>
      </c>
      <c r="P388">
        <f t="shared" si="44"/>
        <v>0</v>
      </c>
      <c r="Q388">
        <v>0.44142010799999998</v>
      </c>
      <c r="R388">
        <f t="shared" si="44"/>
        <v>0</v>
      </c>
      <c r="S388">
        <v>0.14264661073684701</v>
      </c>
      <c r="T388">
        <f t="shared" si="45"/>
        <v>0</v>
      </c>
      <c r="U388" s="1">
        <v>0.15757588</v>
      </c>
      <c r="V388">
        <v>0</v>
      </c>
      <c r="X388">
        <v>0</v>
      </c>
    </row>
    <row r="389" spans="1:24">
      <c r="A389" s="1">
        <v>0</v>
      </c>
      <c r="B389" s="1" t="s">
        <v>389</v>
      </c>
      <c r="C389" s="1">
        <v>0</v>
      </c>
      <c r="D389" s="33">
        <v>0</v>
      </c>
      <c r="E389" s="36">
        <v>0</v>
      </c>
      <c r="F389" s="37">
        <v>0</v>
      </c>
      <c r="G389">
        <v>0.13775889599999999</v>
      </c>
      <c r="H389">
        <f t="shared" si="42"/>
        <v>0</v>
      </c>
      <c r="I389" s="85">
        <v>1.380720268935E-2</v>
      </c>
      <c r="J389">
        <f t="shared" si="43"/>
        <v>0</v>
      </c>
      <c r="K389" s="86">
        <v>7.0332023315131604E-3</v>
      </c>
      <c r="L389">
        <f t="shared" si="44"/>
        <v>0</v>
      </c>
      <c r="M389">
        <v>0.205573350191116</v>
      </c>
      <c r="N389">
        <f t="shared" si="44"/>
        <v>0</v>
      </c>
      <c r="O389">
        <v>0.30579066276550299</v>
      </c>
      <c r="P389">
        <f t="shared" si="44"/>
        <v>0</v>
      </c>
      <c r="Q389" s="30">
        <v>0.34617862100000002</v>
      </c>
      <c r="R389">
        <f t="shared" si="44"/>
        <v>0</v>
      </c>
      <c r="S389">
        <v>0.22228072583675401</v>
      </c>
      <c r="T389">
        <f t="shared" si="45"/>
        <v>0</v>
      </c>
      <c r="U389" s="1">
        <v>0.11968073</v>
      </c>
      <c r="V389">
        <v>0</v>
      </c>
      <c r="X389">
        <v>0</v>
      </c>
    </row>
    <row r="390" spans="1:24">
      <c r="A390" s="1">
        <v>0</v>
      </c>
      <c r="B390" s="1" t="s">
        <v>390</v>
      </c>
      <c r="C390" s="1">
        <v>0</v>
      </c>
      <c r="D390" s="33">
        <v>0</v>
      </c>
      <c r="E390" s="36">
        <v>0</v>
      </c>
      <c r="F390" s="37">
        <v>0</v>
      </c>
      <c r="G390">
        <v>0.26240584300000003</v>
      </c>
      <c r="H390">
        <f t="shared" si="42"/>
        <v>0</v>
      </c>
      <c r="I390" s="85">
        <v>2.8731670230627001E-2</v>
      </c>
      <c r="J390">
        <f t="shared" si="43"/>
        <v>0</v>
      </c>
      <c r="K390" s="86">
        <v>0.43778404593467701</v>
      </c>
      <c r="L390">
        <f t="shared" si="44"/>
        <v>0</v>
      </c>
      <c r="M390">
        <v>0.49589344859123202</v>
      </c>
      <c r="N390">
        <f t="shared" si="44"/>
        <v>0</v>
      </c>
      <c r="O390">
        <v>0.35688436031341497</v>
      </c>
      <c r="P390">
        <f t="shared" si="44"/>
        <v>0</v>
      </c>
      <c r="Q390">
        <v>0.41452914499999999</v>
      </c>
      <c r="R390">
        <f t="shared" si="44"/>
        <v>0</v>
      </c>
      <c r="S390">
        <v>8.7391119450330006E-3</v>
      </c>
      <c r="T390">
        <f t="shared" si="45"/>
        <v>0</v>
      </c>
      <c r="U390" s="1">
        <v>0.16739968999999999</v>
      </c>
      <c r="V390">
        <v>0</v>
      </c>
      <c r="X390">
        <v>0</v>
      </c>
    </row>
    <row r="391" spans="1:24">
      <c r="A391" s="1">
        <v>0</v>
      </c>
      <c r="B391" s="1" t="s">
        <v>391</v>
      </c>
      <c r="C391" s="1">
        <v>0</v>
      </c>
      <c r="D391" s="33">
        <v>0</v>
      </c>
      <c r="E391" s="36">
        <v>0</v>
      </c>
      <c r="F391" s="37">
        <v>0</v>
      </c>
      <c r="G391">
        <v>7.1772479E-2</v>
      </c>
      <c r="H391">
        <f t="shared" si="42"/>
        <v>0</v>
      </c>
      <c r="I391" s="85">
        <v>3.6070450732950101E-5</v>
      </c>
      <c r="J391">
        <f t="shared" si="43"/>
        <v>0</v>
      </c>
      <c r="K391" s="86">
        <v>4.4473302550613802E-3</v>
      </c>
      <c r="L391">
        <f t="shared" si="44"/>
        <v>0</v>
      </c>
      <c r="M391">
        <v>1.2386677786708E-2</v>
      </c>
      <c r="N391">
        <f t="shared" si="44"/>
        <v>0</v>
      </c>
      <c r="O391" s="30">
        <v>6.2158450484275998E-2</v>
      </c>
      <c r="P391">
        <f t="shared" si="44"/>
        <v>0</v>
      </c>
      <c r="Q391" s="30">
        <v>0.29535573700000001</v>
      </c>
      <c r="R391">
        <f t="shared" si="44"/>
        <v>0</v>
      </c>
      <c r="S391">
        <v>4.4542597606800002E-4</v>
      </c>
      <c r="T391">
        <f t="shared" si="45"/>
        <v>0</v>
      </c>
      <c r="U391" s="1">
        <v>0.10145471</v>
      </c>
      <c r="V391">
        <v>0</v>
      </c>
      <c r="X391">
        <v>0</v>
      </c>
    </row>
    <row r="392" spans="1:24">
      <c r="A392" s="1">
        <v>0</v>
      </c>
      <c r="B392" s="1" t="s">
        <v>392</v>
      </c>
      <c r="C392" s="1">
        <v>0</v>
      </c>
      <c r="D392" s="33">
        <v>0</v>
      </c>
      <c r="E392" s="36">
        <v>0</v>
      </c>
      <c r="F392" s="37">
        <v>0</v>
      </c>
      <c r="G392" s="30">
        <v>4.0470659999999999E-2</v>
      </c>
      <c r="H392">
        <f t="shared" si="42"/>
        <v>0</v>
      </c>
      <c r="I392" s="85">
        <v>3.1337972217215801E-9</v>
      </c>
      <c r="J392">
        <f t="shared" si="43"/>
        <v>0</v>
      </c>
      <c r="K392" s="86">
        <v>0.31287541985511702</v>
      </c>
      <c r="L392">
        <f t="shared" si="44"/>
        <v>0</v>
      </c>
      <c r="M392">
        <v>3.3056456595658999E-2</v>
      </c>
      <c r="N392">
        <f t="shared" si="44"/>
        <v>0</v>
      </c>
      <c r="O392">
        <v>7.7161127701400002E-3</v>
      </c>
      <c r="P392">
        <f t="shared" si="44"/>
        <v>0</v>
      </c>
      <c r="Q392" s="30">
        <v>0.47460150699999998</v>
      </c>
      <c r="R392">
        <f t="shared" si="44"/>
        <v>0</v>
      </c>
      <c r="S392">
        <v>1.1542019434273E-2</v>
      </c>
      <c r="T392">
        <f t="shared" si="45"/>
        <v>0</v>
      </c>
      <c r="U392" s="1">
        <v>4.1665630000000002E-2</v>
      </c>
      <c r="V392">
        <v>0</v>
      </c>
      <c r="X392">
        <v>0</v>
      </c>
    </row>
    <row r="393" spans="1:24">
      <c r="A393" s="1">
        <v>0</v>
      </c>
      <c r="B393" s="1" t="s">
        <v>393</v>
      </c>
      <c r="C393" s="1">
        <v>0</v>
      </c>
      <c r="D393" s="33">
        <v>1</v>
      </c>
      <c r="E393" s="36">
        <v>0</v>
      </c>
      <c r="F393" s="37">
        <v>0</v>
      </c>
      <c r="G393">
        <v>0.85965031400000003</v>
      </c>
      <c r="H393">
        <f t="shared" si="42"/>
        <v>1</v>
      </c>
      <c r="I393" s="85">
        <v>0.22576919198036199</v>
      </c>
      <c r="J393">
        <f t="shared" si="43"/>
        <v>0</v>
      </c>
      <c r="K393" s="86">
        <v>0.29711279273033098</v>
      </c>
      <c r="L393">
        <f t="shared" si="44"/>
        <v>0</v>
      </c>
      <c r="M393">
        <v>0.73745965957641602</v>
      </c>
      <c r="N393">
        <f t="shared" si="44"/>
        <v>1</v>
      </c>
      <c r="O393">
        <v>0.39850223064422602</v>
      </c>
      <c r="P393">
        <f t="shared" si="44"/>
        <v>0</v>
      </c>
      <c r="Q393">
        <v>0.48024067300000001</v>
      </c>
      <c r="R393">
        <f t="shared" si="44"/>
        <v>0</v>
      </c>
      <c r="S393">
        <v>9.1929093003272996E-2</v>
      </c>
      <c r="T393">
        <f t="shared" si="45"/>
        <v>0</v>
      </c>
      <c r="U393" s="1">
        <v>0.12183255</v>
      </c>
      <c r="V393">
        <v>0</v>
      </c>
      <c r="X393">
        <v>0</v>
      </c>
    </row>
    <row r="394" spans="1:24">
      <c r="A394" s="1">
        <v>0</v>
      </c>
      <c r="B394" s="7" t="s">
        <v>394</v>
      </c>
      <c r="C394" s="1">
        <v>0</v>
      </c>
      <c r="D394" s="33">
        <v>0</v>
      </c>
      <c r="E394" s="36">
        <v>0</v>
      </c>
      <c r="F394" s="37">
        <v>0</v>
      </c>
      <c r="G394">
        <v>4.7284606999999999E-2</v>
      </c>
      <c r="H394">
        <f t="shared" si="42"/>
        <v>0</v>
      </c>
      <c r="I394" s="85">
        <v>1.5704713296149999E-3</v>
      </c>
      <c r="J394">
        <f t="shared" si="43"/>
        <v>0</v>
      </c>
      <c r="K394" s="86">
        <v>1.3542903587222099E-2</v>
      </c>
      <c r="L394">
        <f t="shared" si="44"/>
        <v>0</v>
      </c>
      <c r="M394">
        <v>4.2748939245938998E-2</v>
      </c>
      <c r="N394">
        <f t="shared" si="44"/>
        <v>0</v>
      </c>
      <c r="O394">
        <v>3.9308410137891998E-2</v>
      </c>
      <c r="P394">
        <f t="shared" si="44"/>
        <v>0</v>
      </c>
      <c r="Q394">
        <v>0.31265294599999999</v>
      </c>
      <c r="R394">
        <f t="shared" si="44"/>
        <v>0</v>
      </c>
      <c r="S394">
        <v>7.872164133E-4</v>
      </c>
      <c r="T394">
        <f t="shared" si="45"/>
        <v>0</v>
      </c>
      <c r="U394" s="7">
        <v>0.14012589</v>
      </c>
      <c r="V394">
        <v>0</v>
      </c>
      <c r="X394">
        <v>1</v>
      </c>
    </row>
    <row r="395" spans="1:24">
      <c r="A395" s="1">
        <v>0</v>
      </c>
      <c r="B395" s="1" t="s">
        <v>395</v>
      </c>
      <c r="C395" s="1">
        <v>0</v>
      </c>
      <c r="D395" s="33">
        <v>1</v>
      </c>
      <c r="E395" s="37">
        <v>1</v>
      </c>
      <c r="F395" s="37">
        <v>0</v>
      </c>
      <c r="G395">
        <v>5.1728029000000002E-2</v>
      </c>
      <c r="H395">
        <f t="shared" si="42"/>
        <v>0</v>
      </c>
      <c r="I395" s="85">
        <v>0.394235670566559</v>
      </c>
      <c r="J395">
        <f t="shared" si="43"/>
        <v>0</v>
      </c>
      <c r="K395" s="86">
        <v>0.370462596416473</v>
      </c>
      <c r="L395">
        <f t="shared" si="44"/>
        <v>0</v>
      </c>
      <c r="M395">
        <v>0.63346302509307895</v>
      </c>
      <c r="N395">
        <f t="shared" si="44"/>
        <v>1</v>
      </c>
      <c r="O395">
        <v>6.2503673136234006E-2</v>
      </c>
      <c r="P395">
        <f t="shared" si="44"/>
        <v>0</v>
      </c>
      <c r="Q395">
        <v>0.63443809699999998</v>
      </c>
      <c r="R395">
        <f t="shared" si="44"/>
        <v>1</v>
      </c>
      <c r="S395">
        <v>0.329808920621872</v>
      </c>
      <c r="T395">
        <f t="shared" si="45"/>
        <v>0</v>
      </c>
      <c r="U395" s="1">
        <v>0.29112705999999999</v>
      </c>
      <c r="V395">
        <v>1</v>
      </c>
      <c r="X395">
        <v>0</v>
      </c>
    </row>
    <row r="396" spans="1:24">
      <c r="A396" s="1">
        <v>0</v>
      </c>
      <c r="B396" s="1" t="s">
        <v>396</v>
      </c>
      <c r="C396" s="1">
        <v>0</v>
      </c>
      <c r="D396" s="33">
        <v>0</v>
      </c>
      <c r="E396" s="36">
        <v>0</v>
      </c>
      <c r="F396" s="37">
        <v>0</v>
      </c>
      <c r="G396">
        <v>0.188103139</v>
      </c>
      <c r="H396">
        <f t="shared" si="42"/>
        <v>0</v>
      </c>
      <c r="I396" s="85">
        <v>1.0740734636784001E-2</v>
      </c>
      <c r="J396">
        <f t="shared" si="43"/>
        <v>0</v>
      </c>
      <c r="K396" s="86">
        <v>0.89139539003372104</v>
      </c>
      <c r="L396">
        <f t="shared" si="44"/>
        <v>1</v>
      </c>
      <c r="M396">
        <v>0.31042915582656899</v>
      </c>
      <c r="N396">
        <f t="shared" si="44"/>
        <v>0</v>
      </c>
      <c r="O396">
        <v>8.2157313823700007E-2</v>
      </c>
      <c r="P396">
        <f t="shared" si="44"/>
        <v>0</v>
      </c>
      <c r="Q396">
        <v>0.58176493600000001</v>
      </c>
      <c r="R396">
        <f t="shared" si="44"/>
        <v>1</v>
      </c>
      <c r="S396">
        <v>2.7450360357800002E-4</v>
      </c>
      <c r="T396">
        <f t="shared" si="45"/>
        <v>0</v>
      </c>
      <c r="U396" s="1">
        <v>0.39065107999999998</v>
      </c>
      <c r="V396">
        <v>1</v>
      </c>
      <c r="X396">
        <v>0</v>
      </c>
    </row>
    <row r="397" spans="1:24">
      <c r="A397" s="1">
        <v>0</v>
      </c>
      <c r="B397" s="1" t="s">
        <v>397</v>
      </c>
      <c r="C397" s="1">
        <v>0</v>
      </c>
      <c r="D397" s="33">
        <v>0</v>
      </c>
      <c r="E397" s="36">
        <v>0</v>
      </c>
      <c r="F397" s="37">
        <v>0</v>
      </c>
      <c r="G397" s="30">
        <v>0.117528155</v>
      </c>
      <c r="H397">
        <f t="shared" si="42"/>
        <v>0</v>
      </c>
      <c r="I397" s="85">
        <v>1.1035124771297001E-2</v>
      </c>
      <c r="J397">
        <f t="shared" si="43"/>
        <v>0</v>
      </c>
      <c r="K397" s="86">
        <v>0.1220643222332</v>
      </c>
      <c r="L397">
        <f t="shared" si="44"/>
        <v>0</v>
      </c>
      <c r="M397">
        <v>0.30905127525329601</v>
      </c>
      <c r="N397">
        <f t="shared" si="44"/>
        <v>0</v>
      </c>
      <c r="O397">
        <v>0.34405848383903498</v>
      </c>
      <c r="P397">
        <f t="shared" si="44"/>
        <v>0</v>
      </c>
      <c r="Q397">
        <v>0.432351023</v>
      </c>
      <c r="R397">
        <f t="shared" si="44"/>
        <v>0</v>
      </c>
      <c r="S397">
        <v>0.219759926199913</v>
      </c>
      <c r="T397">
        <f t="shared" si="45"/>
        <v>0</v>
      </c>
      <c r="U397" s="1">
        <v>0.18562000000000001</v>
      </c>
      <c r="V397">
        <v>0</v>
      </c>
      <c r="X397">
        <v>0</v>
      </c>
    </row>
    <row r="398" spans="1:24">
      <c r="A398" s="1">
        <v>0</v>
      </c>
      <c r="B398" s="1" t="s">
        <v>398</v>
      </c>
      <c r="C398" s="1">
        <v>0</v>
      </c>
      <c r="D398" s="33">
        <v>0</v>
      </c>
      <c r="E398" s="36">
        <v>0</v>
      </c>
      <c r="F398" s="37">
        <v>0</v>
      </c>
      <c r="G398">
        <v>5.2682441000000003E-2</v>
      </c>
      <c r="H398">
        <f t="shared" si="42"/>
        <v>0</v>
      </c>
      <c r="I398" s="85">
        <v>3.9147373172454502E-5</v>
      </c>
      <c r="J398">
        <f t="shared" si="43"/>
        <v>0</v>
      </c>
      <c r="K398" s="86">
        <v>6.5852113068103693E-2</v>
      </c>
      <c r="L398">
        <f t="shared" si="44"/>
        <v>0</v>
      </c>
      <c r="M398">
        <v>0.148674696683884</v>
      </c>
      <c r="N398">
        <f t="shared" si="44"/>
        <v>0</v>
      </c>
      <c r="O398">
        <v>6.0020126402377999E-2</v>
      </c>
      <c r="P398">
        <f t="shared" si="44"/>
        <v>0</v>
      </c>
      <c r="Q398" s="30">
        <v>0.50834798800000003</v>
      </c>
      <c r="R398">
        <f t="shared" si="44"/>
        <v>1</v>
      </c>
      <c r="S398">
        <v>5.9365732595319997E-3</v>
      </c>
      <c r="T398">
        <f t="shared" si="45"/>
        <v>0</v>
      </c>
      <c r="U398" s="1">
        <v>5.3136866999999997E-2</v>
      </c>
      <c r="V398">
        <v>0</v>
      </c>
      <c r="X398">
        <v>0</v>
      </c>
    </row>
    <row r="399" spans="1:24">
      <c r="A399" s="1">
        <v>0</v>
      </c>
      <c r="B399" s="1" t="s">
        <v>399</v>
      </c>
      <c r="C399" s="1">
        <v>0</v>
      </c>
      <c r="D399" s="33">
        <v>0</v>
      </c>
      <c r="E399" s="36">
        <v>0</v>
      </c>
      <c r="F399" s="37">
        <v>0</v>
      </c>
      <c r="G399" s="30">
        <v>6.3791580000000001E-2</v>
      </c>
      <c r="H399">
        <f t="shared" si="42"/>
        <v>0</v>
      </c>
      <c r="I399" s="85">
        <v>2.1932369520527599E-7</v>
      </c>
      <c r="J399">
        <f t="shared" si="43"/>
        <v>0</v>
      </c>
      <c r="K399" s="86">
        <v>0.18126589059829701</v>
      </c>
      <c r="L399">
        <f t="shared" si="44"/>
        <v>0</v>
      </c>
      <c r="M399">
        <v>1.4682144857943001E-2</v>
      </c>
      <c r="N399">
        <f t="shared" si="44"/>
        <v>0</v>
      </c>
      <c r="O399">
        <v>1.3897174969316001E-2</v>
      </c>
      <c r="P399">
        <f t="shared" si="44"/>
        <v>0</v>
      </c>
      <c r="Q399">
        <v>0.39471298500000002</v>
      </c>
      <c r="R399">
        <f t="shared" si="44"/>
        <v>0</v>
      </c>
      <c r="S399">
        <v>1.237181248143E-3</v>
      </c>
      <c r="T399">
        <f t="shared" si="45"/>
        <v>0</v>
      </c>
      <c r="U399" s="1">
        <v>2.3234634000000001E-2</v>
      </c>
      <c r="V399">
        <v>0</v>
      </c>
      <c r="X399">
        <v>0</v>
      </c>
    </row>
    <row r="400" spans="1:24">
      <c r="A400" s="1">
        <v>0</v>
      </c>
      <c r="B400" s="1" t="s">
        <v>400</v>
      </c>
      <c r="C400" s="1">
        <v>0</v>
      </c>
      <c r="D400" s="33">
        <v>0</v>
      </c>
      <c r="E400" s="36">
        <v>0</v>
      </c>
      <c r="F400" s="37">
        <v>0</v>
      </c>
      <c r="G400">
        <v>3.6968279999999999E-2</v>
      </c>
      <c r="H400">
        <f t="shared" si="42"/>
        <v>0</v>
      </c>
      <c r="I400" s="85">
        <v>2.5377527344999998E-4</v>
      </c>
      <c r="J400">
        <f t="shared" si="43"/>
        <v>0</v>
      </c>
      <c r="K400" s="86">
        <v>2.4314787238836202E-2</v>
      </c>
      <c r="L400">
        <f t="shared" si="44"/>
        <v>0</v>
      </c>
      <c r="M400" s="30">
        <v>4.3946662917730001E-3</v>
      </c>
      <c r="N400">
        <f t="shared" si="44"/>
        <v>0</v>
      </c>
      <c r="O400" s="30">
        <v>2.2629352286458002E-2</v>
      </c>
      <c r="P400">
        <f t="shared" si="44"/>
        <v>0</v>
      </c>
      <c r="Q400" s="30">
        <v>0.390377849</v>
      </c>
      <c r="R400">
        <f t="shared" si="44"/>
        <v>0</v>
      </c>
      <c r="S400">
        <v>2.9106327565399999E-4</v>
      </c>
      <c r="T400">
        <f t="shared" si="45"/>
        <v>0</v>
      </c>
      <c r="U400" s="1">
        <v>0.16535076000000001</v>
      </c>
      <c r="V400">
        <v>0</v>
      </c>
      <c r="X400">
        <v>0</v>
      </c>
    </row>
    <row r="401" spans="1:24">
      <c r="A401" s="1">
        <v>0</v>
      </c>
      <c r="B401" s="1" t="s">
        <v>401</v>
      </c>
      <c r="C401" s="1">
        <v>0</v>
      </c>
      <c r="D401" s="33">
        <v>0</v>
      </c>
      <c r="E401" s="36">
        <v>0</v>
      </c>
      <c r="F401" s="37">
        <v>0</v>
      </c>
      <c r="G401">
        <v>0.95900076599999995</v>
      </c>
      <c r="H401">
        <f t="shared" si="42"/>
        <v>1</v>
      </c>
      <c r="I401" s="85">
        <v>0.43184483051300099</v>
      </c>
      <c r="J401">
        <f t="shared" si="43"/>
        <v>0</v>
      </c>
      <c r="K401" s="86">
        <v>0.70451265573501498</v>
      </c>
      <c r="L401">
        <f t="shared" si="44"/>
        <v>1</v>
      </c>
      <c r="M401" s="30">
        <v>0.89311796426773105</v>
      </c>
      <c r="N401">
        <f t="shared" si="44"/>
        <v>1</v>
      </c>
      <c r="O401">
        <v>0.99188143014907804</v>
      </c>
      <c r="P401">
        <f t="shared" si="44"/>
        <v>1</v>
      </c>
      <c r="Q401">
        <v>0.39956176300000001</v>
      </c>
      <c r="R401">
        <f t="shared" si="44"/>
        <v>0</v>
      </c>
      <c r="S401">
        <v>0.14214651286602001</v>
      </c>
      <c r="T401">
        <f t="shared" si="45"/>
        <v>0</v>
      </c>
      <c r="U401" s="1">
        <v>0.31733816999999997</v>
      </c>
      <c r="V401">
        <v>1</v>
      </c>
      <c r="X401">
        <v>0</v>
      </c>
    </row>
    <row r="402" spans="1:24">
      <c r="A402" s="1">
        <v>0</v>
      </c>
      <c r="B402" s="1" t="s">
        <v>402</v>
      </c>
      <c r="C402" s="1">
        <v>0</v>
      </c>
      <c r="D402" s="33">
        <v>1</v>
      </c>
      <c r="E402" s="36">
        <v>0</v>
      </c>
      <c r="F402" s="37">
        <v>0</v>
      </c>
      <c r="G402">
        <v>5.5299903999999997E-2</v>
      </c>
      <c r="H402">
        <f t="shared" si="42"/>
        <v>0</v>
      </c>
      <c r="I402" s="85">
        <v>2.0245726773282499E-5</v>
      </c>
      <c r="J402">
        <f t="shared" si="43"/>
        <v>0</v>
      </c>
      <c r="K402" s="86">
        <v>0.17776300013065299</v>
      </c>
      <c r="L402">
        <f t="shared" si="44"/>
        <v>0</v>
      </c>
      <c r="M402">
        <v>2.1149758249520999E-2</v>
      </c>
      <c r="N402">
        <f t="shared" si="44"/>
        <v>0</v>
      </c>
      <c r="O402">
        <v>8.1279210746287994E-2</v>
      </c>
      <c r="P402">
        <f t="shared" si="44"/>
        <v>0</v>
      </c>
      <c r="Q402">
        <v>0.43230611099999999</v>
      </c>
      <c r="R402">
        <f t="shared" si="44"/>
        <v>0</v>
      </c>
      <c r="S402">
        <v>8.7965017883099997E-4</v>
      </c>
      <c r="T402">
        <f t="shared" si="45"/>
        <v>0</v>
      </c>
      <c r="U402" s="1">
        <v>3.8307122999999998E-2</v>
      </c>
      <c r="V402">
        <v>0</v>
      </c>
      <c r="X402">
        <v>0</v>
      </c>
    </row>
    <row r="403" spans="1:24">
      <c r="A403" s="1">
        <v>0</v>
      </c>
      <c r="B403" s="1" t="s">
        <v>403</v>
      </c>
      <c r="C403" s="1">
        <v>0</v>
      </c>
      <c r="D403" s="33">
        <v>0</v>
      </c>
      <c r="E403" s="36">
        <v>0</v>
      </c>
      <c r="F403" s="37">
        <v>0</v>
      </c>
      <c r="G403">
        <v>0.42051643100000002</v>
      </c>
      <c r="H403">
        <f t="shared" si="42"/>
        <v>0</v>
      </c>
      <c r="I403" s="85">
        <v>0.99255001544952404</v>
      </c>
      <c r="J403">
        <f t="shared" si="43"/>
        <v>1</v>
      </c>
      <c r="K403" s="86">
        <v>0.49205553531646701</v>
      </c>
      <c r="L403">
        <f t="shared" si="44"/>
        <v>0</v>
      </c>
      <c r="M403" s="30">
        <v>0.720081806182861</v>
      </c>
      <c r="N403">
        <f t="shared" si="44"/>
        <v>1</v>
      </c>
      <c r="O403">
        <v>0.97981768846511796</v>
      </c>
      <c r="P403">
        <f t="shared" si="44"/>
        <v>1</v>
      </c>
      <c r="Q403">
        <v>0.68129706400000001</v>
      </c>
      <c r="R403">
        <f t="shared" si="44"/>
        <v>1</v>
      </c>
      <c r="S403">
        <v>0.90838938951492298</v>
      </c>
      <c r="T403">
        <f t="shared" si="45"/>
        <v>1</v>
      </c>
      <c r="U403" s="1">
        <v>0.32210672000000001</v>
      </c>
      <c r="V403">
        <v>1</v>
      </c>
      <c r="X403">
        <v>0</v>
      </c>
    </row>
    <row r="404" spans="1:24">
      <c r="A404" s="1">
        <v>0</v>
      </c>
      <c r="B404" s="1" t="s">
        <v>404</v>
      </c>
      <c r="C404" s="1">
        <v>0</v>
      </c>
      <c r="D404" s="33">
        <v>0</v>
      </c>
      <c r="E404" s="36">
        <v>0</v>
      </c>
      <c r="F404" s="37">
        <v>0</v>
      </c>
      <c r="G404">
        <v>0.453695774</v>
      </c>
      <c r="H404">
        <f t="shared" si="42"/>
        <v>0</v>
      </c>
      <c r="I404" s="85">
        <v>6.7707635462284005E-2</v>
      </c>
      <c r="J404">
        <f t="shared" si="43"/>
        <v>0</v>
      </c>
      <c r="K404" s="86">
        <v>0.75843966007232599</v>
      </c>
      <c r="L404">
        <f t="shared" si="44"/>
        <v>1</v>
      </c>
      <c r="M404">
        <v>0.35896122455596902</v>
      </c>
      <c r="N404">
        <f t="shared" si="44"/>
        <v>0</v>
      </c>
      <c r="O404">
        <v>0.44236993789672902</v>
      </c>
      <c r="P404">
        <f t="shared" si="44"/>
        <v>0</v>
      </c>
      <c r="Q404">
        <v>0.36646020400000001</v>
      </c>
      <c r="R404">
        <f t="shared" si="44"/>
        <v>0</v>
      </c>
      <c r="S404">
        <v>0.1451555788517</v>
      </c>
      <c r="T404">
        <f t="shared" si="45"/>
        <v>0</v>
      </c>
      <c r="U404" s="1">
        <v>0.29267952000000003</v>
      </c>
      <c r="V404">
        <v>1</v>
      </c>
      <c r="X404">
        <v>0</v>
      </c>
    </row>
    <row r="405" spans="1:24">
      <c r="A405" s="1">
        <v>0</v>
      </c>
      <c r="B405" s="1" t="s">
        <v>405</v>
      </c>
      <c r="C405" s="1">
        <v>0</v>
      </c>
      <c r="D405" s="33">
        <v>1</v>
      </c>
      <c r="E405" s="37">
        <v>1</v>
      </c>
      <c r="F405" s="37">
        <v>0</v>
      </c>
      <c r="G405">
        <v>0.76121282599999995</v>
      </c>
      <c r="H405">
        <f t="shared" si="42"/>
        <v>1</v>
      </c>
      <c r="I405" s="85">
        <v>0.99553799629211404</v>
      </c>
      <c r="J405">
        <f t="shared" si="43"/>
        <v>1</v>
      </c>
      <c r="K405" s="86">
        <v>0.73042845726013095</v>
      </c>
      <c r="L405">
        <f t="shared" si="44"/>
        <v>1</v>
      </c>
      <c r="M405">
        <v>0.42253851890563998</v>
      </c>
      <c r="N405">
        <f t="shared" si="44"/>
        <v>0</v>
      </c>
      <c r="O405">
        <v>0.67328888177871704</v>
      </c>
      <c r="P405">
        <f t="shared" si="44"/>
        <v>1</v>
      </c>
      <c r="Q405">
        <v>0.668102682</v>
      </c>
      <c r="R405">
        <f t="shared" si="44"/>
        <v>1</v>
      </c>
      <c r="S405">
        <v>0.99953079223632801</v>
      </c>
      <c r="T405">
        <f t="shared" si="45"/>
        <v>1</v>
      </c>
      <c r="U405" s="1">
        <v>0.35118523000000001</v>
      </c>
      <c r="V405">
        <v>1</v>
      </c>
      <c r="X405">
        <v>0</v>
      </c>
    </row>
    <row r="406" spans="1:24">
      <c r="A406" s="1">
        <v>0</v>
      </c>
      <c r="B406" s="1" t="s">
        <v>406</v>
      </c>
      <c r="C406" s="1">
        <v>0</v>
      </c>
      <c r="D406" s="33">
        <v>0</v>
      </c>
      <c r="E406" s="36">
        <v>0</v>
      </c>
      <c r="F406" s="37">
        <v>0</v>
      </c>
      <c r="G406">
        <v>0.27332013799999999</v>
      </c>
      <c r="H406">
        <f t="shared" si="42"/>
        <v>0</v>
      </c>
      <c r="I406" s="85">
        <v>3.7538802644121498E-7</v>
      </c>
      <c r="J406">
        <f t="shared" si="43"/>
        <v>0</v>
      </c>
      <c r="K406" s="86">
        <v>0.160233229398727</v>
      </c>
      <c r="L406">
        <f t="shared" si="44"/>
        <v>0</v>
      </c>
      <c r="M406" s="30">
        <v>1.1288516223431E-2</v>
      </c>
      <c r="N406">
        <f t="shared" si="44"/>
        <v>0</v>
      </c>
      <c r="O406">
        <v>2.195505797863E-2</v>
      </c>
      <c r="P406">
        <f t="shared" si="44"/>
        <v>0</v>
      </c>
      <c r="Q406" s="30">
        <v>0.36588090699999998</v>
      </c>
      <c r="R406">
        <f t="shared" si="44"/>
        <v>0</v>
      </c>
      <c r="S406">
        <v>5.5261612869799996E-3</v>
      </c>
      <c r="T406">
        <f t="shared" si="45"/>
        <v>0</v>
      </c>
      <c r="U406" s="1">
        <v>0.12481711</v>
      </c>
      <c r="V406">
        <v>0</v>
      </c>
      <c r="X406">
        <v>0</v>
      </c>
    </row>
    <row r="407" spans="1:24">
      <c r="A407" s="1">
        <v>0</v>
      </c>
      <c r="B407" s="1" t="s">
        <v>407</v>
      </c>
      <c r="C407" s="1">
        <v>0</v>
      </c>
      <c r="D407" s="33">
        <v>0</v>
      </c>
      <c r="E407" s="36">
        <v>0</v>
      </c>
      <c r="F407" s="37">
        <v>0</v>
      </c>
      <c r="G407" s="30">
        <v>0.13558669400000001</v>
      </c>
      <c r="H407">
        <f t="shared" ref="H407:H469" si="46">IF(G407&gt;$A$2,1,0)</f>
        <v>0</v>
      </c>
      <c r="I407" s="85">
        <v>5.4538935501113904E-7</v>
      </c>
      <c r="J407">
        <f t="shared" ref="J407:J469" si="47">IF(I407&gt;$A$2,1,0)</f>
        <v>0</v>
      </c>
      <c r="K407" s="86">
        <v>0.13497743010520899</v>
      </c>
      <c r="L407">
        <f t="shared" ref="L407:T469" si="48">IF(K407&gt;$A$2,1,0)</f>
        <v>0</v>
      </c>
      <c r="M407">
        <v>2.9694860801101002E-2</v>
      </c>
      <c r="N407">
        <f t="shared" si="48"/>
        <v>0</v>
      </c>
      <c r="O407">
        <v>3.3315144479275E-2</v>
      </c>
      <c r="P407">
        <f t="shared" si="48"/>
        <v>0</v>
      </c>
      <c r="Q407">
        <v>0.44079381200000001</v>
      </c>
      <c r="R407">
        <f t="shared" si="48"/>
        <v>0</v>
      </c>
      <c r="S407" s="30">
        <v>5.4873413319001001E-5</v>
      </c>
      <c r="T407">
        <f t="shared" si="48"/>
        <v>0</v>
      </c>
      <c r="U407" s="1">
        <v>5.9599317999999998E-2</v>
      </c>
      <c r="V407">
        <v>0</v>
      </c>
      <c r="X407">
        <v>0</v>
      </c>
    </row>
    <row r="408" spans="1:24">
      <c r="A408" s="1">
        <v>0</v>
      </c>
      <c r="B408" s="1" t="s">
        <v>408</v>
      </c>
      <c r="C408" s="1">
        <v>0</v>
      </c>
      <c r="D408" s="33">
        <v>0</v>
      </c>
      <c r="E408" s="36">
        <v>0</v>
      </c>
      <c r="F408" s="37">
        <v>0</v>
      </c>
      <c r="G408">
        <v>4.9659177999999998E-2</v>
      </c>
      <c r="H408">
        <f t="shared" si="46"/>
        <v>0</v>
      </c>
      <c r="I408" s="85">
        <v>1.17328330816E-4</v>
      </c>
      <c r="J408">
        <f t="shared" si="47"/>
        <v>0</v>
      </c>
      <c r="K408" s="86">
        <v>3.6918024998158199E-3</v>
      </c>
      <c r="L408">
        <f t="shared" si="48"/>
        <v>0</v>
      </c>
      <c r="M408">
        <v>7.3047624900940003E-3</v>
      </c>
      <c r="N408">
        <f t="shared" si="48"/>
        <v>0</v>
      </c>
      <c r="O408">
        <v>5.9395246207713998E-2</v>
      </c>
      <c r="P408">
        <f t="shared" si="48"/>
        <v>0</v>
      </c>
      <c r="Q408">
        <v>0.35279253100000002</v>
      </c>
      <c r="R408">
        <f t="shared" si="48"/>
        <v>0</v>
      </c>
      <c r="S408">
        <v>5.0432299030900003E-4</v>
      </c>
      <c r="T408">
        <f t="shared" si="48"/>
        <v>0</v>
      </c>
      <c r="U408" s="1">
        <v>1.9553132000000001E-2</v>
      </c>
      <c r="V408">
        <v>0</v>
      </c>
      <c r="X408">
        <v>0</v>
      </c>
    </row>
    <row r="409" spans="1:24">
      <c r="A409" s="1">
        <v>0</v>
      </c>
      <c r="B409" s="1" t="s">
        <v>409</v>
      </c>
      <c r="C409" s="1">
        <v>0</v>
      </c>
      <c r="D409" s="33">
        <v>0</v>
      </c>
      <c r="E409" s="36">
        <v>0</v>
      </c>
      <c r="F409" s="37">
        <v>0</v>
      </c>
      <c r="G409">
        <v>0.24676533</v>
      </c>
      <c r="H409">
        <f t="shared" si="46"/>
        <v>0</v>
      </c>
      <c r="I409" s="85">
        <v>2.0237017422915001E-2</v>
      </c>
      <c r="J409">
        <f t="shared" si="47"/>
        <v>0</v>
      </c>
      <c r="K409" s="86">
        <v>0.183174952864646</v>
      </c>
      <c r="L409">
        <f t="shared" si="48"/>
        <v>0</v>
      </c>
      <c r="M409">
        <v>0.13026745617389701</v>
      </c>
      <c r="N409">
        <f t="shared" si="48"/>
        <v>0</v>
      </c>
      <c r="O409">
        <v>0.44994843006134</v>
      </c>
      <c r="P409">
        <f t="shared" si="48"/>
        <v>0</v>
      </c>
      <c r="Q409">
        <v>0.44594541199999999</v>
      </c>
      <c r="R409">
        <f t="shared" si="48"/>
        <v>0</v>
      </c>
      <c r="S409">
        <v>7.178319152445E-3</v>
      </c>
      <c r="T409">
        <f t="shared" si="48"/>
        <v>0</v>
      </c>
      <c r="U409" s="1">
        <v>0.21895455999999999</v>
      </c>
      <c r="V409">
        <v>0</v>
      </c>
      <c r="X409">
        <v>0</v>
      </c>
    </row>
    <row r="410" spans="1:24">
      <c r="A410" s="1">
        <v>0</v>
      </c>
      <c r="B410" s="1" t="s">
        <v>410</v>
      </c>
      <c r="C410" s="1">
        <v>0</v>
      </c>
      <c r="D410" s="33">
        <v>0</v>
      </c>
      <c r="E410" s="36">
        <v>0</v>
      </c>
      <c r="F410" s="37">
        <v>0</v>
      </c>
      <c r="G410">
        <v>0.27972724999999998</v>
      </c>
      <c r="H410">
        <f t="shared" si="46"/>
        <v>0</v>
      </c>
      <c r="I410" s="85">
        <v>2.1646685490899999E-4</v>
      </c>
      <c r="J410">
        <f t="shared" si="47"/>
        <v>0</v>
      </c>
      <c r="K410" s="86">
        <v>0.26657968759536699</v>
      </c>
      <c r="L410">
        <f t="shared" si="48"/>
        <v>0</v>
      </c>
      <c r="M410">
        <v>3.4882780164480001E-2</v>
      </c>
      <c r="N410">
        <f t="shared" si="48"/>
        <v>0</v>
      </c>
      <c r="O410">
        <v>6.1569225043058E-2</v>
      </c>
      <c r="P410">
        <f t="shared" si="48"/>
        <v>0</v>
      </c>
      <c r="Q410" s="30">
        <v>0.40283659100000002</v>
      </c>
      <c r="R410">
        <f t="shared" si="48"/>
        <v>0</v>
      </c>
      <c r="S410">
        <v>0.92667430639267001</v>
      </c>
      <c r="T410">
        <f t="shared" ref="T410:T469" si="49">IF(S410&gt;$A$2,1,0)</f>
        <v>1</v>
      </c>
      <c r="U410" s="1">
        <v>0.118861996</v>
      </c>
      <c r="V410">
        <v>0</v>
      </c>
      <c r="X410">
        <v>0</v>
      </c>
    </row>
    <row r="411" spans="1:24">
      <c r="A411" s="1">
        <v>0</v>
      </c>
      <c r="B411" s="1" t="s">
        <v>411</v>
      </c>
      <c r="C411" s="1">
        <v>0</v>
      </c>
      <c r="D411" s="33">
        <v>1</v>
      </c>
      <c r="E411" s="36">
        <v>0</v>
      </c>
      <c r="F411" s="37">
        <v>0</v>
      </c>
      <c r="G411">
        <v>0.90433943299999997</v>
      </c>
      <c r="H411">
        <f t="shared" si="46"/>
        <v>1</v>
      </c>
      <c r="I411" s="85">
        <v>0.906560838222504</v>
      </c>
      <c r="J411">
        <f t="shared" si="47"/>
        <v>1</v>
      </c>
      <c r="K411" s="86">
        <v>0.96993029117584195</v>
      </c>
      <c r="L411">
        <f t="shared" si="48"/>
        <v>1</v>
      </c>
      <c r="M411" s="30">
        <v>0.86779642105102495</v>
      </c>
      <c r="N411">
        <f t="shared" si="48"/>
        <v>1</v>
      </c>
      <c r="O411">
        <v>0.84887582063674905</v>
      </c>
      <c r="P411">
        <f t="shared" si="48"/>
        <v>1</v>
      </c>
      <c r="Q411">
        <v>0.80570393799999995</v>
      </c>
      <c r="R411">
        <f t="shared" si="48"/>
        <v>1</v>
      </c>
      <c r="S411">
        <v>0.90323829650878895</v>
      </c>
      <c r="T411">
        <f t="shared" si="49"/>
        <v>1</v>
      </c>
      <c r="U411" s="1">
        <v>0.50588316</v>
      </c>
      <c r="V411">
        <v>1</v>
      </c>
      <c r="X411">
        <v>0</v>
      </c>
    </row>
    <row r="412" spans="1:24">
      <c r="A412" s="1">
        <v>0</v>
      </c>
      <c r="B412" s="1" t="s">
        <v>412</v>
      </c>
      <c r="C412" s="1">
        <v>0</v>
      </c>
      <c r="D412" s="33">
        <v>0</v>
      </c>
      <c r="E412" s="37">
        <v>1</v>
      </c>
      <c r="F412" s="37">
        <v>1</v>
      </c>
      <c r="G412">
        <v>0.75068521499999996</v>
      </c>
      <c r="H412">
        <f t="shared" si="46"/>
        <v>1</v>
      </c>
      <c r="I412" s="85">
        <v>0.53115785121917702</v>
      </c>
      <c r="J412">
        <f t="shared" si="47"/>
        <v>1</v>
      </c>
      <c r="K412" s="86">
        <v>0.32327616214752197</v>
      </c>
      <c r="L412">
        <f t="shared" si="48"/>
        <v>0</v>
      </c>
      <c r="M412">
        <v>0.74664402008056596</v>
      </c>
      <c r="N412">
        <f t="shared" si="48"/>
        <v>1</v>
      </c>
      <c r="O412">
        <v>0.31775107979774497</v>
      </c>
      <c r="P412">
        <f t="shared" si="48"/>
        <v>0</v>
      </c>
      <c r="Q412">
        <v>0.670406163</v>
      </c>
      <c r="R412">
        <f t="shared" si="48"/>
        <v>1</v>
      </c>
      <c r="S412">
        <v>0.41407850384712203</v>
      </c>
      <c r="T412">
        <f t="shared" si="49"/>
        <v>0</v>
      </c>
      <c r="U412" s="1">
        <v>0.36204049999999999</v>
      </c>
      <c r="V412">
        <v>1</v>
      </c>
      <c r="X412">
        <v>0</v>
      </c>
    </row>
    <row r="413" spans="1:24">
      <c r="A413" s="1">
        <v>0</v>
      </c>
      <c r="B413" s="1" t="s">
        <v>413</v>
      </c>
      <c r="C413" s="1">
        <v>0</v>
      </c>
      <c r="D413" s="33">
        <v>0</v>
      </c>
      <c r="E413" s="37">
        <v>1</v>
      </c>
      <c r="F413" s="37">
        <v>0</v>
      </c>
      <c r="G413">
        <v>0.33761903599999998</v>
      </c>
      <c r="H413">
        <f t="shared" si="46"/>
        <v>0</v>
      </c>
      <c r="I413" s="85">
        <v>0.877815902233124</v>
      </c>
      <c r="J413">
        <f t="shared" si="47"/>
        <v>1</v>
      </c>
      <c r="K413" s="86">
        <v>0.86053997278213501</v>
      </c>
      <c r="L413">
        <f t="shared" si="48"/>
        <v>1</v>
      </c>
      <c r="M413">
        <v>0.82897847890853904</v>
      </c>
      <c r="N413">
        <f t="shared" si="48"/>
        <v>1</v>
      </c>
      <c r="O413">
        <v>0.58148026466369596</v>
      </c>
      <c r="P413">
        <f t="shared" si="48"/>
        <v>1</v>
      </c>
      <c r="Q413">
        <v>0.577674091</v>
      </c>
      <c r="R413">
        <f t="shared" si="48"/>
        <v>1</v>
      </c>
      <c r="S413">
        <v>0.40864536166191101</v>
      </c>
      <c r="T413">
        <f t="shared" si="49"/>
        <v>0</v>
      </c>
      <c r="U413" s="1">
        <v>0.19575176999999999</v>
      </c>
      <c r="V413">
        <v>0</v>
      </c>
      <c r="X413">
        <v>0</v>
      </c>
    </row>
    <row r="414" spans="1:24">
      <c r="A414" s="1">
        <v>0</v>
      </c>
      <c r="B414" s="1" t="s">
        <v>414</v>
      </c>
      <c r="C414" s="1">
        <v>0</v>
      </c>
      <c r="D414" s="33">
        <v>1</v>
      </c>
      <c r="E414" s="36">
        <v>0</v>
      </c>
      <c r="F414" s="37">
        <v>0</v>
      </c>
      <c r="G414">
        <v>0.81844949700000003</v>
      </c>
      <c r="H414">
        <f t="shared" si="46"/>
        <v>1</v>
      </c>
      <c r="I414" s="85">
        <v>0.99361801147460904</v>
      </c>
      <c r="J414">
        <f t="shared" si="47"/>
        <v>1</v>
      </c>
      <c r="K414" s="86">
        <v>0.96896320581436102</v>
      </c>
      <c r="L414">
        <f t="shared" si="48"/>
        <v>1</v>
      </c>
      <c r="M414">
        <v>0.91383802890777599</v>
      </c>
      <c r="N414">
        <f t="shared" si="48"/>
        <v>1</v>
      </c>
      <c r="O414">
        <v>0.860409736633301</v>
      </c>
      <c r="P414">
        <f t="shared" si="48"/>
        <v>1</v>
      </c>
      <c r="Q414">
        <v>0.68444007600000001</v>
      </c>
      <c r="R414">
        <f t="shared" si="48"/>
        <v>1</v>
      </c>
      <c r="S414">
        <v>0.98897969722747803</v>
      </c>
      <c r="T414">
        <f t="shared" si="49"/>
        <v>1</v>
      </c>
      <c r="U414" s="1">
        <v>0.40720099999999998</v>
      </c>
      <c r="V414">
        <v>1</v>
      </c>
      <c r="X414">
        <v>0</v>
      </c>
    </row>
    <row r="415" spans="1:24">
      <c r="A415" s="1">
        <v>0</v>
      </c>
      <c r="B415" s="1" t="s">
        <v>415</v>
      </c>
      <c r="C415" s="1">
        <v>0</v>
      </c>
      <c r="D415" s="33">
        <v>0</v>
      </c>
      <c r="E415" s="36">
        <v>0</v>
      </c>
      <c r="F415" s="37">
        <v>0</v>
      </c>
      <c r="G415" s="30">
        <v>0.100049846</v>
      </c>
      <c r="H415">
        <f t="shared" si="46"/>
        <v>0</v>
      </c>
      <c r="I415" s="85">
        <v>9.4034992798697203E-5</v>
      </c>
      <c r="J415">
        <f t="shared" si="47"/>
        <v>0</v>
      </c>
      <c r="K415" s="86">
        <v>2.8522811830043699E-2</v>
      </c>
      <c r="L415">
        <f t="shared" si="48"/>
        <v>0</v>
      </c>
      <c r="M415">
        <v>1.6704782843590001E-2</v>
      </c>
      <c r="N415">
        <f t="shared" si="48"/>
        <v>0</v>
      </c>
      <c r="O415">
        <v>1.3286952860653E-2</v>
      </c>
      <c r="P415">
        <f t="shared" si="48"/>
        <v>0</v>
      </c>
      <c r="Q415" s="30">
        <v>0.324104577</v>
      </c>
      <c r="R415">
        <f t="shared" si="48"/>
        <v>0</v>
      </c>
      <c r="S415">
        <v>3.4036880242600001E-4</v>
      </c>
      <c r="T415">
        <f t="shared" si="49"/>
        <v>0</v>
      </c>
      <c r="U415" s="1">
        <v>4.4932756999999997E-2</v>
      </c>
      <c r="V415">
        <v>0</v>
      </c>
      <c r="X415">
        <v>0</v>
      </c>
    </row>
    <row r="416" spans="1:24">
      <c r="A416" s="1">
        <v>0</v>
      </c>
      <c r="B416" s="1" t="s">
        <v>416</v>
      </c>
      <c r="C416" s="1">
        <v>0</v>
      </c>
      <c r="D416" s="33">
        <v>0</v>
      </c>
      <c r="E416" s="36">
        <v>0</v>
      </c>
      <c r="F416" s="37">
        <v>0</v>
      </c>
      <c r="G416">
        <v>9.8732464000000006E-2</v>
      </c>
      <c r="H416">
        <f t="shared" si="46"/>
        <v>0</v>
      </c>
      <c r="I416" s="85">
        <v>9.7344323876313906E-5</v>
      </c>
      <c r="J416">
        <f t="shared" si="47"/>
        <v>0</v>
      </c>
      <c r="K416" s="86">
        <v>4.0824096649885101E-2</v>
      </c>
      <c r="L416">
        <f t="shared" si="48"/>
        <v>0</v>
      </c>
      <c r="M416">
        <v>0.49609452486038202</v>
      </c>
      <c r="N416">
        <f t="shared" si="48"/>
        <v>0</v>
      </c>
      <c r="O416">
        <v>5.2492339164020001E-3</v>
      </c>
      <c r="P416">
        <f t="shared" si="48"/>
        <v>0</v>
      </c>
      <c r="Q416">
        <v>0.46677833800000001</v>
      </c>
      <c r="R416">
        <f t="shared" si="48"/>
        <v>0</v>
      </c>
      <c r="S416">
        <v>5.2152614807700001E-4</v>
      </c>
      <c r="T416">
        <f t="shared" si="49"/>
        <v>0</v>
      </c>
      <c r="U416" s="1">
        <v>0.14540910000000001</v>
      </c>
      <c r="V416">
        <v>0</v>
      </c>
      <c r="X416">
        <v>0</v>
      </c>
    </row>
    <row r="417" spans="1:24">
      <c r="A417" s="1">
        <v>0</v>
      </c>
      <c r="B417" s="1" t="s">
        <v>417</v>
      </c>
      <c r="C417" s="1">
        <v>0</v>
      </c>
      <c r="D417" s="33">
        <v>0</v>
      </c>
      <c r="E417" s="36">
        <v>0</v>
      </c>
      <c r="F417" s="37">
        <v>0</v>
      </c>
      <c r="G417">
        <v>0.57523453199999997</v>
      </c>
      <c r="H417">
        <f t="shared" si="46"/>
        <v>1</v>
      </c>
      <c r="I417" s="85">
        <v>0.683862924575806</v>
      </c>
      <c r="J417">
        <f t="shared" si="47"/>
        <v>1</v>
      </c>
      <c r="K417" s="86">
        <v>9.3807816505432101E-2</v>
      </c>
      <c r="L417">
        <f t="shared" si="48"/>
        <v>0</v>
      </c>
      <c r="M417">
        <v>0.66754817962646495</v>
      </c>
      <c r="N417">
        <f t="shared" si="48"/>
        <v>1</v>
      </c>
      <c r="O417">
        <v>0.89032196998596203</v>
      </c>
      <c r="P417">
        <f t="shared" si="48"/>
        <v>1</v>
      </c>
      <c r="Q417">
        <v>0.57063305399999997</v>
      </c>
      <c r="R417">
        <f t="shared" si="48"/>
        <v>1</v>
      </c>
      <c r="S417">
        <v>0.97638183832168601</v>
      </c>
      <c r="T417">
        <f t="shared" si="49"/>
        <v>1</v>
      </c>
      <c r="U417" s="1">
        <v>0.25971872000000001</v>
      </c>
      <c r="V417">
        <v>1</v>
      </c>
      <c r="X417">
        <v>0</v>
      </c>
    </row>
    <row r="418" spans="1:24">
      <c r="A418" s="1">
        <v>0</v>
      </c>
      <c r="B418" s="1" t="s">
        <v>418</v>
      </c>
      <c r="C418" s="1">
        <v>0</v>
      </c>
      <c r="D418" s="33">
        <v>0</v>
      </c>
      <c r="E418" s="36">
        <v>0</v>
      </c>
      <c r="F418" s="37">
        <v>0</v>
      </c>
      <c r="G418">
        <v>0.247974202</v>
      </c>
      <c r="H418">
        <f t="shared" si="46"/>
        <v>0</v>
      </c>
      <c r="I418" s="85">
        <v>7.5526222586631997E-2</v>
      </c>
      <c r="J418">
        <f t="shared" si="47"/>
        <v>0</v>
      </c>
      <c r="K418" s="86">
        <v>0.81545984745025601</v>
      </c>
      <c r="L418">
        <f t="shared" si="48"/>
        <v>1</v>
      </c>
      <c r="M418">
        <v>0.23766434192657501</v>
      </c>
      <c r="N418">
        <f t="shared" si="48"/>
        <v>0</v>
      </c>
      <c r="O418">
        <v>4.7282811254263001E-2</v>
      </c>
      <c r="P418">
        <f t="shared" si="48"/>
        <v>0</v>
      </c>
      <c r="Q418">
        <v>0.48906686900000002</v>
      </c>
      <c r="R418">
        <f t="shared" si="48"/>
        <v>0</v>
      </c>
      <c r="S418">
        <v>0.159432917833328</v>
      </c>
      <c r="T418">
        <f t="shared" si="49"/>
        <v>0</v>
      </c>
      <c r="U418" s="1">
        <v>0.24178109</v>
      </c>
      <c r="V418">
        <v>1</v>
      </c>
      <c r="X418">
        <v>0</v>
      </c>
    </row>
    <row r="419" spans="1:24">
      <c r="A419" s="1">
        <v>0</v>
      </c>
      <c r="B419" s="1" t="s">
        <v>419</v>
      </c>
      <c r="C419" s="1">
        <v>0</v>
      </c>
      <c r="D419" s="33">
        <v>1</v>
      </c>
      <c r="E419" s="36">
        <v>1</v>
      </c>
      <c r="F419" s="37">
        <v>1</v>
      </c>
      <c r="G419">
        <v>0.48002138700000002</v>
      </c>
      <c r="H419">
        <f t="shared" si="46"/>
        <v>0</v>
      </c>
      <c r="I419" s="85">
        <v>0.25106477737426802</v>
      </c>
      <c r="J419">
        <f t="shared" si="47"/>
        <v>0</v>
      </c>
      <c r="K419" s="86">
        <v>9.4776600599288899E-2</v>
      </c>
      <c r="L419">
        <f t="shared" si="48"/>
        <v>0</v>
      </c>
      <c r="M419">
        <v>0.22608087956905401</v>
      </c>
      <c r="N419">
        <f t="shared" si="48"/>
        <v>0</v>
      </c>
      <c r="O419">
        <v>0.44244498014450101</v>
      </c>
      <c r="P419">
        <f t="shared" si="48"/>
        <v>0</v>
      </c>
      <c r="Q419">
        <v>0.35031083200000002</v>
      </c>
      <c r="R419">
        <f t="shared" si="48"/>
        <v>0</v>
      </c>
      <c r="S419">
        <v>0.15312637388706199</v>
      </c>
      <c r="T419">
        <f t="shared" si="49"/>
        <v>0</v>
      </c>
      <c r="U419" s="1">
        <v>0.22242503999999999</v>
      </c>
      <c r="V419">
        <v>0</v>
      </c>
      <c r="X419">
        <v>0</v>
      </c>
    </row>
    <row r="420" spans="1:24">
      <c r="A420" s="1">
        <v>0</v>
      </c>
      <c r="B420" s="1" t="s">
        <v>420</v>
      </c>
      <c r="C420" s="1">
        <v>0</v>
      </c>
      <c r="D420" s="33">
        <v>0</v>
      </c>
      <c r="E420" s="36">
        <v>0</v>
      </c>
      <c r="F420" s="37">
        <v>0</v>
      </c>
      <c r="G420">
        <v>0.121594191</v>
      </c>
      <c r="H420">
        <f t="shared" si="46"/>
        <v>0</v>
      </c>
      <c r="I420" s="85">
        <v>1.78409354703035E-5</v>
      </c>
      <c r="J420">
        <f t="shared" si="47"/>
        <v>0</v>
      </c>
      <c r="K420" s="86">
        <v>0.30875751376152</v>
      </c>
      <c r="L420">
        <f t="shared" si="48"/>
        <v>0</v>
      </c>
      <c r="M420">
        <v>0.29425123333931003</v>
      </c>
      <c r="N420">
        <f t="shared" si="48"/>
        <v>0</v>
      </c>
      <c r="O420">
        <v>2.0148744806646999E-2</v>
      </c>
      <c r="P420">
        <f t="shared" si="48"/>
        <v>0</v>
      </c>
      <c r="Q420">
        <v>0.477197975</v>
      </c>
      <c r="R420">
        <f t="shared" si="48"/>
        <v>0</v>
      </c>
      <c r="S420">
        <v>4.5926220715045998E-2</v>
      </c>
      <c r="T420">
        <f t="shared" si="49"/>
        <v>0</v>
      </c>
      <c r="U420" s="1">
        <v>0.21273753000000001</v>
      </c>
      <c r="V420">
        <v>1</v>
      </c>
      <c r="X420">
        <v>0</v>
      </c>
    </row>
    <row r="421" spans="1:24">
      <c r="A421" s="1">
        <v>0</v>
      </c>
      <c r="B421" s="1" t="s">
        <v>421</v>
      </c>
      <c r="C421" s="1">
        <v>0</v>
      </c>
      <c r="D421" s="33">
        <v>0</v>
      </c>
      <c r="E421" s="36">
        <v>0</v>
      </c>
      <c r="F421" s="37">
        <v>0</v>
      </c>
      <c r="G421">
        <v>0.123032764</v>
      </c>
      <c r="H421">
        <f t="shared" si="46"/>
        <v>0</v>
      </c>
      <c r="I421" s="85">
        <v>1.595452660695E-3</v>
      </c>
      <c r="J421">
        <f t="shared" si="47"/>
        <v>0</v>
      </c>
      <c r="K421" s="86">
        <v>0.14069259166717499</v>
      </c>
      <c r="L421">
        <f t="shared" si="48"/>
        <v>0</v>
      </c>
      <c r="M421">
        <v>1.9473003223538E-2</v>
      </c>
      <c r="N421">
        <f t="shared" si="48"/>
        <v>0</v>
      </c>
      <c r="O421">
        <v>7.3077932000159995E-2</v>
      </c>
      <c r="P421">
        <f t="shared" si="48"/>
        <v>0</v>
      </c>
      <c r="Q421" s="30">
        <v>0.30493742200000001</v>
      </c>
      <c r="R421">
        <f t="shared" si="48"/>
        <v>0</v>
      </c>
      <c r="S421">
        <v>1.3996562920509999E-3</v>
      </c>
      <c r="T421">
        <f t="shared" si="49"/>
        <v>0</v>
      </c>
      <c r="U421" s="1">
        <v>9.2862399999999998E-2</v>
      </c>
      <c r="V421">
        <v>0</v>
      </c>
      <c r="X421">
        <v>0</v>
      </c>
    </row>
    <row r="422" spans="1:24">
      <c r="A422" s="1">
        <v>0</v>
      </c>
      <c r="B422" s="1" t="s">
        <v>422</v>
      </c>
      <c r="C422" s="1">
        <v>0</v>
      </c>
      <c r="D422" s="33">
        <v>0</v>
      </c>
      <c r="E422" s="36">
        <v>0</v>
      </c>
      <c r="F422" s="37">
        <v>0</v>
      </c>
      <c r="G422">
        <v>6.0627066E-2</v>
      </c>
      <c r="H422">
        <f t="shared" si="46"/>
        <v>0</v>
      </c>
      <c r="I422" s="85">
        <v>7.3098595976262004E-7</v>
      </c>
      <c r="J422">
        <f t="shared" si="47"/>
        <v>0</v>
      </c>
      <c r="K422" s="86">
        <v>2.2036761045455901E-2</v>
      </c>
      <c r="L422">
        <f t="shared" si="48"/>
        <v>0</v>
      </c>
      <c r="M422">
        <v>0.161741822957993</v>
      </c>
      <c r="N422">
        <f t="shared" si="48"/>
        <v>0</v>
      </c>
      <c r="O422" s="30">
        <v>1.2972033582628001E-2</v>
      </c>
      <c r="P422">
        <f t="shared" si="48"/>
        <v>0</v>
      </c>
      <c r="Q422" s="30">
        <v>0.34516802400000002</v>
      </c>
      <c r="R422">
        <f t="shared" si="48"/>
        <v>0</v>
      </c>
      <c r="S422">
        <v>1.7306543886660001E-3</v>
      </c>
      <c r="T422">
        <f t="shared" si="49"/>
        <v>0</v>
      </c>
      <c r="U422" s="1">
        <v>5.8774125000000003E-2</v>
      </c>
      <c r="V422">
        <v>0</v>
      </c>
      <c r="X422">
        <v>0</v>
      </c>
    </row>
    <row r="423" spans="1:24">
      <c r="A423" s="1">
        <v>0</v>
      </c>
      <c r="B423" s="1" t="s">
        <v>423</v>
      </c>
      <c r="C423" s="1">
        <v>0</v>
      </c>
      <c r="D423" s="33">
        <v>0</v>
      </c>
      <c r="E423" s="36">
        <v>0</v>
      </c>
      <c r="F423" s="37">
        <v>0</v>
      </c>
      <c r="G423">
        <v>9.5815769999999995E-2</v>
      </c>
      <c r="H423">
        <f t="shared" si="46"/>
        <v>0</v>
      </c>
      <c r="I423" s="85">
        <v>1.7927651060700001E-4</v>
      </c>
      <c r="J423">
        <f t="shared" si="47"/>
        <v>0</v>
      </c>
      <c r="K423" s="86">
        <v>2.4609928950667301E-2</v>
      </c>
      <c r="L423">
        <f t="shared" si="48"/>
        <v>0</v>
      </c>
      <c r="M423">
        <v>0.10453365743160201</v>
      </c>
      <c r="N423">
        <f t="shared" si="48"/>
        <v>0</v>
      </c>
      <c r="O423">
        <v>0.106965102255344</v>
      </c>
      <c r="P423">
        <f t="shared" si="48"/>
        <v>0</v>
      </c>
      <c r="Q423" s="30">
        <v>0.55871379399999999</v>
      </c>
      <c r="R423">
        <f t="shared" si="48"/>
        <v>1</v>
      </c>
      <c r="S423">
        <v>1.5261226799339999E-3</v>
      </c>
      <c r="T423">
        <f t="shared" si="49"/>
        <v>0</v>
      </c>
      <c r="U423" s="1">
        <v>7.5970500000000002E-3</v>
      </c>
      <c r="V423">
        <v>0</v>
      </c>
      <c r="X423">
        <v>0</v>
      </c>
    </row>
    <row r="424" spans="1:24">
      <c r="A424" s="1">
        <v>0</v>
      </c>
      <c r="B424" s="1" t="s">
        <v>424</v>
      </c>
      <c r="C424" s="1">
        <v>0</v>
      </c>
      <c r="D424" s="33">
        <v>0</v>
      </c>
      <c r="E424" s="36">
        <v>0</v>
      </c>
      <c r="F424" s="37">
        <v>0</v>
      </c>
      <c r="G424">
        <v>0.32595664299999999</v>
      </c>
      <c r="H424">
        <f t="shared" si="46"/>
        <v>0</v>
      </c>
      <c r="I424" s="85">
        <v>8.6621427908539998E-3</v>
      </c>
      <c r="J424">
        <f t="shared" si="47"/>
        <v>0</v>
      </c>
      <c r="K424" s="86">
        <v>0.71032869815826405</v>
      </c>
      <c r="L424">
        <f t="shared" si="48"/>
        <v>1</v>
      </c>
      <c r="M424">
        <v>0.42487663030624401</v>
      </c>
      <c r="N424">
        <f t="shared" si="48"/>
        <v>0</v>
      </c>
      <c r="O424">
        <v>0.53345525264740001</v>
      </c>
      <c r="P424">
        <f t="shared" si="48"/>
        <v>1</v>
      </c>
      <c r="Q424">
        <v>0.48960152299999998</v>
      </c>
      <c r="R424">
        <f t="shared" si="48"/>
        <v>0</v>
      </c>
      <c r="S424">
        <v>4.8419207334519002E-2</v>
      </c>
      <c r="T424">
        <f t="shared" si="49"/>
        <v>0</v>
      </c>
      <c r="U424" s="1">
        <v>0.15645324999999999</v>
      </c>
      <c r="V424">
        <v>0</v>
      </c>
      <c r="X424">
        <v>0</v>
      </c>
    </row>
    <row r="425" spans="1:24">
      <c r="A425" s="1">
        <v>1</v>
      </c>
      <c r="B425" s="1" t="s">
        <v>425</v>
      </c>
      <c r="C425" s="1">
        <v>1</v>
      </c>
      <c r="D425" s="33">
        <v>1</v>
      </c>
      <c r="E425" s="37">
        <v>1</v>
      </c>
      <c r="F425" s="37">
        <v>1</v>
      </c>
      <c r="G425">
        <v>0.73337399999999997</v>
      </c>
      <c r="H425">
        <f t="shared" si="46"/>
        <v>1</v>
      </c>
      <c r="I425" s="85">
        <v>0.99771416187286399</v>
      </c>
      <c r="J425">
        <f t="shared" si="47"/>
        <v>1</v>
      </c>
      <c r="K425" s="86">
        <v>0.59259939193725497</v>
      </c>
      <c r="L425">
        <f t="shared" si="48"/>
        <v>1</v>
      </c>
      <c r="M425">
        <v>0.97968548536300704</v>
      </c>
      <c r="N425">
        <f t="shared" si="48"/>
        <v>1</v>
      </c>
      <c r="O425">
        <v>0.981983423233032</v>
      </c>
      <c r="P425">
        <f t="shared" si="48"/>
        <v>1</v>
      </c>
      <c r="Q425">
        <v>0.47667139800000002</v>
      </c>
      <c r="R425">
        <f t="shared" si="48"/>
        <v>0</v>
      </c>
      <c r="S425">
        <v>0.39236214756965598</v>
      </c>
      <c r="T425">
        <f t="shared" si="49"/>
        <v>0</v>
      </c>
      <c r="U425" s="1">
        <v>0.34291392999999998</v>
      </c>
      <c r="V425">
        <v>1</v>
      </c>
      <c r="X425">
        <v>0</v>
      </c>
    </row>
    <row r="426" spans="1:24">
      <c r="A426" s="1">
        <v>1</v>
      </c>
      <c r="B426" s="1" t="s">
        <v>426</v>
      </c>
      <c r="C426" s="1">
        <v>1</v>
      </c>
      <c r="D426" s="33">
        <v>1</v>
      </c>
      <c r="E426" s="37">
        <v>1</v>
      </c>
      <c r="F426" s="37">
        <v>1</v>
      </c>
      <c r="G426">
        <v>0.64351290500000002</v>
      </c>
      <c r="H426">
        <f t="shared" si="46"/>
        <v>1</v>
      </c>
      <c r="I426" s="85">
        <v>0.106480337679386</v>
      </c>
      <c r="J426">
        <f t="shared" si="47"/>
        <v>0</v>
      </c>
      <c r="K426" s="86">
        <v>0.15825431048870001</v>
      </c>
      <c r="L426">
        <f t="shared" si="48"/>
        <v>0</v>
      </c>
      <c r="M426">
        <v>0.924061179161072</v>
      </c>
      <c r="N426">
        <f t="shared" si="48"/>
        <v>1</v>
      </c>
      <c r="O426">
        <v>0.82743239402770996</v>
      </c>
      <c r="P426">
        <f t="shared" si="48"/>
        <v>1</v>
      </c>
      <c r="Q426">
        <v>0.63347363499999998</v>
      </c>
      <c r="R426">
        <f t="shared" si="48"/>
        <v>1</v>
      </c>
      <c r="S426">
        <v>0.25365206599235501</v>
      </c>
      <c r="T426">
        <f t="shared" si="49"/>
        <v>0</v>
      </c>
      <c r="U426" s="1">
        <v>0.29617915</v>
      </c>
      <c r="V426">
        <v>1</v>
      </c>
      <c r="X426">
        <v>0</v>
      </c>
    </row>
    <row r="427" spans="1:24">
      <c r="A427" s="1">
        <v>1</v>
      </c>
      <c r="B427" s="1" t="s">
        <v>427</v>
      </c>
      <c r="C427" s="1">
        <v>1</v>
      </c>
      <c r="D427" s="33">
        <v>1</v>
      </c>
      <c r="E427" s="37">
        <v>1</v>
      </c>
      <c r="F427" s="37">
        <v>1</v>
      </c>
      <c r="G427">
        <v>0.83286577500000003</v>
      </c>
      <c r="H427">
        <f t="shared" si="46"/>
        <v>1</v>
      </c>
      <c r="I427" s="85">
        <v>0.98123002052307096</v>
      </c>
      <c r="J427">
        <f t="shared" si="47"/>
        <v>1</v>
      </c>
      <c r="K427" s="86">
        <v>0.33577048778533902</v>
      </c>
      <c r="L427">
        <f t="shared" si="48"/>
        <v>0</v>
      </c>
      <c r="M427">
        <v>0.65753626823425304</v>
      </c>
      <c r="N427">
        <f t="shared" si="48"/>
        <v>1</v>
      </c>
      <c r="O427">
        <v>0.94520103931427002</v>
      </c>
      <c r="P427">
        <f t="shared" si="48"/>
        <v>1</v>
      </c>
      <c r="Q427">
        <v>0.51512038699999996</v>
      </c>
      <c r="R427">
        <f t="shared" si="48"/>
        <v>1</v>
      </c>
      <c r="S427">
        <v>0.96821558475494396</v>
      </c>
      <c r="T427">
        <f t="shared" si="49"/>
        <v>1</v>
      </c>
      <c r="U427" s="1">
        <v>0.16317967999999999</v>
      </c>
      <c r="V427">
        <v>0</v>
      </c>
      <c r="X427">
        <v>0</v>
      </c>
    </row>
    <row r="428" spans="1:24">
      <c r="A428" s="1">
        <v>1</v>
      </c>
      <c r="B428" s="1" t="s">
        <v>428</v>
      </c>
      <c r="C428" s="1">
        <v>1</v>
      </c>
      <c r="D428" s="33">
        <v>0</v>
      </c>
      <c r="E428" s="37">
        <v>1</v>
      </c>
      <c r="F428" s="37">
        <v>1</v>
      </c>
      <c r="G428">
        <v>0.88662523000000004</v>
      </c>
      <c r="H428">
        <f t="shared" si="46"/>
        <v>1</v>
      </c>
      <c r="I428" s="85">
        <v>0.88772386312484697</v>
      </c>
      <c r="J428">
        <f t="shared" si="47"/>
        <v>1</v>
      </c>
      <c r="K428" s="86">
        <v>0.64262938499450595</v>
      </c>
      <c r="L428">
        <f t="shared" si="48"/>
        <v>1</v>
      </c>
      <c r="M428">
        <v>0.98089706897735596</v>
      </c>
      <c r="N428">
        <f t="shared" si="48"/>
        <v>1</v>
      </c>
      <c r="O428">
        <v>0.95544236898422197</v>
      </c>
      <c r="P428">
        <f t="shared" si="48"/>
        <v>1</v>
      </c>
      <c r="Q428">
        <v>0.62882965800000001</v>
      </c>
      <c r="R428">
        <f t="shared" si="48"/>
        <v>1</v>
      </c>
      <c r="S428">
        <v>0.907354176044464</v>
      </c>
      <c r="T428">
        <f t="shared" si="49"/>
        <v>1</v>
      </c>
      <c r="U428" s="1">
        <v>0.37969397999999999</v>
      </c>
      <c r="V428">
        <v>1</v>
      </c>
      <c r="X428">
        <v>0</v>
      </c>
    </row>
    <row r="429" spans="1:24">
      <c r="A429" s="1">
        <v>1</v>
      </c>
      <c r="B429" s="1" t="s">
        <v>429</v>
      </c>
      <c r="C429" s="1">
        <v>1</v>
      </c>
      <c r="D429" s="33">
        <v>1</v>
      </c>
      <c r="E429" s="37">
        <v>1</v>
      </c>
      <c r="F429" s="37">
        <v>1</v>
      </c>
      <c r="G429">
        <v>0.891654909</v>
      </c>
      <c r="H429">
        <f t="shared" si="46"/>
        <v>1</v>
      </c>
      <c r="I429" s="85">
        <v>0.199003145098686</v>
      </c>
      <c r="J429">
        <f t="shared" si="47"/>
        <v>0</v>
      </c>
      <c r="K429" s="86">
        <v>0.98358327150344804</v>
      </c>
      <c r="L429">
        <f t="shared" si="48"/>
        <v>1</v>
      </c>
      <c r="M429">
        <v>0.69863939285278298</v>
      </c>
      <c r="N429">
        <f t="shared" si="48"/>
        <v>1</v>
      </c>
      <c r="O429">
        <v>0.71069580316543601</v>
      </c>
      <c r="P429">
        <f t="shared" si="48"/>
        <v>1</v>
      </c>
      <c r="Q429">
        <v>0.64749008399999997</v>
      </c>
      <c r="R429">
        <f t="shared" si="48"/>
        <v>1</v>
      </c>
      <c r="S429">
        <v>0.86837124824523904</v>
      </c>
      <c r="T429">
        <f t="shared" si="49"/>
        <v>1</v>
      </c>
      <c r="U429" s="1">
        <v>0.46179347999999998</v>
      </c>
      <c r="V429">
        <v>1</v>
      </c>
      <c r="X429">
        <v>0</v>
      </c>
    </row>
    <row r="430" spans="1:24">
      <c r="A430" s="1">
        <v>1</v>
      </c>
      <c r="B430" s="1" t="s">
        <v>430</v>
      </c>
      <c r="C430" s="1">
        <v>1</v>
      </c>
      <c r="D430" s="33">
        <v>1</v>
      </c>
      <c r="E430" s="37">
        <v>1</v>
      </c>
      <c r="F430" s="37">
        <v>1</v>
      </c>
      <c r="G430">
        <v>0.95287698499999995</v>
      </c>
      <c r="H430">
        <f t="shared" si="46"/>
        <v>1</v>
      </c>
      <c r="I430" s="85">
        <v>0.98572564125061002</v>
      </c>
      <c r="J430">
        <f t="shared" si="47"/>
        <v>1</v>
      </c>
      <c r="K430" s="86">
        <v>0.90570110082626298</v>
      </c>
      <c r="L430">
        <f t="shared" si="48"/>
        <v>1</v>
      </c>
      <c r="M430">
        <v>0.97690534591674805</v>
      </c>
      <c r="N430">
        <f t="shared" si="48"/>
        <v>1</v>
      </c>
      <c r="O430">
        <v>0.99301493167877197</v>
      </c>
      <c r="P430">
        <f t="shared" si="48"/>
        <v>1</v>
      </c>
      <c r="Q430">
        <v>0.63873058599999999</v>
      </c>
      <c r="R430">
        <f t="shared" si="48"/>
        <v>1</v>
      </c>
      <c r="S430">
        <v>0.93929934501648005</v>
      </c>
      <c r="T430">
        <f t="shared" si="49"/>
        <v>1</v>
      </c>
      <c r="U430" s="1">
        <v>0.33121905000000001</v>
      </c>
      <c r="V430">
        <v>1</v>
      </c>
      <c r="X430">
        <v>0</v>
      </c>
    </row>
    <row r="431" spans="1:24">
      <c r="A431" s="1">
        <v>1</v>
      </c>
      <c r="B431" s="1" t="s">
        <v>431</v>
      </c>
      <c r="C431" s="1">
        <v>1</v>
      </c>
      <c r="D431" s="33">
        <v>1</v>
      </c>
      <c r="E431" s="37">
        <v>1</v>
      </c>
      <c r="F431" s="37">
        <v>1</v>
      </c>
      <c r="G431">
        <v>0.95219147199999998</v>
      </c>
      <c r="H431">
        <f t="shared" si="46"/>
        <v>1</v>
      </c>
      <c r="I431" s="85">
        <v>0.98853534460067805</v>
      </c>
      <c r="J431">
        <f t="shared" si="47"/>
        <v>1</v>
      </c>
      <c r="K431" s="86">
        <v>0.81311780214309604</v>
      </c>
      <c r="L431">
        <f t="shared" si="48"/>
        <v>1</v>
      </c>
      <c r="M431">
        <v>0.95245498418807995</v>
      </c>
      <c r="N431">
        <f t="shared" si="48"/>
        <v>1</v>
      </c>
      <c r="O431">
        <v>0.92273753881454501</v>
      </c>
      <c r="P431">
        <f t="shared" si="48"/>
        <v>1</v>
      </c>
      <c r="Q431">
        <v>0.68444162600000003</v>
      </c>
      <c r="R431">
        <f t="shared" si="48"/>
        <v>1</v>
      </c>
      <c r="S431">
        <v>0.83541071414947499</v>
      </c>
      <c r="T431">
        <f t="shared" si="49"/>
        <v>1</v>
      </c>
      <c r="U431" s="1">
        <v>0.48376544999999999</v>
      </c>
      <c r="V431">
        <v>1</v>
      </c>
      <c r="X431">
        <v>0</v>
      </c>
    </row>
    <row r="432" spans="1:24">
      <c r="A432" s="1">
        <v>1</v>
      </c>
      <c r="B432" s="1" t="s">
        <v>432</v>
      </c>
      <c r="C432" s="1">
        <v>1</v>
      </c>
      <c r="D432" s="33">
        <v>1</v>
      </c>
      <c r="E432" s="37">
        <v>1</v>
      </c>
      <c r="F432" s="37">
        <v>1</v>
      </c>
      <c r="G432">
        <v>0.81930691</v>
      </c>
      <c r="H432">
        <f t="shared" si="46"/>
        <v>1</v>
      </c>
      <c r="I432" s="85">
        <v>5.0428034737710001E-3</v>
      </c>
      <c r="J432">
        <f t="shared" si="47"/>
        <v>0</v>
      </c>
      <c r="K432" s="86">
        <v>0.60192555189132602</v>
      </c>
      <c r="L432">
        <f t="shared" si="48"/>
        <v>1</v>
      </c>
      <c r="M432">
        <v>0.82903891801834095</v>
      </c>
      <c r="N432">
        <f t="shared" si="48"/>
        <v>1</v>
      </c>
      <c r="O432">
        <v>0.512437343597412</v>
      </c>
      <c r="P432">
        <f t="shared" si="48"/>
        <v>1</v>
      </c>
      <c r="Q432">
        <v>0.56961387399999996</v>
      </c>
      <c r="R432">
        <f t="shared" si="48"/>
        <v>1</v>
      </c>
      <c r="S432">
        <v>0.13047747313976299</v>
      </c>
      <c r="T432">
        <f t="shared" si="49"/>
        <v>0</v>
      </c>
      <c r="U432" s="1">
        <v>0.26902690000000001</v>
      </c>
      <c r="V432">
        <v>1</v>
      </c>
      <c r="X432">
        <v>0</v>
      </c>
    </row>
    <row r="433" spans="1:24">
      <c r="A433" s="1">
        <v>1</v>
      </c>
      <c r="B433" s="1" t="s">
        <v>433</v>
      </c>
      <c r="C433" s="1">
        <v>1</v>
      </c>
      <c r="D433" s="33">
        <v>1</v>
      </c>
      <c r="E433" s="37">
        <v>1</v>
      </c>
      <c r="F433" s="37">
        <v>1</v>
      </c>
      <c r="G433">
        <v>0.97446239000000001</v>
      </c>
      <c r="H433">
        <f t="shared" si="46"/>
        <v>1</v>
      </c>
      <c r="I433" s="85">
        <v>0.98284113407134999</v>
      </c>
      <c r="J433">
        <f t="shared" si="47"/>
        <v>1</v>
      </c>
      <c r="K433" s="86">
        <v>0.80116343498229903</v>
      </c>
      <c r="L433">
        <f t="shared" si="48"/>
        <v>1</v>
      </c>
      <c r="M433">
        <v>0.97140133380889904</v>
      </c>
      <c r="N433">
        <f t="shared" si="48"/>
        <v>1</v>
      </c>
      <c r="O433">
        <v>0.98647540807723999</v>
      </c>
      <c r="P433">
        <f t="shared" si="48"/>
        <v>1</v>
      </c>
      <c r="Q433">
        <v>0.73687356699999995</v>
      </c>
      <c r="R433">
        <f t="shared" si="48"/>
        <v>1</v>
      </c>
      <c r="S433">
        <v>0.99922692775726296</v>
      </c>
      <c r="T433">
        <f t="shared" si="49"/>
        <v>1</v>
      </c>
      <c r="U433" s="1">
        <v>0.33653376000000002</v>
      </c>
      <c r="V433">
        <v>1</v>
      </c>
      <c r="X433">
        <v>0</v>
      </c>
    </row>
    <row r="434" spans="1:24">
      <c r="A434" s="1">
        <v>1</v>
      </c>
      <c r="B434" s="1" t="s">
        <v>434</v>
      </c>
      <c r="C434" s="1">
        <v>1</v>
      </c>
      <c r="D434" s="33">
        <v>0</v>
      </c>
      <c r="E434" s="37">
        <v>1</v>
      </c>
      <c r="F434" s="37">
        <v>1</v>
      </c>
      <c r="G434">
        <v>0.41375207899999999</v>
      </c>
      <c r="H434">
        <f t="shared" si="46"/>
        <v>0</v>
      </c>
      <c r="I434" s="85">
        <v>7.8301345929500006E-3</v>
      </c>
      <c r="J434">
        <f t="shared" si="47"/>
        <v>0</v>
      </c>
      <c r="K434" s="86">
        <v>0.124317079782485</v>
      </c>
      <c r="L434">
        <f t="shared" si="48"/>
        <v>0</v>
      </c>
      <c r="M434">
        <v>0.59478032588958696</v>
      </c>
      <c r="N434">
        <f t="shared" si="48"/>
        <v>1</v>
      </c>
      <c r="O434">
        <v>0.28876498341560403</v>
      </c>
      <c r="P434">
        <f t="shared" si="48"/>
        <v>0</v>
      </c>
      <c r="Q434">
        <v>0.395079821</v>
      </c>
      <c r="R434">
        <f t="shared" si="48"/>
        <v>0</v>
      </c>
      <c r="S434">
        <v>2.2213881835342002E-2</v>
      </c>
      <c r="T434">
        <f t="shared" si="49"/>
        <v>0</v>
      </c>
      <c r="U434" s="1">
        <v>0.1020543</v>
      </c>
      <c r="V434">
        <v>0</v>
      </c>
      <c r="X434">
        <v>0</v>
      </c>
    </row>
    <row r="435" spans="1:24">
      <c r="A435" s="1">
        <v>1</v>
      </c>
      <c r="B435" s="1" t="s">
        <v>435</v>
      </c>
      <c r="C435" s="1">
        <v>1</v>
      </c>
      <c r="D435" s="33">
        <v>1</v>
      </c>
      <c r="E435" s="37">
        <v>1</v>
      </c>
      <c r="F435" s="37">
        <v>1</v>
      </c>
      <c r="G435">
        <v>0.38014513300000002</v>
      </c>
      <c r="H435">
        <f t="shared" si="46"/>
        <v>0</v>
      </c>
      <c r="I435" s="85">
        <v>0.59588545560836803</v>
      </c>
      <c r="J435">
        <f t="shared" si="47"/>
        <v>1</v>
      </c>
      <c r="K435" s="86">
        <v>0.160946309566497</v>
      </c>
      <c r="L435">
        <f t="shared" si="48"/>
        <v>0</v>
      </c>
      <c r="M435">
        <v>0.825780749320984</v>
      </c>
      <c r="N435">
        <f t="shared" si="48"/>
        <v>1</v>
      </c>
      <c r="O435">
        <v>0.16701328754425099</v>
      </c>
      <c r="P435">
        <f t="shared" si="48"/>
        <v>0</v>
      </c>
      <c r="Q435">
        <v>0.54332804700000004</v>
      </c>
      <c r="R435">
        <f t="shared" si="48"/>
        <v>1</v>
      </c>
      <c r="S435">
        <v>0.33624073863029502</v>
      </c>
      <c r="T435">
        <f t="shared" si="49"/>
        <v>0</v>
      </c>
      <c r="U435" s="1">
        <v>0.31207496000000001</v>
      </c>
      <c r="V435">
        <v>1</v>
      </c>
      <c r="X435">
        <v>0</v>
      </c>
    </row>
    <row r="436" spans="1:24">
      <c r="A436" s="1">
        <v>1</v>
      </c>
      <c r="B436" s="1" t="s">
        <v>436</v>
      </c>
      <c r="C436" s="1">
        <v>1</v>
      </c>
      <c r="D436" s="33">
        <v>1</v>
      </c>
      <c r="E436" s="37">
        <v>1</v>
      </c>
      <c r="F436" s="37">
        <v>1</v>
      </c>
      <c r="G436">
        <v>0.55898773700000004</v>
      </c>
      <c r="H436">
        <f t="shared" si="46"/>
        <v>1</v>
      </c>
      <c r="I436" s="85">
        <v>0.88477933406829801</v>
      </c>
      <c r="J436">
        <f t="shared" si="47"/>
        <v>1</v>
      </c>
      <c r="K436" s="86">
        <v>0.37721726298332198</v>
      </c>
      <c r="L436">
        <f t="shared" si="48"/>
        <v>0</v>
      </c>
      <c r="M436">
        <v>0.89656734466552701</v>
      </c>
      <c r="N436">
        <f t="shared" si="48"/>
        <v>1</v>
      </c>
      <c r="O436">
        <v>0.61387759447097801</v>
      </c>
      <c r="P436">
        <f t="shared" si="48"/>
        <v>1</v>
      </c>
      <c r="Q436">
        <v>0.60304641699999995</v>
      </c>
      <c r="R436">
        <f t="shared" si="48"/>
        <v>1</v>
      </c>
      <c r="S436">
        <v>0.86494737863540705</v>
      </c>
      <c r="T436">
        <f t="shared" si="49"/>
        <v>1</v>
      </c>
      <c r="U436" s="1">
        <v>0.33519757</v>
      </c>
      <c r="V436">
        <v>1</v>
      </c>
      <c r="X436">
        <v>0</v>
      </c>
    </row>
    <row r="437" spans="1:24">
      <c r="A437" s="1">
        <v>1</v>
      </c>
      <c r="B437" s="7" t="s">
        <v>437</v>
      </c>
      <c r="C437" s="1">
        <v>1</v>
      </c>
      <c r="D437" s="33">
        <v>1</v>
      </c>
      <c r="E437" s="37">
        <v>1</v>
      </c>
      <c r="F437" s="37">
        <v>1</v>
      </c>
      <c r="G437">
        <v>0.69838416599999997</v>
      </c>
      <c r="H437">
        <f t="shared" si="46"/>
        <v>1</v>
      </c>
      <c r="I437" s="85">
        <v>0.150094583630562</v>
      </c>
      <c r="J437">
        <f t="shared" si="47"/>
        <v>0</v>
      </c>
      <c r="K437" s="86">
        <v>0.87153583765029896</v>
      </c>
      <c r="L437">
        <f t="shared" si="48"/>
        <v>1</v>
      </c>
      <c r="M437">
        <v>0.89706605672836304</v>
      </c>
      <c r="N437">
        <f t="shared" si="48"/>
        <v>1</v>
      </c>
      <c r="O437">
        <v>0.27064552903175298</v>
      </c>
      <c r="P437">
        <f t="shared" si="48"/>
        <v>0</v>
      </c>
      <c r="Q437">
        <v>0.69852215100000004</v>
      </c>
      <c r="R437">
        <f t="shared" si="48"/>
        <v>1</v>
      </c>
      <c r="S437">
        <v>0.55765450000762895</v>
      </c>
      <c r="T437">
        <f t="shared" si="49"/>
        <v>1</v>
      </c>
      <c r="U437" s="7">
        <v>0.31862035</v>
      </c>
      <c r="V437">
        <v>1</v>
      </c>
      <c r="X437">
        <v>1</v>
      </c>
    </row>
    <row r="438" spans="1:24">
      <c r="A438" s="1">
        <v>1</v>
      </c>
      <c r="B438" s="1" t="s">
        <v>438</v>
      </c>
      <c r="C438" s="1">
        <v>1</v>
      </c>
      <c r="D438" s="33">
        <v>1</v>
      </c>
      <c r="E438" s="37">
        <v>1</v>
      </c>
      <c r="F438" s="37">
        <v>1</v>
      </c>
      <c r="G438">
        <v>0.85404199400000003</v>
      </c>
      <c r="H438">
        <f t="shared" si="46"/>
        <v>1</v>
      </c>
      <c r="I438" s="85">
        <v>0.99993395805358898</v>
      </c>
      <c r="J438">
        <f t="shared" si="47"/>
        <v>1</v>
      </c>
      <c r="K438" s="86">
        <v>0.68980795145034701</v>
      </c>
      <c r="L438">
        <f t="shared" si="48"/>
        <v>1</v>
      </c>
      <c r="M438">
        <v>0.85055112838745095</v>
      </c>
      <c r="N438">
        <f t="shared" si="48"/>
        <v>1</v>
      </c>
      <c r="O438">
        <v>0.95209431648254395</v>
      </c>
      <c r="P438">
        <f t="shared" si="48"/>
        <v>1</v>
      </c>
      <c r="Q438">
        <v>0.66819912199999998</v>
      </c>
      <c r="R438">
        <f t="shared" si="48"/>
        <v>1</v>
      </c>
      <c r="S438">
        <v>0.99987089633941595</v>
      </c>
      <c r="T438">
        <f t="shared" si="49"/>
        <v>1</v>
      </c>
      <c r="U438" s="1">
        <v>0.33124575000000001</v>
      </c>
      <c r="V438">
        <v>1</v>
      </c>
      <c r="X438">
        <v>0</v>
      </c>
    </row>
    <row r="439" spans="1:24">
      <c r="A439" s="1">
        <v>1</v>
      </c>
      <c r="B439" s="7" t="s">
        <v>439</v>
      </c>
      <c r="C439" s="1">
        <v>1</v>
      </c>
      <c r="D439" s="33">
        <v>0</v>
      </c>
      <c r="E439" s="37">
        <v>1</v>
      </c>
      <c r="F439" s="37">
        <v>1</v>
      </c>
      <c r="G439">
        <v>0.87302178100000005</v>
      </c>
      <c r="H439">
        <f t="shared" si="46"/>
        <v>1</v>
      </c>
      <c r="I439" s="85">
        <v>1.8779017031193002E-2</v>
      </c>
      <c r="J439">
        <f t="shared" si="47"/>
        <v>0</v>
      </c>
      <c r="K439" s="86">
        <v>0.89560854434966997</v>
      </c>
      <c r="L439">
        <f t="shared" si="48"/>
        <v>1</v>
      </c>
      <c r="M439">
        <v>0.58230358362197898</v>
      </c>
      <c r="N439">
        <f t="shared" si="48"/>
        <v>1</v>
      </c>
      <c r="O439">
        <v>0.56960028409957897</v>
      </c>
      <c r="P439">
        <f t="shared" si="48"/>
        <v>1</v>
      </c>
      <c r="Q439">
        <v>0.51861405400000005</v>
      </c>
      <c r="R439">
        <f t="shared" si="48"/>
        <v>1</v>
      </c>
      <c r="S439">
        <v>4.5620626769959996E-3</v>
      </c>
      <c r="T439">
        <f t="shared" si="49"/>
        <v>0</v>
      </c>
      <c r="U439" s="7">
        <v>0.45450773999999999</v>
      </c>
      <c r="V439">
        <v>1</v>
      </c>
      <c r="X439">
        <v>1</v>
      </c>
    </row>
    <row r="440" spans="1:24">
      <c r="A440" s="1">
        <v>1</v>
      </c>
      <c r="B440" s="1" t="s">
        <v>440</v>
      </c>
      <c r="C440" s="1">
        <v>1</v>
      </c>
      <c r="D440" s="33">
        <v>1</v>
      </c>
      <c r="E440" s="37">
        <v>1</v>
      </c>
      <c r="F440" s="37">
        <v>1</v>
      </c>
      <c r="G440">
        <v>0.94914454199999998</v>
      </c>
      <c r="H440">
        <f t="shared" si="46"/>
        <v>1</v>
      </c>
      <c r="I440" s="85">
        <v>0.99995052814483598</v>
      </c>
      <c r="J440">
        <f t="shared" si="47"/>
        <v>1</v>
      </c>
      <c r="K440" s="86">
        <v>0.984349966049194</v>
      </c>
      <c r="L440">
        <f t="shared" si="48"/>
        <v>1</v>
      </c>
      <c r="M440">
        <v>0.97365188598632801</v>
      </c>
      <c r="N440">
        <f t="shared" si="48"/>
        <v>1</v>
      </c>
      <c r="O440">
        <v>0.99594551324844405</v>
      </c>
      <c r="P440">
        <f t="shared" si="48"/>
        <v>1</v>
      </c>
      <c r="Q440">
        <v>0.74257308200000005</v>
      </c>
      <c r="R440">
        <f t="shared" si="48"/>
        <v>1</v>
      </c>
      <c r="S440">
        <v>0.99908924102783203</v>
      </c>
      <c r="T440">
        <f t="shared" si="49"/>
        <v>1</v>
      </c>
      <c r="U440" s="1">
        <v>0.46282450000000003</v>
      </c>
      <c r="V440">
        <v>1</v>
      </c>
      <c r="X440">
        <v>0</v>
      </c>
    </row>
    <row r="441" spans="1:24">
      <c r="A441" s="1">
        <v>1</v>
      </c>
      <c r="B441" s="1" t="s">
        <v>441</v>
      </c>
      <c r="C441" s="1">
        <v>1</v>
      </c>
      <c r="D441" s="33">
        <v>1</v>
      </c>
      <c r="E441" s="37">
        <v>1</v>
      </c>
      <c r="F441" s="37">
        <v>1</v>
      </c>
      <c r="G441">
        <v>0.94550752599999999</v>
      </c>
      <c r="H441">
        <f t="shared" si="46"/>
        <v>1</v>
      </c>
      <c r="I441" s="85">
        <v>1</v>
      </c>
      <c r="J441">
        <f t="shared" si="47"/>
        <v>1</v>
      </c>
      <c r="K441" s="86">
        <v>0.92705088853836004</v>
      </c>
      <c r="L441">
        <f t="shared" si="48"/>
        <v>1</v>
      </c>
      <c r="M441">
        <v>0.96136903762817405</v>
      </c>
      <c r="N441">
        <f t="shared" si="48"/>
        <v>1</v>
      </c>
      <c r="O441">
        <v>0.99533623456955</v>
      </c>
      <c r="P441">
        <f t="shared" si="48"/>
        <v>1</v>
      </c>
      <c r="Q441">
        <v>0.66832292100000001</v>
      </c>
      <c r="R441">
        <f t="shared" si="48"/>
        <v>1</v>
      </c>
      <c r="S441">
        <v>0.99994480609893799</v>
      </c>
      <c r="T441">
        <f t="shared" si="49"/>
        <v>1</v>
      </c>
      <c r="U441" s="1">
        <v>0.39246305999999997</v>
      </c>
      <c r="V441">
        <v>1</v>
      </c>
      <c r="X441">
        <v>0</v>
      </c>
    </row>
    <row r="442" spans="1:24">
      <c r="A442" s="1">
        <v>1</v>
      </c>
      <c r="B442" s="7" t="s">
        <v>442</v>
      </c>
      <c r="C442" s="1">
        <v>1</v>
      </c>
      <c r="D442" s="33">
        <v>0</v>
      </c>
      <c r="E442" s="34">
        <v>0</v>
      </c>
      <c r="F442" s="33">
        <v>1</v>
      </c>
      <c r="G442">
        <v>0.76789474499999999</v>
      </c>
      <c r="H442">
        <f t="shared" si="46"/>
        <v>1</v>
      </c>
      <c r="I442" s="85">
        <v>0.55584007501602195</v>
      </c>
      <c r="J442">
        <f t="shared" si="47"/>
        <v>1</v>
      </c>
      <c r="K442" s="86">
        <v>0.24097201228141699</v>
      </c>
      <c r="L442">
        <f t="shared" si="48"/>
        <v>0</v>
      </c>
      <c r="M442">
        <v>0.94009882211685203</v>
      </c>
      <c r="N442">
        <f t="shared" si="48"/>
        <v>1</v>
      </c>
      <c r="O442">
        <v>0.69668346643447898</v>
      </c>
      <c r="P442">
        <f t="shared" si="48"/>
        <v>1</v>
      </c>
      <c r="Q442">
        <v>0.37460401700000001</v>
      </c>
      <c r="R442">
        <f t="shared" si="48"/>
        <v>0</v>
      </c>
      <c r="S442">
        <v>0.55201065540313698</v>
      </c>
      <c r="T442">
        <f t="shared" si="49"/>
        <v>1</v>
      </c>
      <c r="U442" s="7">
        <v>0.45073763</v>
      </c>
      <c r="V442">
        <v>1</v>
      </c>
      <c r="X442">
        <v>1</v>
      </c>
    </row>
    <row r="443" spans="1:24">
      <c r="A443" s="1">
        <v>1</v>
      </c>
      <c r="B443" s="1" t="s">
        <v>443</v>
      </c>
      <c r="C443" s="1">
        <v>1</v>
      </c>
      <c r="D443" s="33">
        <v>1</v>
      </c>
      <c r="E443" s="37">
        <v>1</v>
      </c>
      <c r="F443" s="37">
        <v>1</v>
      </c>
      <c r="G443">
        <v>0.31809225699999999</v>
      </c>
      <c r="H443">
        <f t="shared" si="46"/>
        <v>0</v>
      </c>
      <c r="I443" s="85">
        <v>6.36160912108608E-5</v>
      </c>
      <c r="J443">
        <f t="shared" si="47"/>
        <v>0</v>
      </c>
      <c r="K443" s="86">
        <v>5.34803830087184E-2</v>
      </c>
      <c r="L443">
        <f t="shared" si="48"/>
        <v>0</v>
      </c>
      <c r="M443">
        <v>1.9274987280368999E-2</v>
      </c>
      <c r="N443">
        <f t="shared" si="48"/>
        <v>0</v>
      </c>
      <c r="O443">
        <v>0.14092406630516</v>
      </c>
      <c r="P443">
        <f t="shared" si="48"/>
        <v>0</v>
      </c>
      <c r="Q443">
        <v>0.294912905</v>
      </c>
      <c r="R443">
        <f t="shared" si="48"/>
        <v>0</v>
      </c>
      <c r="S443">
        <v>1.340973423794E-3</v>
      </c>
      <c r="T443">
        <f t="shared" si="49"/>
        <v>0</v>
      </c>
      <c r="U443" s="1">
        <v>0.21790904</v>
      </c>
      <c r="V443">
        <v>1</v>
      </c>
      <c r="X443">
        <v>0</v>
      </c>
    </row>
    <row r="444" spans="1:24">
      <c r="A444" s="1">
        <v>1</v>
      </c>
      <c r="B444" s="1" t="s">
        <v>444</v>
      </c>
      <c r="C444" s="1">
        <v>1</v>
      </c>
      <c r="D444" s="33">
        <v>1</v>
      </c>
      <c r="E444" s="37">
        <v>1</v>
      </c>
      <c r="F444" s="37">
        <v>1</v>
      </c>
      <c r="G444">
        <v>0.22255487700000001</v>
      </c>
      <c r="H444">
        <f t="shared" si="46"/>
        <v>0</v>
      </c>
      <c r="I444" s="85">
        <v>0.55352109670639005</v>
      </c>
      <c r="J444">
        <f t="shared" si="47"/>
        <v>1</v>
      </c>
      <c r="K444" s="86">
        <v>0.89141571521759</v>
      </c>
      <c r="L444">
        <f t="shared" si="48"/>
        <v>1</v>
      </c>
      <c r="M444">
        <v>0.35247051715850802</v>
      </c>
      <c r="N444">
        <f t="shared" si="48"/>
        <v>0</v>
      </c>
      <c r="O444">
        <v>0.48231872916221602</v>
      </c>
      <c r="P444">
        <f t="shared" si="48"/>
        <v>0</v>
      </c>
      <c r="Q444">
        <v>0.50044280299999999</v>
      </c>
      <c r="R444">
        <f t="shared" si="48"/>
        <v>1</v>
      </c>
      <c r="S444">
        <v>0.12597325444221499</v>
      </c>
      <c r="T444">
        <f t="shared" si="49"/>
        <v>0</v>
      </c>
      <c r="U444" s="1">
        <v>0.1855783</v>
      </c>
      <c r="V444">
        <v>1</v>
      </c>
      <c r="X444">
        <v>0</v>
      </c>
    </row>
    <row r="445" spans="1:24">
      <c r="A445" s="1">
        <v>1</v>
      </c>
      <c r="B445" s="1" t="s">
        <v>445</v>
      </c>
      <c r="C445" s="1">
        <v>1</v>
      </c>
      <c r="D445" s="33">
        <v>1</v>
      </c>
      <c r="E445" s="36">
        <v>0</v>
      </c>
      <c r="F445" s="37">
        <v>1</v>
      </c>
      <c r="G445">
        <v>0.95699340099999997</v>
      </c>
      <c r="H445">
        <f t="shared" si="46"/>
        <v>1</v>
      </c>
      <c r="I445" s="85">
        <v>0.39542070031166099</v>
      </c>
      <c r="J445">
        <f t="shared" si="47"/>
        <v>0</v>
      </c>
      <c r="K445" s="86">
        <v>0.87940222024917603</v>
      </c>
      <c r="L445">
        <f t="shared" si="48"/>
        <v>1</v>
      </c>
      <c r="M445">
        <v>0.966436147689819</v>
      </c>
      <c r="N445">
        <f t="shared" si="48"/>
        <v>1</v>
      </c>
      <c r="O445">
        <v>0.93241101503372203</v>
      </c>
      <c r="P445">
        <f t="shared" si="48"/>
        <v>1</v>
      </c>
      <c r="Q445">
        <v>0.58653259300000005</v>
      </c>
      <c r="R445">
        <f t="shared" si="48"/>
        <v>1</v>
      </c>
      <c r="S445">
        <v>0.89756286144256603</v>
      </c>
      <c r="T445">
        <f t="shared" si="49"/>
        <v>1</v>
      </c>
      <c r="U445" s="1">
        <v>0.33640015000000001</v>
      </c>
      <c r="V445">
        <v>1</v>
      </c>
      <c r="X445">
        <v>0</v>
      </c>
    </row>
    <row r="446" spans="1:24">
      <c r="A446" s="1">
        <v>1</v>
      </c>
      <c r="B446" s="1" t="s">
        <v>446</v>
      </c>
      <c r="C446" s="1">
        <v>1</v>
      </c>
      <c r="D446" s="33">
        <v>1</v>
      </c>
      <c r="E446" s="37">
        <v>1</v>
      </c>
      <c r="F446" s="37">
        <v>1</v>
      </c>
      <c r="G446">
        <v>0.75776916699999997</v>
      </c>
      <c r="H446">
        <f t="shared" si="46"/>
        <v>1</v>
      </c>
      <c r="I446" s="85">
        <v>0.88009566068649303</v>
      </c>
      <c r="J446">
        <f t="shared" si="47"/>
        <v>1</v>
      </c>
      <c r="K446" s="86">
        <v>0.98342025279998702</v>
      </c>
      <c r="L446">
        <f t="shared" si="48"/>
        <v>1</v>
      </c>
      <c r="M446">
        <v>0.534762382507324</v>
      </c>
      <c r="N446">
        <f t="shared" si="48"/>
        <v>1</v>
      </c>
      <c r="O446">
        <v>0.82338285446167003</v>
      </c>
      <c r="P446">
        <f t="shared" si="48"/>
        <v>1</v>
      </c>
      <c r="Q446">
        <v>0.51249611399999995</v>
      </c>
      <c r="R446">
        <f t="shared" si="48"/>
        <v>1</v>
      </c>
      <c r="S446">
        <v>0.97497832775116</v>
      </c>
      <c r="T446">
        <f t="shared" si="49"/>
        <v>1</v>
      </c>
      <c r="U446" s="1">
        <v>0.58440614000000002</v>
      </c>
      <c r="V446">
        <v>1</v>
      </c>
      <c r="X446">
        <v>0</v>
      </c>
    </row>
    <row r="447" spans="1:24">
      <c r="A447" s="1">
        <v>1</v>
      </c>
      <c r="B447" s="7" t="s">
        <v>447</v>
      </c>
      <c r="C447" s="1">
        <v>1</v>
      </c>
      <c r="D447" s="33">
        <v>1</v>
      </c>
      <c r="E447" s="37">
        <v>1</v>
      </c>
      <c r="F447" s="37">
        <v>1</v>
      </c>
      <c r="G447">
        <v>0.87298679400000001</v>
      </c>
      <c r="H447">
        <f t="shared" si="46"/>
        <v>1</v>
      </c>
      <c r="I447" s="85">
        <v>0.65003401041030895</v>
      </c>
      <c r="J447">
        <f t="shared" si="47"/>
        <v>1</v>
      </c>
      <c r="K447" s="86">
        <v>0.71602433919906605</v>
      </c>
      <c r="L447">
        <f t="shared" si="48"/>
        <v>1</v>
      </c>
      <c r="M447">
        <v>0.91484349966049205</v>
      </c>
      <c r="N447">
        <f t="shared" si="48"/>
        <v>1</v>
      </c>
      <c r="O447">
        <v>0.974229395389557</v>
      </c>
      <c r="P447">
        <f t="shared" si="48"/>
        <v>1</v>
      </c>
      <c r="Q447">
        <v>0.52971047199999999</v>
      </c>
      <c r="R447">
        <f t="shared" si="48"/>
        <v>1</v>
      </c>
      <c r="S447">
        <v>0.88737249374389704</v>
      </c>
      <c r="T447">
        <f t="shared" si="49"/>
        <v>1</v>
      </c>
      <c r="U447" s="7">
        <v>0.28115245999999999</v>
      </c>
      <c r="V447">
        <v>1</v>
      </c>
      <c r="X447">
        <v>1</v>
      </c>
    </row>
    <row r="448" spans="1:24">
      <c r="A448" s="1">
        <v>1</v>
      </c>
      <c r="B448" s="1" t="s">
        <v>448</v>
      </c>
      <c r="C448" s="1">
        <v>1</v>
      </c>
      <c r="D448" s="33">
        <v>1</v>
      </c>
      <c r="E448" s="36">
        <v>0</v>
      </c>
      <c r="F448" s="37">
        <v>1</v>
      </c>
      <c r="G448">
        <v>0.49303001200000002</v>
      </c>
      <c r="H448">
        <f t="shared" si="46"/>
        <v>0</v>
      </c>
      <c r="I448" s="85">
        <v>0.20492587983608199</v>
      </c>
      <c r="J448">
        <f t="shared" si="47"/>
        <v>0</v>
      </c>
      <c r="K448" s="86">
        <v>0.12896908819675401</v>
      </c>
      <c r="L448">
        <f t="shared" si="48"/>
        <v>0</v>
      </c>
      <c r="M448">
        <v>0.103096008300781</v>
      </c>
      <c r="N448">
        <f t="shared" si="48"/>
        <v>0</v>
      </c>
      <c r="O448">
        <v>0.78748846054077204</v>
      </c>
      <c r="P448">
        <f t="shared" si="48"/>
        <v>1</v>
      </c>
      <c r="Q448">
        <v>0.60896962899999996</v>
      </c>
      <c r="R448">
        <f t="shared" si="48"/>
        <v>1</v>
      </c>
      <c r="S448">
        <v>0.891016185283661</v>
      </c>
      <c r="T448">
        <f t="shared" si="49"/>
        <v>1</v>
      </c>
      <c r="U448" s="1">
        <v>0.31398067000000002</v>
      </c>
      <c r="V448">
        <v>1</v>
      </c>
      <c r="X448">
        <v>0</v>
      </c>
    </row>
    <row r="449" spans="1:24">
      <c r="A449" s="1">
        <v>1</v>
      </c>
      <c r="B449" s="1" t="s">
        <v>449</v>
      </c>
      <c r="C449" s="1">
        <v>1</v>
      </c>
      <c r="D449" s="33">
        <v>0</v>
      </c>
      <c r="E449" s="36">
        <v>1</v>
      </c>
      <c r="F449" s="37">
        <v>1</v>
      </c>
      <c r="G449">
        <v>0.74449270999999995</v>
      </c>
      <c r="H449">
        <f t="shared" si="46"/>
        <v>1</v>
      </c>
      <c r="I449" s="85">
        <v>0.98031371831893899</v>
      </c>
      <c r="J449">
        <f t="shared" si="47"/>
        <v>1</v>
      </c>
      <c r="K449" s="86">
        <v>0.90437150001525801</v>
      </c>
      <c r="L449">
        <f t="shared" si="48"/>
        <v>1</v>
      </c>
      <c r="M449">
        <v>0.42247653007507302</v>
      </c>
      <c r="N449">
        <f t="shared" si="48"/>
        <v>0</v>
      </c>
      <c r="O449">
        <v>0.92614609003067005</v>
      </c>
      <c r="P449">
        <f t="shared" si="48"/>
        <v>1</v>
      </c>
      <c r="Q449">
        <v>0.68968337800000001</v>
      </c>
      <c r="R449">
        <f t="shared" si="48"/>
        <v>1</v>
      </c>
      <c r="S449">
        <v>0.92867255210876498</v>
      </c>
      <c r="T449">
        <f t="shared" si="49"/>
        <v>1</v>
      </c>
      <c r="U449" s="1">
        <v>0.48272350000000003</v>
      </c>
      <c r="V449">
        <v>1</v>
      </c>
      <c r="X449">
        <v>0</v>
      </c>
    </row>
    <row r="450" spans="1:24">
      <c r="A450" s="1">
        <v>1</v>
      </c>
      <c r="B450" s="1" t="s">
        <v>450</v>
      </c>
      <c r="C450" s="1">
        <v>1</v>
      </c>
      <c r="D450" s="33">
        <v>1</v>
      </c>
      <c r="E450" s="37">
        <v>1</v>
      </c>
      <c r="F450" s="37">
        <v>1</v>
      </c>
      <c r="G450">
        <v>0.56836897099999995</v>
      </c>
      <c r="H450">
        <f t="shared" si="46"/>
        <v>1</v>
      </c>
      <c r="I450" s="85">
        <v>0.92321187257766701</v>
      </c>
      <c r="J450">
        <f t="shared" si="47"/>
        <v>1</v>
      </c>
      <c r="K450" s="86">
        <v>0.57493388652801503</v>
      </c>
      <c r="L450">
        <f t="shared" si="48"/>
        <v>1</v>
      </c>
      <c r="M450">
        <v>0.434245586395264</v>
      </c>
      <c r="N450">
        <f t="shared" si="48"/>
        <v>0</v>
      </c>
      <c r="O450">
        <v>0.32675692439079301</v>
      </c>
      <c r="P450">
        <f t="shared" si="48"/>
        <v>0</v>
      </c>
      <c r="Q450">
        <v>0.62766945399999996</v>
      </c>
      <c r="R450">
        <f t="shared" si="48"/>
        <v>1</v>
      </c>
      <c r="S450">
        <v>0.85328388214111295</v>
      </c>
      <c r="T450">
        <f t="shared" si="49"/>
        <v>1</v>
      </c>
      <c r="U450" s="1">
        <v>0.31385921999999999</v>
      </c>
      <c r="V450">
        <v>1</v>
      </c>
      <c r="X450">
        <v>0</v>
      </c>
    </row>
    <row r="451" spans="1:24">
      <c r="A451" s="1">
        <v>1</v>
      </c>
      <c r="B451" s="1" t="s">
        <v>451</v>
      </c>
      <c r="C451" s="1">
        <v>1</v>
      </c>
      <c r="D451" s="33">
        <v>1</v>
      </c>
      <c r="E451" s="37">
        <v>1</v>
      </c>
      <c r="F451" s="37">
        <v>1</v>
      </c>
      <c r="G451">
        <v>0.64679324599999999</v>
      </c>
      <c r="H451">
        <f t="shared" si="46"/>
        <v>1</v>
      </c>
      <c r="I451" s="85">
        <v>0.63337641954421997</v>
      </c>
      <c r="J451">
        <f t="shared" si="47"/>
        <v>1</v>
      </c>
      <c r="K451" s="86">
        <v>0.26494017243385298</v>
      </c>
      <c r="L451">
        <f t="shared" si="48"/>
        <v>0</v>
      </c>
      <c r="M451">
        <v>0.798839211463928</v>
      </c>
      <c r="N451">
        <f t="shared" si="48"/>
        <v>1</v>
      </c>
      <c r="O451">
        <v>0.47805309295654302</v>
      </c>
      <c r="P451">
        <f t="shared" si="48"/>
        <v>0</v>
      </c>
      <c r="Q451">
        <v>0.47146472299999997</v>
      </c>
      <c r="R451">
        <f t="shared" si="48"/>
        <v>0</v>
      </c>
      <c r="S451">
        <v>0.81392008066177401</v>
      </c>
      <c r="T451">
        <f t="shared" si="49"/>
        <v>1</v>
      </c>
      <c r="U451" s="1">
        <v>0.24117421999999999</v>
      </c>
      <c r="V451">
        <v>1</v>
      </c>
      <c r="X451">
        <v>0</v>
      </c>
    </row>
    <row r="452" spans="1:24">
      <c r="A452" s="1">
        <v>1</v>
      </c>
      <c r="B452" s="1" t="s">
        <v>452</v>
      </c>
      <c r="C452" s="1">
        <v>1</v>
      </c>
      <c r="D452" s="33">
        <v>1</v>
      </c>
      <c r="E452" s="37">
        <v>1</v>
      </c>
      <c r="F452" s="37">
        <v>1</v>
      </c>
      <c r="G452">
        <v>0.93812882900000005</v>
      </c>
      <c r="H452">
        <f t="shared" si="46"/>
        <v>1</v>
      </c>
      <c r="I452" s="85">
        <v>0.99998807907104503</v>
      </c>
      <c r="J452">
        <f t="shared" si="47"/>
        <v>1</v>
      </c>
      <c r="K452" s="86">
        <v>0.81188708543777399</v>
      </c>
      <c r="L452">
        <f t="shared" si="48"/>
        <v>1</v>
      </c>
      <c r="M452">
        <v>0.99508285522460904</v>
      </c>
      <c r="N452">
        <f t="shared" si="48"/>
        <v>1</v>
      </c>
      <c r="O452">
        <v>0.99574559926986705</v>
      </c>
      <c r="P452">
        <f t="shared" si="48"/>
        <v>1</v>
      </c>
      <c r="Q452">
        <v>0.73969119800000005</v>
      </c>
      <c r="R452">
        <f t="shared" si="48"/>
        <v>1</v>
      </c>
      <c r="S452">
        <v>0.99999880790710405</v>
      </c>
      <c r="T452">
        <f t="shared" si="49"/>
        <v>1</v>
      </c>
      <c r="U452" s="1">
        <v>0.42493789999999998</v>
      </c>
      <c r="V452">
        <v>1</v>
      </c>
      <c r="X452">
        <v>0</v>
      </c>
    </row>
    <row r="453" spans="1:24">
      <c r="A453" s="1">
        <v>1</v>
      </c>
      <c r="B453" s="1" t="s">
        <v>453</v>
      </c>
      <c r="C453" s="1">
        <v>1</v>
      </c>
      <c r="D453" s="33">
        <v>1</v>
      </c>
      <c r="E453" s="37">
        <v>1</v>
      </c>
      <c r="F453" s="37">
        <v>1</v>
      </c>
      <c r="G453">
        <v>0.90211510699999997</v>
      </c>
      <c r="H453">
        <f t="shared" si="46"/>
        <v>1</v>
      </c>
      <c r="I453" s="85">
        <v>0.88727450370788596</v>
      </c>
      <c r="J453">
        <f t="shared" si="47"/>
        <v>1</v>
      </c>
      <c r="K453" s="86">
        <v>0.90722894668579102</v>
      </c>
      <c r="L453">
        <f t="shared" si="48"/>
        <v>1</v>
      </c>
      <c r="M453">
        <v>0.97895699739456199</v>
      </c>
      <c r="N453">
        <f t="shared" si="48"/>
        <v>1</v>
      </c>
      <c r="O453">
        <v>0.989083051681519</v>
      </c>
      <c r="P453">
        <f t="shared" si="48"/>
        <v>1</v>
      </c>
      <c r="Q453">
        <v>0.60763287499999996</v>
      </c>
      <c r="R453">
        <f t="shared" si="48"/>
        <v>1</v>
      </c>
      <c r="S453">
        <v>0.38484081625938399</v>
      </c>
      <c r="T453">
        <f t="shared" si="49"/>
        <v>0</v>
      </c>
      <c r="U453" s="1">
        <v>0.44961208000000003</v>
      </c>
      <c r="V453">
        <v>1</v>
      </c>
      <c r="X453">
        <v>0</v>
      </c>
    </row>
    <row r="454" spans="1:24">
      <c r="A454" s="1">
        <v>1</v>
      </c>
      <c r="B454" s="1" t="s">
        <v>454</v>
      </c>
      <c r="C454" s="1">
        <v>1</v>
      </c>
      <c r="D454" s="33">
        <v>1</v>
      </c>
      <c r="E454" s="37">
        <v>1</v>
      </c>
      <c r="F454" s="37">
        <v>1</v>
      </c>
      <c r="G454">
        <v>0.220957443</v>
      </c>
      <c r="H454">
        <f t="shared" si="46"/>
        <v>0</v>
      </c>
      <c r="I454" s="85">
        <v>0.59681677818298295</v>
      </c>
      <c r="J454">
        <f t="shared" si="47"/>
        <v>1</v>
      </c>
      <c r="K454" s="86">
        <v>7.1537815034389496E-2</v>
      </c>
      <c r="L454">
        <f t="shared" si="48"/>
        <v>0</v>
      </c>
      <c r="M454">
        <v>0.177950009703636</v>
      </c>
      <c r="N454">
        <f t="shared" si="48"/>
        <v>0</v>
      </c>
      <c r="O454">
        <v>0.60627031326293901</v>
      </c>
      <c r="P454">
        <f t="shared" si="48"/>
        <v>1</v>
      </c>
      <c r="Q454">
        <v>0.39696758999999998</v>
      </c>
      <c r="R454">
        <f t="shared" si="48"/>
        <v>0</v>
      </c>
      <c r="S454">
        <v>4.8177815973759003E-2</v>
      </c>
      <c r="T454">
        <f t="shared" si="49"/>
        <v>0</v>
      </c>
      <c r="U454" s="1">
        <v>0.16041627999999999</v>
      </c>
      <c r="V454">
        <v>1</v>
      </c>
      <c r="X454">
        <v>0</v>
      </c>
    </row>
    <row r="455" spans="1:24">
      <c r="A455" s="1">
        <v>1</v>
      </c>
      <c r="B455" s="1" t="s">
        <v>455</v>
      </c>
      <c r="C455" s="1">
        <v>1</v>
      </c>
      <c r="D455" s="33">
        <v>1</v>
      </c>
      <c r="E455" s="37">
        <v>1</v>
      </c>
      <c r="F455" s="37">
        <v>1</v>
      </c>
      <c r="G455">
        <v>0.40185803199999998</v>
      </c>
      <c r="H455">
        <f t="shared" si="46"/>
        <v>0</v>
      </c>
      <c r="I455" s="85">
        <v>0.92779415845871005</v>
      </c>
      <c r="J455">
        <f t="shared" si="47"/>
        <v>1</v>
      </c>
      <c r="K455" s="86">
        <v>0.95908498764037997</v>
      </c>
      <c r="L455">
        <f t="shared" si="48"/>
        <v>1</v>
      </c>
      <c r="M455">
        <v>0.64325869083404497</v>
      </c>
      <c r="N455">
        <f t="shared" si="48"/>
        <v>1</v>
      </c>
      <c r="O455">
        <v>0.71648561954498302</v>
      </c>
      <c r="P455">
        <f t="shared" si="48"/>
        <v>1</v>
      </c>
      <c r="Q455">
        <v>0.66783368600000004</v>
      </c>
      <c r="R455">
        <f t="shared" si="48"/>
        <v>1</v>
      </c>
      <c r="S455">
        <v>0.96687084436416604</v>
      </c>
      <c r="T455">
        <f t="shared" si="49"/>
        <v>1</v>
      </c>
      <c r="U455" s="1">
        <v>0.15785436</v>
      </c>
      <c r="V455">
        <v>1</v>
      </c>
      <c r="X455">
        <v>0</v>
      </c>
    </row>
    <row r="456" spans="1:24">
      <c r="A456" s="1">
        <v>1</v>
      </c>
      <c r="B456" s="1" t="s">
        <v>456</v>
      </c>
      <c r="C456" s="1">
        <v>1</v>
      </c>
      <c r="D456" s="33">
        <v>1</v>
      </c>
      <c r="E456" s="37">
        <v>1</v>
      </c>
      <c r="F456" s="37">
        <v>1</v>
      </c>
      <c r="G456">
        <v>0.93947744399999999</v>
      </c>
      <c r="H456">
        <f t="shared" si="46"/>
        <v>1</v>
      </c>
      <c r="I456" s="85">
        <v>0.99080544710159302</v>
      </c>
      <c r="J456">
        <f t="shared" si="47"/>
        <v>1</v>
      </c>
      <c r="K456" s="86">
        <v>0.99392408132553101</v>
      </c>
      <c r="L456">
        <f t="shared" si="48"/>
        <v>1</v>
      </c>
      <c r="M456">
        <v>0.99237966537475597</v>
      </c>
      <c r="N456">
        <f t="shared" si="48"/>
        <v>1</v>
      </c>
      <c r="O456">
        <v>0.94728899002075195</v>
      </c>
      <c r="P456">
        <f t="shared" si="48"/>
        <v>1</v>
      </c>
      <c r="Q456">
        <v>0.77883839600000004</v>
      </c>
      <c r="R456">
        <f t="shared" si="48"/>
        <v>1</v>
      </c>
      <c r="S456">
        <v>0.92628729343414296</v>
      </c>
      <c r="T456">
        <f t="shared" si="49"/>
        <v>1</v>
      </c>
      <c r="U456" s="1">
        <v>0.59739536000000004</v>
      </c>
      <c r="V456">
        <v>1</v>
      </c>
      <c r="X456">
        <v>0</v>
      </c>
    </row>
    <row r="457" spans="1:24">
      <c r="A457" s="1">
        <v>1</v>
      </c>
      <c r="B457" s="1" t="s">
        <v>457</v>
      </c>
      <c r="C457" s="1">
        <v>1</v>
      </c>
      <c r="D457" s="33">
        <v>0</v>
      </c>
      <c r="E457" s="37">
        <v>1</v>
      </c>
      <c r="F457" s="37">
        <v>1</v>
      </c>
      <c r="G457">
        <v>0.378633738</v>
      </c>
      <c r="H457">
        <f t="shared" si="46"/>
        <v>0</v>
      </c>
      <c r="I457" s="85">
        <v>2.1209809929129998E-3</v>
      </c>
      <c r="J457">
        <f t="shared" si="47"/>
        <v>0</v>
      </c>
      <c r="K457" s="86">
        <v>0.59904021024703902</v>
      </c>
      <c r="L457">
        <f t="shared" si="48"/>
        <v>1</v>
      </c>
      <c r="M457">
        <v>0.64354419708251998</v>
      </c>
      <c r="N457">
        <f t="shared" si="48"/>
        <v>1</v>
      </c>
      <c r="O457">
        <v>0.55444628000259399</v>
      </c>
      <c r="P457">
        <f t="shared" si="48"/>
        <v>1</v>
      </c>
      <c r="Q457">
        <v>0.55998039200000005</v>
      </c>
      <c r="R457">
        <f t="shared" si="48"/>
        <v>1</v>
      </c>
      <c r="S457">
        <v>1.1718969792128E-2</v>
      </c>
      <c r="T457">
        <f t="shared" si="49"/>
        <v>0</v>
      </c>
      <c r="U457" s="1">
        <v>0.15918085000000001</v>
      </c>
      <c r="V457">
        <v>1</v>
      </c>
      <c r="X457">
        <v>0</v>
      </c>
    </row>
    <row r="458" spans="1:24">
      <c r="A458" s="1">
        <v>1</v>
      </c>
      <c r="B458" s="1" t="s">
        <v>458</v>
      </c>
      <c r="C458" s="1">
        <v>1</v>
      </c>
      <c r="D458" s="33">
        <v>1</v>
      </c>
      <c r="E458" s="36">
        <v>1</v>
      </c>
      <c r="F458" s="37">
        <v>1</v>
      </c>
      <c r="G458">
        <v>0.77119278899999999</v>
      </c>
      <c r="H458">
        <f t="shared" si="46"/>
        <v>1</v>
      </c>
      <c r="I458" s="85">
        <v>0.95793545246124301</v>
      </c>
      <c r="J458">
        <f t="shared" si="47"/>
        <v>1</v>
      </c>
      <c r="K458" s="86">
        <v>0.93276971578598</v>
      </c>
      <c r="L458">
        <f t="shared" si="48"/>
        <v>1</v>
      </c>
      <c r="M458">
        <v>0.94011270999908403</v>
      </c>
      <c r="N458">
        <f t="shared" si="48"/>
        <v>1</v>
      </c>
      <c r="O458">
        <v>0.63858747482299805</v>
      </c>
      <c r="P458">
        <f t="shared" si="48"/>
        <v>1</v>
      </c>
      <c r="Q458">
        <v>0.55065101400000005</v>
      </c>
      <c r="R458">
        <f t="shared" si="48"/>
        <v>1</v>
      </c>
      <c r="S458">
        <v>0.19477039575576799</v>
      </c>
      <c r="T458">
        <f t="shared" si="49"/>
        <v>0</v>
      </c>
      <c r="U458" s="1">
        <v>0.25660682000000001</v>
      </c>
      <c r="V458">
        <v>1</v>
      </c>
      <c r="X458">
        <v>0</v>
      </c>
    </row>
    <row r="459" spans="1:24">
      <c r="A459" s="1">
        <v>1</v>
      </c>
      <c r="B459" s="1" t="s">
        <v>459</v>
      </c>
      <c r="C459" s="1">
        <v>1</v>
      </c>
      <c r="D459" s="33">
        <v>1</v>
      </c>
      <c r="E459" s="37">
        <v>1</v>
      </c>
      <c r="F459" s="37">
        <v>1</v>
      </c>
      <c r="G459">
        <v>0.92237156600000003</v>
      </c>
      <c r="H459">
        <f t="shared" si="46"/>
        <v>1</v>
      </c>
      <c r="I459" s="85">
        <v>0.99998712539672796</v>
      </c>
      <c r="J459">
        <f t="shared" si="47"/>
        <v>1</v>
      </c>
      <c r="K459" s="86">
        <v>0.99300992488860995</v>
      </c>
      <c r="L459">
        <f t="shared" si="48"/>
        <v>1</v>
      </c>
      <c r="M459">
        <v>0.77986162900924705</v>
      </c>
      <c r="N459">
        <f t="shared" si="48"/>
        <v>1</v>
      </c>
      <c r="O459">
        <v>0.99578565359115601</v>
      </c>
      <c r="P459">
        <f t="shared" si="48"/>
        <v>1</v>
      </c>
      <c r="Q459">
        <v>0.87344020600000005</v>
      </c>
      <c r="R459">
        <f t="shared" si="48"/>
        <v>1</v>
      </c>
      <c r="S459">
        <v>0.99955254793167103</v>
      </c>
      <c r="T459">
        <f t="shared" si="49"/>
        <v>1</v>
      </c>
      <c r="U459" s="1">
        <v>0.48912214999999998</v>
      </c>
      <c r="V459">
        <v>1</v>
      </c>
      <c r="X459">
        <v>0</v>
      </c>
    </row>
    <row r="460" spans="1:24">
      <c r="A460" s="1">
        <v>1</v>
      </c>
      <c r="B460" s="1" t="s">
        <v>460</v>
      </c>
      <c r="C460" s="1">
        <v>1</v>
      </c>
      <c r="D460" s="33">
        <v>0</v>
      </c>
      <c r="E460" s="36">
        <v>0</v>
      </c>
      <c r="F460" s="37">
        <v>0</v>
      </c>
      <c r="G460">
        <v>0.92058157900000004</v>
      </c>
      <c r="H460">
        <f t="shared" si="46"/>
        <v>1</v>
      </c>
      <c r="I460" s="85">
        <v>0.96954947710037198</v>
      </c>
      <c r="J460">
        <f t="shared" si="47"/>
        <v>1</v>
      </c>
      <c r="K460" s="86">
        <v>0.84336537122726396</v>
      </c>
      <c r="L460">
        <f t="shared" si="48"/>
        <v>1</v>
      </c>
      <c r="M460">
        <v>0.86014384031295799</v>
      </c>
      <c r="N460">
        <f t="shared" si="48"/>
        <v>1</v>
      </c>
      <c r="O460">
        <v>0.837041735649109</v>
      </c>
      <c r="P460">
        <f t="shared" si="48"/>
        <v>1</v>
      </c>
      <c r="Q460">
        <v>0.65453946600000001</v>
      </c>
      <c r="R460">
        <f t="shared" si="48"/>
        <v>1</v>
      </c>
      <c r="S460">
        <v>0.99917346239089999</v>
      </c>
      <c r="T460">
        <f t="shared" si="49"/>
        <v>1</v>
      </c>
      <c r="U460" s="1">
        <v>0.54437869999999999</v>
      </c>
      <c r="V460">
        <v>1</v>
      </c>
      <c r="X460">
        <v>0</v>
      </c>
    </row>
    <row r="461" spans="1:24">
      <c r="A461" s="1">
        <v>1</v>
      </c>
      <c r="B461" s="1" t="s">
        <v>461</v>
      </c>
      <c r="C461" s="1">
        <v>1</v>
      </c>
      <c r="D461" s="33">
        <v>1</v>
      </c>
      <c r="E461" s="37">
        <v>1</v>
      </c>
      <c r="F461" s="37">
        <v>1</v>
      </c>
      <c r="G461">
        <v>0.59574711300000005</v>
      </c>
      <c r="H461">
        <f t="shared" si="46"/>
        <v>1</v>
      </c>
      <c r="I461" s="85">
        <v>0.99989140033721902</v>
      </c>
      <c r="J461">
        <f t="shared" si="47"/>
        <v>1</v>
      </c>
      <c r="K461" s="86">
        <v>0.97630965709686202</v>
      </c>
      <c r="L461">
        <f t="shared" si="48"/>
        <v>1</v>
      </c>
      <c r="M461">
        <v>0.95935350656509399</v>
      </c>
      <c r="N461">
        <f t="shared" si="48"/>
        <v>1</v>
      </c>
      <c r="O461">
        <v>0.60808545351028398</v>
      </c>
      <c r="P461">
        <f t="shared" si="48"/>
        <v>1</v>
      </c>
      <c r="Q461">
        <v>0.58098006199999996</v>
      </c>
      <c r="R461">
        <f t="shared" si="48"/>
        <v>1</v>
      </c>
      <c r="S461">
        <v>0.71113687753677401</v>
      </c>
      <c r="T461">
        <f t="shared" si="49"/>
        <v>1</v>
      </c>
      <c r="U461" s="1">
        <v>0.33819112000000001</v>
      </c>
      <c r="V461">
        <v>1</v>
      </c>
      <c r="X461">
        <v>0</v>
      </c>
    </row>
    <row r="462" spans="1:24">
      <c r="A462" s="1">
        <v>1</v>
      </c>
      <c r="B462" s="1" t="s">
        <v>462</v>
      </c>
      <c r="C462" s="1">
        <v>1</v>
      </c>
      <c r="D462" s="33">
        <v>1</v>
      </c>
      <c r="E462" s="37">
        <v>1</v>
      </c>
      <c r="F462" s="37">
        <v>1</v>
      </c>
      <c r="G462">
        <v>0.91837054500000004</v>
      </c>
      <c r="H462">
        <f t="shared" si="46"/>
        <v>1</v>
      </c>
      <c r="I462" s="85">
        <v>0.88827282190322898</v>
      </c>
      <c r="J462">
        <f t="shared" si="47"/>
        <v>1</v>
      </c>
      <c r="K462" s="86">
        <v>0.81409931182861295</v>
      </c>
      <c r="L462">
        <f t="shared" si="48"/>
        <v>1</v>
      </c>
      <c r="M462">
        <v>0.81903094053268399</v>
      </c>
      <c r="N462">
        <f t="shared" si="48"/>
        <v>1</v>
      </c>
      <c r="O462">
        <v>0.97435814142227195</v>
      </c>
      <c r="P462">
        <f t="shared" si="48"/>
        <v>1</v>
      </c>
      <c r="Q462">
        <v>0.68814945199999999</v>
      </c>
      <c r="R462">
        <f t="shared" si="48"/>
        <v>1</v>
      </c>
      <c r="S462">
        <v>0.90005278587341297</v>
      </c>
      <c r="T462">
        <f t="shared" si="49"/>
        <v>1</v>
      </c>
      <c r="U462" s="1">
        <v>0.5169608</v>
      </c>
      <c r="V462">
        <v>1</v>
      </c>
      <c r="X462">
        <v>0</v>
      </c>
    </row>
    <row r="463" spans="1:24">
      <c r="A463" s="1">
        <v>1</v>
      </c>
      <c r="B463" s="1" t="s">
        <v>463</v>
      </c>
      <c r="C463" s="1">
        <v>1</v>
      </c>
      <c r="D463" s="33">
        <v>1</v>
      </c>
      <c r="E463" s="37">
        <v>1</v>
      </c>
      <c r="F463" s="37">
        <v>1</v>
      </c>
      <c r="G463">
        <v>0.80682855799999997</v>
      </c>
      <c r="H463">
        <f t="shared" si="46"/>
        <v>1</v>
      </c>
      <c r="I463" s="85">
        <v>0.11188562959432601</v>
      </c>
      <c r="J463">
        <f t="shared" si="47"/>
        <v>0</v>
      </c>
      <c r="K463" s="86">
        <v>0.37913569808006198</v>
      </c>
      <c r="L463">
        <f t="shared" si="48"/>
        <v>0</v>
      </c>
      <c r="M463">
        <v>0.59964370727539096</v>
      </c>
      <c r="N463">
        <f t="shared" si="48"/>
        <v>1</v>
      </c>
      <c r="O463">
        <v>0.58951884508132901</v>
      </c>
      <c r="P463">
        <f t="shared" si="48"/>
        <v>1</v>
      </c>
      <c r="Q463">
        <v>0.51919102699999997</v>
      </c>
      <c r="R463">
        <f t="shared" si="48"/>
        <v>1</v>
      </c>
      <c r="S463">
        <v>2.6517227292061001E-2</v>
      </c>
      <c r="T463">
        <f t="shared" si="49"/>
        <v>0</v>
      </c>
      <c r="U463" s="1">
        <v>0.10070171</v>
      </c>
      <c r="V463">
        <v>0</v>
      </c>
      <c r="X463">
        <v>0</v>
      </c>
    </row>
    <row r="464" spans="1:24">
      <c r="A464" s="1">
        <v>1</v>
      </c>
      <c r="B464" s="1" t="s">
        <v>464</v>
      </c>
      <c r="C464" s="1">
        <v>1</v>
      </c>
      <c r="D464" s="33">
        <v>1</v>
      </c>
      <c r="E464" s="37">
        <v>1</v>
      </c>
      <c r="F464" s="37">
        <v>1</v>
      </c>
      <c r="G464">
        <v>0.95956814300000004</v>
      </c>
      <c r="H464">
        <f t="shared" si="46"/>
        <v>1</v>
      </c>
      <c r="I464" s="85">
        <v>0.99829024076461803</v>
      </c>
      <c r="J464">
        <f t="shared" si="47"/>
        <v>1</v>
      </c>
      <c r="K464" s="86">
        <v>0.925928235054016</v>
      </c>
      <c r="L464">
        <f t="shared" si="48"/>
        <v>1</v>
      </c>
      <c r="M464">
        <v>0.99482983350753795</v>
      </c>
      <c r="N464">
        <f t="shared" si="48"/>
        <v>1</v>
      </c>
      <c r="O464">
        <v>0.99611675739288297</v>
      </c>
      <c r="P464">
        <f t="shared" si="48"/>
        <v>1</v>
      </c>
      <c r="Q464">
        <v>0.79806166899999997</v>
      </c>
      <c r="R464">
        <f t="shared" si="48"/>
        <v>1</v>
      </c>
      <c r="S464">
        <v>0.98580497503280595</v>
      </c>
      <c r="T464">
        <f t="shared" si="49"/>
        <v>1</v>
      </c>
      <c r="U464" s="1">
        <v>0.43477391999999998</v>
      </c>
      <c r="V464">
        <v>1</v>
      </c>
      <c r="X464">
        <v>0</v>
      </c>
    </row>
    <row r="465" spans="1:24">
      <c r="A465" s="1">
        <v>1</v>
      </c>
      <c r="B465" s="1" t="s">
        <v>465</v>
      </c>
      <c r="C465" s="1">
        <v>1</v>
      </c>
      <c r="D465" s="33">
        <v>1</v>
      </c>
      <c r="E465" s="37">
        <v>1</v>
      </c>
      <c r="F465" s="37">
        <v>1</v>
      </c>
      <c r="G465">
        <v>0.94386184200000001</v>
      </c>
      <c r="H465">
        <f t="shared" si="46"/>
        <v>1</v>
      </c>
      <c r="I465" s="85">
        <v>0.99997866153716997</v>
      </c>
      <c r="J465">
        <f t="shared" si="47"/>
        <v>1</v>
      </c>
      <c r="K465" s="86">
        <v>0.303794205188751</v>
      </c>
      <c r="L465">
        <f t="shared" si="48"/>
        <v>0</v>
      </c>
      <c r="M465">
        <v>0.99113279581069902</v>
      </c>
      <c r="N465">
        <f t="shared" si="48"/>
        <v>1</v>
      </c>
      <c r="O465">
        <v>0.99369806051254295</v>
      </c>
      <c r="P465">
        <f t="shared" si="48"/>
        <v>1</v>
      </c>
      <c r="Q465">
        <v>0.56390655000000001</v>
      </c>
      <c r="R465">
        <f t="shared" si="48"/>
        <v>1</v>
      </c>
      <c r="S465">
        <v>0.41832235455513</v>
      </c>
      <c r="T465">
        <f t="shared" si="49"/>
        <v>0</v>
      </c>
      <c r="U465" s="1">
        <v>0.36162697999999999</v>
      </c>
      <c r="V465">
        <v>1</v>
      </c>
      <c r="X465">
        <v>0</v>
      </c>
    </row>
    <row r="466" spans="1:24">
      <c r="A466" s="1">
        <v>1</v>
      </c>
      <c r="B466" s="1" t="s">
        <v>466</v>
      </c>
      <c r="C466" s="1">
        <v>1</v>
      </c>
      <c r="D466" s="33">
        <v>1</v>
      </c>
      <c r="E466" s="37">
        <v>1</v>
      </c>
      <c r="F466" s="37">
        <v>1</v>
      </c>
      <c r="G466">
        <v>0.83342045499999995</v>
      </c>
      <c r="H466">
        <f t="shared" si="46"/>
        <v>1</v>
      </c>
      <c r="I466" s="85">
        <v>0.97984522581100397</v>
      </c>
      <c r="J466">
        <f t="shared" si="47"/>
        <v>1</v>
      </c>
      <c r="K466" s="86">
        <v>0.59496039152145297</v>
      </c>
      <c r="L466">
        <f t="shared" si="48"/>
        <v>1</v>
      </c>
      <c r="M466">
        <v>0.90498536825179998</v>
      </c>
      <c r="N466">
        <f t="shared" si="48"/>
        <v>1</v>
      </c>
      <c r="O466">
        <v>0.97659164667129505</v>
      </c>
      <c r="P466">
        <f t="shared" si="48"/>
        <v>1</v>
      </c>
      <c r="Q466">
        <v>0.69008254999999996</v>
      </c>
      <c r="R466">
        <f t="shared" si="48"/>
        <v>1</v>
      </c>
      <c r="S466">
        <v>0.99977403879165605</v>
      </c>
      <c r="T466">
        <f t="shared" si="49"/>
        <v>1</v>
      </c>
      <c r="U466" s="1">
        <v>0.48172959999999998</v>
      </c>
      <c r="V466">
        <v>1</v>
      </c>
      <c r="X466">
        <v>0</v>
      </c>
    </row>
    <row r="467" spans="1:24">
      <c r="A467" s="1">
        <v>1</v>
      </c>
      <c r="B467" s="1" t="s">
        <v>467</v>
      </c>
      <c r="C467" s="1">
        <v>1</v>
      </c>
      <c r="D467" s="33">
        <v>1</v>
      </c>
      <c r="E467" s="37">
        <v>1</v>
      </c>
      <c r="F467" s="37">
        <v>1</v>
      </c>
      <c r="G467">
        <v>0.72619187799999996</v>
      </c>
      <c r="H467">
        <f t="shared" si="46"/>
        <v>1</v>
      </c>
      <c r="I467" s="85">
        <v>0.77924114465713501</v>
      </c>
      <c r="J467">
        <f t="shared" si="47"/>
        <v>1</v>
      </c>
      <c r="K467" s="86">
        <v>0.903403460979461</v>
      </c>
      <c r="L467">
        <f t="shared" si="48"/>
        <v>1</v>
      </c>
      <c r="M467">
        <v>0.93315333127975397</v>
      </c>
      <c r="N467">
        <f t="shared" si="48"/>
        <v>1</v>
      </c>
      <c r="O467">
        <v>0.71271675825118996</v>
      </c>
      <c r="P467">
        <f t="shared" si="48"/>
        <v>1</v>
      </c>
      <c r="Q467">
        <v>0.49497613299999998</v>
      </c>
      <c r="R467">
        <f t="shared" si="48"/>
        <v>0</v>
      </c>
      <c r="S467">
        <v>0.357463389635086</v>
      </c>
      <c r="T467">
        <f t="shared" si="49"/>
        <v>0</v>
      </c>
      <c r="U467" s="1">
        <v>0.30718327000000001</v>
      </c>
      <c r="V467">
        <v>1</v>
      </c>
      <c r="X467">
        <v>0</v>
      </c>
    </row>
    <row r="468" spans="1:24">
      <c r="A468" s="1">
        <v>1</v>
      </c>
      <c r="B468" s="1" t="s">
        <v>468</v>
      </c>
      <c r="C468" s="1">
        <v>1</v>
      </c>
      <c r="D468" s="33">
        <v>1</v>
      </c>
      <c r="E468" s="37">
        <v>1</v>
      </c>
      <c r="F468" s="37">
        <v>1</v>
      </c>
      <c r="G468">
        <v>0.88773530700000003</v>
      </c>
      <c r="H468">
        <f t="shared" si="46"/>
        <v>1</v>
      </c>
      <c r="I468" s="85">
        <v>0.99992060661315896</v>
      </c>
      <c r="J468">
        <f t="shared" si="47"/>
        <v>1</v>
      </c>
      <c r="K468" s="86">
        <v>0.72954112291336004</v>
      </c>
      <c r="L468">
        <f t="shared" si="48"/>
        <v>1</v>
      </c>
      <c r="M468">
        <v>0.96592229604721103</v>
      </c>
      <c r="N468">
        <f t="shared" si="48"/>
        <v>1</v>
      </c>
      <c r="O468">
        <v>0.90209668874740601</v>
      </c>
      <c r="P468">
        <f t="shared" si="48"/>
        <v>1</v>
      </c>
      <c r="Q468">
        <v>0.65503698600000004</v>
      </c>
      <c r="R468">
        <f t="shared" si="48"/>
        <v>1</v>
      </c>
      <c r="S468">
        <v>0.99998116493225098</v>
      </c>
      <c r="T468">
        <f t="shared" si="49"/>
        <v>1</v>
      </c>
      <c r="U468" s="1">
        <v>0.49934128</v>
      </c>
      <c r="V468">
        <v>1</v>
      </c>
      <c r="X468">
        <v>0</v>
      </c>
    </row>
    <row r="469" spans="1:24">
      <c r="A469" s="1">
        <v>1</v>
      </c>
      <c r="B469" s="1" t="s">
        <v>469</v>
      </c>
      <c r="C469" s="1">
        <v>1</v>
      </c>
      <c r="D469" s="33">
        <v>0</v>
      </c>
      <c r="E469" s="36">
        <v>0</v>
      </c>
      <c r="F469" s="37">
        <v>1</v>
      </c>
      <c r="G469">
        <v>0.94577294599999995</v>
      </c>
      <c r="H469">
        <f t="shared" si="46"/>
        <v>1</v>
      </c>
      <c r="I469" s="85">
        <v>0.99103546142578103</v>
      </c>
      <c r="J469">
        <f t="shared" si="47"/>
        <v>1</v>
      </c>
      <c r="K469" s="86">
        <v>0.90115290880203203</v>
      </c>
      <c r="L469">
        <f t="shared" si="48"/>
        <v>1</v>
      </c>
      <c r="M469">
        <v>0.98715394735336304</v>
      </c>
      <c r="N469">
        <f t="shared" si="48"/>
        <v>1</v>
      </c>
      <c r="O469">
        <v>0.966782987117767</v>
      </c>
      <c r="P469">
        <f t="shared" si="48"/>
        <v>1</v>
      </c>
      <c r="Q469">
        <v>0.80729174599999998</v>
      </c>
      <c r="R469">
        <f t="shared" si="48"/>
        <v>1</v>
      </c>
      <c r="S469">
        <v>0.97499334812164296</v>
      </c>
      <c r="T469">
        <f t="shared" si="49"/>
        <v>1</v>
      </c>
      <c r="U469" s="1">
        <v>0.29348960000000002</v>
      </c>
      <c r="V469">
        <v>1</v>
      </c>
      <c r="X469">
        <v>0</v>
      </c>
    </row>
  </sheetData>
  <autoFilter ref="A20:X469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workbookViewId="0">
      <selection activeCell="A13" sqref="A13:XFD13"/>
    </sheetView>
  </sheetViews>
  <sheetFormatPr defaultRowHeight="17"/>
  <sheetData>
    <row r="1" spans="1:19">
      <c r="A1" t="s">
        <v>503</v>
      </c>
      <c r="B1" t="s">
        <v>504</v>
      </c>
      <c r="C1" t="s">
        <v>505</v>
      </c>
      <c r="D1" t="s">
        <v>506</v>
      </c>
      <c r="E1" t="s">
        <v>507</v>
      </c>
      <c r="F1" t="s">
        <v>508</v>
      </c>
      <c r="G1" t="s">
        <v>509</v>
      </c>
      <c r="H1" t="s">
        <v>510</v>
      </c>
      <c r="I1" t="s">
        <v>511</v>
      </c>
      <c r="J1" t="s">
        <v>512</v>
      </c>
      <c r="K1" t="s">
        <v>513</v>
      </c>
      <c r="L1" t="s">
        <v>514</v>
      </c>
      <c r="M1" t="s">
        <v>515</v>
      </c>
      <c r="N1" t="s">
        <v>516</v>
      </c>
      <c r="O1" t="s">
        <v>517</v>
      </c>
    </row>
    <row r="2" spans="1:19">
      <c r="A2">
        <v>0.5</v>
      </c>
      <c r="B2">
        <v>226</v>
      </c>
    </row>
    <row r="3" spans="1:19">
      <c r="B3" t="s">
        <v>518</v>
      </c>
    </row>
    <row r="4" spans="1:19">
      <c r="B4">
        <v>218</v>
      </c>
    </row>
    <row r="5" spans="1:19">
      <c r="A5" t="s">
        <v>519</v>
      </c>
      <c r="B5" t="s">
        <v>520</v>
      </c>
      <c r="C5">
        <v>188</v>
      </c>
      <c r="D5">
        <v>38</v>
      </c>
      <c r="E5">
        <v>41</v>
      </c>
      <c r="F5">
        <v>177</v>
      </c>
      <c r="G5">
        <v>229</v>
      </c>
      <c r="H5">
        <v>215</v>
      </c>
      <c r="I5">
        <v>226</v>
      </c>
      <c r="J5">
        <v>218</v>
      </c>
      <c r="K5" s="53">
        <v>0.82207207207207211</v>
      </c>
      <c r="L5" s="53">
        <v>0.83185840707964598</v>
      </c>
      <c r="M5" s="53">
        <v>0.81192660550458717</v>
      </c>
      <c r="N5" s="53">
        <v>0.82096069868995636</v>
      </c>
      <c r="O5" s="53">
        <v>0.82325581395348835</v>
      </c>
    </row>
    <row r="6" spans="1:19">
      <c r="A6" t="s">
        <v>521</v>
      </c>
      <c r="B6" t="s">
        <v>522</v>
      </c>
      <c r="C6">
        <v>203</v>
      </c>
      <c r="D6">
        <v>23</v>
      </c>
      <c r="E6">
        <v>30</v>
      </c>
      <c r="F6">
        <v>188</v>
      </c>
      <c r="G6">
        <v>233</v>
      </c>
      <c r="H6">
        <v>211</v>
      </c>
      <c r="I6">
        <v>226</v>
      </c>
      <c r="J6">
        <v>218</v>
      </c>
      <c r="K6" s="53">
        <v>0.88063063063063063</v>
      </c>
      <c r="L6" s="53">
        <v>0.89823008849557517</v>
      </c>
      <c r="M6" s="53">
        <v>0.86238532110091748</v>
      </c>
      <c r="N6" s="53">
        <v>0.871244635193133</v>
      </c>
      <c r="O6" s="53">
        <v>0.89099526066350709</v>
      </c>
      <c r="P6" t="s">
        <v>523</v>
      </c>
    </row>
    <row r="7" spans="1:19">
      <c r="A7" t="s">
        <v>524</v>
      </c>
      <c r="B7" t="s">
        <v>525</v>
      </c>
      <c r="C7">
        <v>221</v>
      </c>
      <c r="D7">
        <v>5</v>
      </c>
      <c r="E7">
        <v>23</v>
      </c>
      <c r="F7">
        <v>195</v>
      </c>
      <c r="G7">
        <v>244</v>
      </c>
      <c r="H7">
        <v>200</v>
      </c>
      <c r="I7">
        <v>226</v>
      </c>
      <c r="J7">
        <v>218</v>
      </c>
      <c r="K7" s="53">
        <v>0.93693693693693691</v>
      </c>
      <c r="L7" s="53">
        <v>0.97787610619469023</v>
      </c>
      <c r="M7" s="53">
        <v>0.89449541284403666</v>
      </c>
      <c r="N7" s="53">
        <v>0.90573770491803274</v>
      </c>
      <c r="O7" s="53">
        <v>0.97499999999999998</v>
      </c>
    </row>
    <row r="8" spans="1:19">
      <c r="A8" s="48"/>
      <c r="B8" s="48" t="s">
        <v>526</v>
      </c>
      <c r="C8" s="48">
        <v>204</v>
      </c>
      <c r="D8" s="48">
        <v>22</v>
      </c>
      <c r="E8" s="48">
        <v>26</v>
      </c>
      <c r="F8" s="48">
        <v>192</v>
      </c>
      <c r="G8" s="48">
        <v>230</v>
      </c>
      <c r="H8" s="48">
        <v>214</v>
      </c>
      <c r="I8" s="48">
        <v>226</v>
      </c>
      <c r="J8" s="48">
        <v>218</v>
      </c>
      <c r="K8" s="54">
        <v>0.89189189189189189</v>
      </c>
      <c r="L8" s="54">
        <v>0.90265486725663713</v>
      </c>
      <c r="M8" s="54">
        <v>0.88073394495412849</v>
      </c>
      <c r="N8" s="54">
        <v>0.88695652173913042</v>
      </c>
      <c r="O8" s="54">
        <v>0.89719626168224298</v>
      </c>
      <c r="P8" t="s">
        <v>527</v>
      </c>
    </row>
    <row r="9" spans="1:19">
      <c r="B9" t="s">
        <v>528</v>
      </c>
      <c r="C9">
        <v>194</v>
      </c>
      <c r="D9">
        <v>32</v>
      </c>
      <c r="E9">
        <v>21</v>
      </c>
      <c r="F9">
        <v>197</v>
      </c>
      <c r="G9">
        <v>215</v>
      </c>
      <c r="H9">
        <v>229</v>
      </c>
      <c r="I9">
        <v>226</v>
      </c>
      <c r="J9">
        <v>218</v>
      </c>
      <c r="K9" s="53">
        <v>0.88063063063063063</v>
      </c>
      <c r="L9" s="53">
        <v>0.8584070796460177</v>
      </c>
      <c r="M9" s="53">
        <v>0.90366972477064222</v>
      </c>
      <c r="N9" s="53">
        <v>0.9023255813953488</v>
      </c>
      <c r="O9" s="53">
        <v>0.86026200873362446</v>
      </c>
    </row>
    <row r="10" spans="1:19">
      <c r="B10" t="s">
        <v>529</v>
      </c>
      <c r="C10">
        <v>195</v>
      </c>
      <c r="D10">
        <v>31</v>
      </c>
      <c r="E10">
        <v>25</v>
      </c>
      <c r="F10">
        <v>193</v>
      </c>
      <c r="G10">
        <v>220</v>
      </c>
      <c r="H10">
        <v>224</v>
      </c>
      <c r="I10">
        <v>226</v>
      </c>
      <c r="J10">
        <v>218</v>
      </c>
      <c r="K10" s="53">
        <v>0.87387387387387383</v>
      </c>
      <c r="L10" s="53">
        <v>0.86283185840707965</v>
      </c>
      <c r="M10" s="53">
        <v>0.88532110091743121</v>
      </c>
      <c r="N10" s="53">
        <v>0.88636363636363635</v>
      </c>
      <c r="O10" s="53">
        <v>0.8616071428571429</v>
      </c>
    </row>
    <row r="11" spans="1:19">
      <c r="B11" t="s">
        <v>530</v>
      </c>
      <c r="C11">
        <v>190</v>
      </c>
      <c r="D11">
        <v>36</v>
      </c>
      <c r="E11">
        <v>21</v>
      </c>
      <c r="F11">
        <v>197</v>
      </c>
      <c r="G11">
        <v>211</v>
      </c>
      <c r="H11">
        <v>233</v>
      </c>
      <c r="I11">
        <v>226</v>
      </c>
      <c r="J11">
        <v>218</v>
      </c>
      <c r="K11" s="53">
        <v>0.8716216216216216</v>
      </c>
      <c r="L11" s="53">
        <v>0.84070796460176989</v>
      </c>
      <c r="M11" s="53">
        <v>0.90366972477064222</v>
      </c>
      <c r="N11" s="53">
        <v>0.90047393364928907</v>
      </c>
      <c r="O11" s="53">
        <v>0.84549356223175964</v>
      </c>
    </row>
    <row r="12" spans="1:19">
      <c r="B12" t="s">
        <v>531</v>
      </c>
      <c r="C12">
        <v>202</v>
      </c>
      <c r="D12">
        <v>24</v>
      </c>
      <c r="E12">
        <v>29</v>
      </c>
      <c r="F12">
        <v>189</v>
      </c>
      <c r="G12">
        <v>231</v>
      </c>
      <c r="H12">
        <v>213</v>
      </c>
      <c r="I12">
        <v>226</v>
      </c>
      <c r="J12">
        <v>218</v>
      </c>
      <c r="K12" s="53">
        <v>0.88063063063063063</v>
      </c>
      <c r="L12" s="53">
        <v>0.89380530973451322</v>
      </c>
      <c r="M12" s="53">
        <v>0.8669724770642202</v>
      </c>
      <c r="N12" s="53">
        <v>0.87445887445887449</v>
      </c>
      <c r="O12" s="53">
        <v>0.88732394366197187</v>
      </c>
    </row>
    <row r="13" spans="1:19">
      <c r="B13" t="s">
        <v>532</v>
      </c>
      <c r="C13">
        <v>197</v>
      </c>
      <c r="D13">
        <v>29</v>
      </c>
      <c r="E13">
        <v>29</v>
      </c>
      <c r="F13">
        <v>189</v>
      </c>
      <c r="G13">
        <v>226</v>
      </c>
      <c r="H13">
        <v>218</v>
      </c>
      <c r="I13">
        <v>226</v>
      </c>
      <c r="J13">
        <v>218</v>
      </c>
      <c r="K13" s="53">
        <v>0.86936936936936937</v>
      </c>
      <c r="L13" s="53">
        <v>0.87168141592920356</v>
      </c>
      <c r="M13" s="53">
        <v>0.8669724770642202</v>
      </c>
      <c r="N13" s="53">
        <v>0.87168141592920356</v>
      </c>
      <c r="O13" s="53">
        <v>0.8669724770642202</v>
      </c>
    </row>
    <row r="14" spans="1:19">
      <c r="B14" t="s">
        <v>533</v>
      </c>
      <c r="C14">
        <v>183</v>
      </c>
      <c r="D14">
        <v>43</v>
      </c>
      <c r="E14">
        <v>20</v>
      </c>
      <c r="F14">
        <v>198</v>
      </c>
      <c r="G14">
        <v>203</v>
      </c>
      <c r="H14">
        <v>241</v>
      </c>
      <c r="I14">
        <v>226</v>
      </c>
      <c r="J14">
        <v>218</v>
      </c>
      <c r="K14" s="53">
        <v>0.85810810810810811</v>
      </c>
      <c r="L14" s="53">
        <v>0.80973451327433632</v>
      </c>
      <c r="M14" s="53">
        <v>0.90825688073394495</v>
      </c>
      <c r="N14" s="53">
        <v>0.90147783251231528</v>
      </c>
      <c r="O14" s="53">
        <v>0.82157676348547715</v>
      </c>
    </row>
    <row r="16" spans="1:19">
      <c r="C16" t="s">
        <v>534</v>
      </c>
      <c r="G16">
        <v>1.9986999999999999</v>
      </c>
      <c r="I16">
        <v>2.0716999999999999</v>
      </c>
      <c r="K16">
        <v>1.8082</v>
      </c>
      <c r="M16">
        <v>1.7839</v>
      </c>
      <c r="O16">
        <v>2.1819999999999999</v>
      </c>
      <c r="Q16">
        <v>1.6739999999999999</v>
      </c>
      <c r="S16">
        <v>1.5251999999999999</v>
      </c>
    </row>
    <row r="17" spans="3:19">
      <c r="C17" t="s">
        <v>535</v>
      </c>
      <c r="G17">
        <v>0.9587</v>
      </c>
      <c r="I17">
        <v>1.0163</v>
      </c>
      <c r="K17">
        <v>0.83709999999999996</v>
      </c>
      <c r="M17">
        <v>0.83160000000000001</v>
      </c>
      <c r="O17">
        <v>1.0685</v>
      </c>
      <c r="Q17">
        <v>0.83350000000000002</v>
      </c>
      <c r="S17">
        <v>0.67100000000000004</v>
      </c>
    </row>
    <row r="18" spans="3:19">
      <c r="C18" t="s">
        <v>536</v>
      </c>
      <c r="G18">
        <v>0.92549999999999999</v>
      </c>
      <c r="I18">
        <v>0.92689999999999995</v>
      </c>
      <c r="K18">
        <v>0.91720000000000002</v>
      </c>
      <c r="M18">
        <v>0.91490000000000005</v>
      </c>
      <c r="O18">
        <v>0.93200000000000005</v>
      </c>
      <c r="Q18">
        <v>0.90439999999999998</v>
      </c>
      <c r="S18">
        <v>0.89729999999999999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statistics</vt:lpstr>
      <vt:lpstr>BM_modify</vt:lpstr>
      <vt:lpstr>BM_2D_result</vt:lpstr>
      <vt:lpstr>val=test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鈞 張</dc:creator>
  <cp:lastModifiedBy>kiara</cp:lastModifiedBy>
  <dcterms:created xsi:type="dcterms:W3CDTF">2020-07-17T01:39:02Z</dcterms:created>
  <dcterms:modified xsi:type="dcterms:W3CDTF">2022-05-09T11:13:04Z</dcterms:modified>
</cp:coreProperties>
</file>