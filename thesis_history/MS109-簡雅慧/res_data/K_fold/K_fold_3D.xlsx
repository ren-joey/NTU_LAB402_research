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AD lab\Thesis\kiara\supplement\"/>
    </mc:Choice>
  </mc:AlternateContent>
  <bookViews>
    <workbookView xWindow="0" yWindow="0" windowWidth="9630" windowHeight="4130" activeTab="2"/>
  </bookViews>
  <sheets>
    <sheet name="statistics" sheetId="19" r:id="rId1"/>
    <sheet name="BM_modify" sheetId="1" r:id="rId2"/>
    <sheet name="BM_3D_result" sheetId="4" r:id="rId3"/>
    <sheet name="3D_mass" sheetId="20" r:id="rId4"/>
    <sheet name="3D_nonmass" sheetId="21" r:id="rId5"/>
    <sheet name="val=test" sheetId="18" r:id="rId6"/>
  </sheets>
  <definedNames>
    <definedName name="_xlnm._FilterDatabase" localSheetId="2" hidden="1">BM_3D_result!$A$21:$X$470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4" i="21" l="1"/>
  <c r="R64" i="21"/>
  <c r="P64" i="21"/>
  <c r="N64" i="21"/>
  <c r="L64" i="21"/>
  <c r="J64" i="21"/>
  <c r="H64" i="21"/>
  <c r="T63" i="21"/>
  <c r="R63" i="21"/>
  <c r="P63" i="21"/>
  <c r="N63" i="21"/>
  <c r="L63" i="21"/>
  <c r="J63" i="21"/>
  <c r="H63" i="21"/>
  <c r="T62" i="21"/>
  <c r="R62" i="21"/>
  <c r="P62" i="21"/>
  <c r="N62" i="21"/>
  <c r="L62" i="21"/>
  <c r="J62" i="21"/>
  <c r="H62" i="21"/>
  <c r="T61" i="21"/>
  <c r="R61" i="21"/>
  <c r="P61" i="21"/>
  <c r="N61" i="21"/>
  <c r="L61" i="21"/>
  <c r="J61" i="21"/>
  <c r="H61" i="21"/>
  <c r="T60" i="21"/>
  <c r="R60" i="21"/>
  <c r="P60" i="21"/>
  <c r="N60" i="21"/>
  <c r="L60" i="21"/>
  <c r="J60" i="21"/>
  <c r="H60" i="21"/>
  <c r="T58" i="21"/>
  <c r="R58" i="21"/>
  <c r="P58" i="21"/>
  <c r="N58" i="21"/>
  <c r="L58" i="21"/>
  <c r="J58" i="21"/>
  <c r="H58" i="21"/>
  <c r="T57" i="21"/>
  <c r="R57" i="21"/>
  <c r="P57" i="21"/>
  <c r="N57" i="21"/>
  <c r="L57" i="21"/>
  <c r="J57" i="21"/>
  <c r="H57" i="21"/>
  <c r="T56" i="21"/>
  <c r="R56" i="21"/>
  <c r="P56" i="21"/>
  <c r="N56" i="21"/>
  <c r="L56" i="21"/>
  <c r="J56" i="21"/>
  <c r="H56" i="21"/>
  <c r="T55" i="21"/>
  <c r="R55" i="21"/>
  <c r="P55" i="21"/>
  <c r="N55" i="21"/>
  <c r="L55" i="21"/>
  <c r="J55" i="21"/>
  <c r="H55" i="21"/>
  <c r="T54" i="21"/>
  <c r="R54" i="21"/>
  <c r="P54" i="21"/>
  <c r="N54" i="21"/>
  <c r="L54" i="21"/>
  <c r="J54" i="21"/>
  <c r="H54" i="21"/>
  <c r="T53" i="21"/>
  <c r="R53" i="21"/>
  <c r="P53" i="21"/>
  <c r="N53" i="21"/>
  <c r="L53" i="21"/>
  <c r="J53" i="21"/>
  <c r="H53" i="21"/>
  <c r="T52" i="21"/>
  <c r="R52" i="21"/>
  <c r="P52" i="21"/>
  <c r="N52" i="21"/>
  <c r="L52" i="21"/>
  <c r="J52" i="21"/>
  <c r="H52" i="21"/>
  <c r="T50" i="21"/>
  <c r="R50" i="21"/>
  <c r="P50" i="21"/>
  <c r="N50" i="21"/>
  <c r="L50" i="21"/>
  <c r="J50" i="21"/>
  <c r="H50" i="21"/>
  <c r="T49" i="21"/>
  <c r="R49" i="21"/>
  <c r="P49" i="21"/>
  <c r="N49" i="21"/>
  <c r="L49" i="21"/>
  <c r="J49" i="21"/>
  <c r="H49" i="21"/>
  <c r="T48" i="21"/>
  <c r="R48" i="21"/>
  <c r="P48" i="21"/>
  <c r="N48" i="21"/>
  <c r="L48" i="21"/>
  <c r="J48" i="21"/>
  <c r="H48" i="21"/>
  <c r="T47" i="21"/>
  <c r="R47" i="21"/>
  <c r="P47" i="21"/>
  <c r="N47" i="21"/>
  <c r="L47" i="21"/>
  <c r="J47" i="21"/>
  <c r="H47" i="21"/>
  <c r="T46" i="21"/>
  <c r="R46" i="21"/>
  <c r="P46" i="21"/>
  <c r="N46" i="21"/>
  <c r="L46" i="21"/>
  <c r="J46" i="21"/>
  <c r="H46" i="21"/>
  <c r="T45" i="21"/>
  <c r="R45" i="21"/>
  <c r="P45" i="21"/>
  <c r="N45" i="21"/>
  <c r="L45" i="21"/>
  <c r="J45" i="21"/>
  <c r="H45" i="21"/>
  <c r="T44" i="21"/>
  <c r="R44" i="21"/>
  <c r="P44" i="21"/>
  <c r="N44" i="21"/>
  <c r="L44" i="21"/>
  <c r="J44" i="21"/>
  <c r="H44" i="21"/>
  <c r="T43" i="21"/>
  <c r="R43" i="21"/>
  <c r="P43" i="21"/>
  <c r="N43" i="21"/>
  <c r="L43" i="21"/>
  <c r="J43" i="21"/>
  <c r="H43" i="21"/>
  <c r="T42" i="21"/>
  <c r="R42" i="21"/>
  <c r="P42" i="21"/>
  <c r="N42" i="21"/>
  <c r="L42" i="21"/>
  <c r="J42" i="21"/>
  <c r="H42" i="21"/>
  <c r="T41" i="21"/>
  <c r="R41" i="21"/>
  <c r="P41" i="21"/>
  <c r="N41" i="21"/>
  <c r="L41" i="21"/>
  <c r="J41" i="21"/>
  <c r="H41" i="21"/>
  <c r="T40" i="21"/>
  <c r="R40" i="21"/>
  <c r="P40" i="21"/>
  <c r="N40" i="21"/>
  <c r="L40" i="21"/>
  <c r="J40" i="21"/>
  <c r="H40" i="21"/>
  <c r="T38" i="21"/>
  <c r="R38" i="21"/>
  <c r="P38" i="21"/>
  <c r="N38" i="21"/>
  <c r="L38" i="21"/>
  <c r="J38" i="21"/>
  <c r="H38" i="21"/>
  <c r="T37" i="21"/>
  <c r="R37" i="21"/>
  <c r="P37" i="21"/>
  <c r="N37" i="21"/>
  <c r="L37" i="21"/>
  <c r="J37" i="21"/>
  <c r="H37" i="21"/>
  <c r="T36" i="21"/>
  <c r="R36" i="21"/>
  <c r="P36" i="21"/>
  <c r="N36" i="21"/>
  <c r="L36" i="21"/>
  <c r="J36" i="21"/>
  <c r="H36" i="21"/>
  <c r="T35" i="21"/>
  <c r="R35" i="21"/>
  <c r="P35" i="21"/>
  <c r="N35" i="21"/>
  <c r="L35" i="21"/>
  <c r="J35" i="21"/>
  <c r="H35" i="21"/>
  <c r="T34" i="21"/>
  <c r="R34" i="21"/>
  <c r="P34" i="21"/>
  <c r="N34" i="21"/>
  <c r="L34" i="21"/>
  <c r="J34" i="21"/>
  <c r="H34" i="21"/>
  <c r="T33" i="21"/>
  <c r="R33" i="21"/>
  <c r="P33" i="21"/>
  <c r="N33" i="21"/>
  <c r="L33" i="21"/>
  <c r="J33" i="21"/>
  <c r="H33" i="21"/>
  <c r="T32" i="21"/>
  <c r="R32" i="21"/>
  <c r="P32" i="21"/>
  <c r="N32" i="21"/>
  <c r="L32" i="21"/>
  <c r="J32" i="21"/>
  <c r="H32" i="21"/>
  <c r="T31" i="21"/>
  <c r="R31" i="21"/>
  <c r="P31" i="21"/>
  <c r="N31" i="21"/>
  <c r="L31" i="21"/>
  <c r="J31" i="21"/>
  <c r="H31" i="21"/>
  <c r="T29" i="21"/>
  <c r="R29" i="21"/>
  <c r="P29" i="21"/>
  <c r="N29" i="21"/>
  <c r="L29" i="21"/>
  <c r="J29" i="21"/>
  <c r="H29" i="21"/>
  <c r="T28" i="21"/>
  <c r="R28" i="21"/>
  <c r="P28" i="21"/>
  <c r="N28" i="21"/>
  <c r="L28" i="21"/>
  <c r="J28" i="21"/>
  <c r="H28" i="21"/>
  <c r="T27" i="21"/>
  <c r="R27" i="21"/>
  <c r="P27" i="21"/>
  <c r="N27" i="21"/>
  <c r="L27" i="21"/>
  <c r="J27" i="21"/>
  <c r="H27" i="21"/>
  <c r="T26" i="21"/>
  <c r="R26" i="21"/>
  <c r="P26" i="21"/>
  <c r="N26" i="21"/>
  <c r="L26" i="21"/>
  <c r="J26" i="21"/>
  <c r="H26" i="21"/>
  <c r="T25" i="21"/>
  <c r="R25" i="21"/>
  <c r="P25" i="21"/>
  <c r="N25" i="21"/>
  <c r="L25" i="21"/>
  <c r="J25" i="21"/>
  <c r="H25" i="21"/>
  <c r="T24" i="21"/>
  <c r="R24" i="21"/>
  <c r="P24" i="21"/>
  <c r="N24" i="21"/>
  <c r="L24" i="21"/>
  <c r="J24" i="21"/>
  <c r="H24" i="21"/>
  <c r="T23" i="21"/>
  <c r="R23" i="21"/>
  <c r="P23" i="21"/>
  <c r="N23" i="21"/>
  <c r="L23" i="21"/>
  <c r="J23" i="21"/>
  <c r="H23" i="21"/>
  <c r="F15" i="21"/>
  <c r="E15" i="21"/>
  <c r="D15" i="21"/>
  <c r="C15" i="21"/>
  <c r="F7" i="21"/>
  <c r="E7" i="21"/>
  <c r="D7" i="21"/>
  <c r="C7" i="21"/>
  <c r="F6" i="21"/>
  <c r="E6" i="21"/>
  <c r="D6" i="21"/>
  <c r="C6" i="21"/>
  <c r="F5" i="21"/>
  <c r="E5" i="21"/>
  <c r="D5" i="21"/>
  <c r="C5" i="21"/>
  <c r="B4" i="21"/>
  <c r="B2" i="21"/>
  <c r="T432" i="20"/>
  <c r="R432" i="20"/>
  <c r="P432" i="20"/>
  <c r="N432" i="20"/>
  <c r="L432" i="20"/>
  <c r="J432" i="20"/>
  <c r="H432" i="20"/>
  <c r="T431" i="20"/>
  <c r="R431" i="20"/>
  <c r="P431" i="20"/>
  <c r="N431" i="20"/>
  <c r="L431" i="20"/>
  <c r="J431" i="20"/>
  <c r="H431" i="20"/>
  <c r="T430" i="20"/>
  <c r="R430" i="20"/>
  <c r="P430" i="20"/>
  <c r="N430" i="20"/>
  <c r="L430" i="20"/>
  <c r="J430" i="20"/>
  <c r="H430" i="20"/>
  <c r="T429" i="20"/>
  <c r="R429" i="20"/>
  <c r="P429" i="20"/>
  <c r="N429" i="20"/>
  <c r="L429" i="20"/>
  <c r="J429" i="20"/>
  <c r="H429" i="20"/>
  <c r="T428" i="20"/>
  <c r="R428" i="20"/>
  <c r="P428" i="20"/>
  <c r="N428" i="20"/>
  <c r="L428" i="20"/>
  <c r="J428" i="20"/>
  <c r="H428" i="20"/>
  <c r="T427" i="20"/>
  <c r="R427" i="20"/>
  <c r="P427" i="20"/>
  <c r="N427" i="20"/>
  <c r="L427" i="20"/>
  <c r="J427" i="20"/>
  <c r="H427" i="20"/>
  <c r="T426" i="20"/>
  <c r="R426" i="20"/>
  <c r="P426" i="20"/>
  <c r="N426" i="20"/>
  <c r="L426" i="20"/>
  <c r="J426" i="20"/>
  <c r="H426" i="20"/>
  <c r="T425" i="20"/>
  <c r="R425" i="20"/>
  <c r="P425" i="20"/>
  <c r="N425" i="20"/>
  <c r="L425" i="20"/>
  <c r="J425" i="20"/>
  <c r="H425" i="20"/>
  <c r="T424" i="20"/>
  <c r="R424" i="20"/>
  <c r="P424" i="20"/>
  <c r="N424" i="20"/>
  <c r="L424" i="20"/>
  <c r="J424" i="20"/>
  <c r="H424" i="20"/>
  <c r="T423" i="20"/>
  <c r="R423" i="20"/>
  <c r="P423" i="20"/>
  <c r="N423" i="20"/>
  <c r="L423" i="20"/>
  <c r="J423" i="20"/>
  <c r="H423" i="20"/>
  <c r="T422" i="20"/>
  <c r="R422" i="20"/>
  <c r="P422" i="20"/>
  <c r="N422" i="20"/>
  <c r="L422" i="20"/>
  <c r="J422" i="20"/>
  <c r="H422" i="20"/>
  <c r="T421" i="20"/>
  <c r="R421" i="20"/>
  <c r="P421" i="20"/>
  <c r="N421" i="20"/>
  <c r="L421" i="20"/>
  <c r="J421" i="20"/>
  <c r="H421" i="20"/>
  <c r="T420" i="20"/>
  <c r="R420" i="20"/>
  <c r="P420" i="20"/>
  <c r="N420" i="20"/>
  <c r="L420" i="20"/>
  <c r="J420" i="20"/>
  <c r="H420" i="20"/>
  <c r="T419" i="20"/>
  <c r="R419" i="20"/>
  <c r="P419" i="20"/>
  <c r="N419" i="20"/>
  <c r="L419" i="20"/>
  <c r="J419" i="20"/>
  <c r="H419" i="20"/>
  <c r="T418" i="20"/>
  <c r="R418" i="20"/>
  <c r="P418" i="20"/>
  <c r="N418" i="20"/>
  <c r="L418" i="20"/>
  <c r="J418" i="20"/>
  <c r="H418" i="20"/>
  <c r="T417" i="20"/>
  <c r="R417" i="20"/>
  <c r="P417" i="20"/>
  <c r="N417" i="20"/>
  <c r="L417" i="20"/>
  <c r="J417" i="20"/>
  <c r="H417" i="20"/>
  <c r="T416" i="20"/>
  <c r="R416" i="20"/>
  <c r="P416" i="20"/>
  <c r="N416" i="20"/>
  <c r="L416" i="20"/>
  <c r="J416" i="20"/>
  <c r="H416" i="20"/>
  <c r="T415" i="20"/>
  <c r="R415" i="20"/>
  <c r="P415" i="20"/>
  <c r="N415" i="20"/>
  <c r="L415" i="20"/>
  <c r="J415" i="20"/>
  <c r="H415" i="20"/>
  <c r="T414" i="20"/>
  <c r="R414" i="20"/>
  <c r="P414" i="20"/>
  <c r="N414" i="20"/>
  <c r="L414" i="20"/>
  <c r="J414" i="20"/>
  <c r="H414" i="20"/>
  <c r="T413" i="20"/>
  <c r="R413" i="20"/>
  <c r="P413" i="20"/>
  <c r="N413" i="20"/>
  <c r="L413" i="20"/>
  <c r="J413" i="20"/>
  <c r="H413" i="20"/>
  <c r="T412" i="20"/>
  <c r="R412" i="20"/>
  <c r="P412" i="20"/>
  <c r="N412" i="20"/>
  <c r="L412" i="20"/>
  <c r="J412" i="20"/>
  <c r="H412" i="20"/>
  <c r="T411" i="20"/>
  <c r="R411" i="20"/>
  <c r="P411" i="20"/>
  <c r="N411" i="20"/>
  <c r="L411" i="20"/>
  <c r="J411" i="20"/>
  <c r="H411" i="20"/>
  <c r="T410" i="20"/>
  <c r="R410" i="20"/>
  <c r="P410" i="20"/>
  <c r="N410" i="20"/>
  <c r="L410" i="20"/>
  <c r="J410" i="20"/>
  <c r="H410" i="20"/>
  <c r="T409" i="20"/>
  <c r="R409" i="20"/>
  <c r="P409" i="20"/>
  <c r="N409" i="20"/>
  <c r="L409" i="20"/>
  <c r="J409" i="20"/>
  <c r="H409" i="20"/>
  <c r="T408" i="20"/>
  <c r="R408" i="20"/>
  <c r="P408" i="20"/>
  <c r="N408" i="20"/>
  <c r="L408" i="20"/>
  <c r="J408" i="20"/>
  <c r="H408" i="20"/>
  <c r="T407" i="20"/>
  <c r="R407" i="20"/>
  <c r="P407" i="20"/>
  <c r="N407" i="20"/>
  <c r="L407" i="20"/>
  <c r="J407" i="20"/>
  <c r="H407" i="20"/>
  <c r="T406" i="20"/>
  <c r="R406" i="20"/>
  <c r="P406" i="20"/>
  <c r="N406" i="20"/>
  <c r="L406" i="20"/>
  <c r="J406" i="20"/>
  <c r="H406" i="20"/>
  <c r="T405" i="20"/>
  <c r="R405" i="20"/>
  <c r="P405" i="20"/>
  <c r="N405" i="20"/>
  <c r="L405" i="20"/>
  <c r="J405" i="20"/>
  <c r="H405" i="20"/>
  <c r="T404" i="20"/>
  <c r="R404" i="20"/>
  <c r="P404" i="20"/>
  <c r="N404" i="20"/>
  <c r="L404" i="20"/>
  <c r="J404" i="20"/>
  <c r="H404" i="20"/>
  <c r="T403" i="20"/>
  <c r="R403" i="20"/>
  <c r="P403" i="20"/>
  <c r="N403" i="20"/>
  <c r="L403" i="20"/>
  <c r="J403" i="20"/>
  <c r="H403" i="20"/>
  <c r="T402" i="20"/>
  <c r="R402" i="20"/>
  <c r="P402" i="20"/>
  <c r="N402" i="20"/>
  <c r="L402" i="20"/>
  <c r="J402" i="20"/>
  <c r="H402" i="20"/>
  <c r="T401" i="20"/>
  <c r="R401" i="20"/>
  <c r="P401" i="20"/>
  <c r="N401" i="20"/>
  <c r="L401" i="20"/>
  <c r="J401" i="20"/>
  <c r="H401" i="20"/>
  <c r="T400" i="20"/>
  <c r="R400" i="20"/>
  <c r="P400" i="20"/>
  <c r="N400" i="20"/>
  <c r="L400" i="20"/>
  <c r="J400" i="20"/>
  <c r="H400" i="20"/>
  <c r="T399" i="20"/>
  <c r="R399" i="20"/>
  <c r="P399" i="20"/>
  <c r="N399" i="20"/>
  <c r="L399" i="20"/>
  <c r="J399" i="20"/>
  <c r="H399" i="20"/>
  <c r="T398" i="20"/>
  <c r="R398" i="20"/>
  <c r="P398" i="20"/>
  <c r="N398" i="20"/>
  <c r="L398" i="20"/>
  <c r="J398" i="20"/>
  <c r="H398" i="20"/>
  <c r="T397" i="20"/>
  <c r="R397" i="20"/>
  <c r="P397" i="20"/>
  <c r="N397" i="20"/>
  <c r="L397" i="20"/>
  <c r="J397" i="20"/>
  <c r="H397" i="20"/>
  <c r="T396" i="20"/>
  <c r="R396" i="20"/>
  <c r="P396" i="20"/>
  <c r="N396" i="20"/>
  <c r="L396" i="20"/>
  <c r="J396" i="20"/>
  <c r="H396" i="20"/>
  <c r="T395" i="20"/>
  <c r="R395" i="20"/>
  <c r="P395" i="20"/>
  <c r="N395" i="20"/>
  <c r="L395" i="20"/>
  <c r="J395" i="20"/>
  <c r="H395" i="20"/>
  <c r="T394" i="20"/>
  <c r="R394" i="20"/>
  <c r="P394" i="20"/>
  <c r="N394" i="20"/>
  <c r="L394" i="20"/>
  <c r="J394" i="20"/>
  <c r="H394" i="20"/>
  <c r="T393" i="20"/>
  <c r="R393" i="20"/>
  <c r="P393" i="20"/>
  <c r="N393" i="20"/>
  <c r="L393" i="20"/>
  <c r="J393" i="20"/>
  <c r="H393" i="20"/>
  <c r="T392" i="20"/>
  <c r="R392" i="20"/>
  <c r="P392" i="20"/>
  <c r="N392" i="20"/>
  <c r="L392" i="20"/>
  <c r="J392" i="20"/>
  <c r="H392" i="20"/>
  <c r="T391" i="20"/>
  <c r="R391" i="20"/>
  <c r="P391" i="20"/>
  <c r="N391" i="20"/>
  <c r="L391" i="20"/>
  <c r="J391" i="20"/>
  <c r="H391" i="20"/>
  <c r="T390" i="20"/>
  <c r="R390" i="20"/>
  <c r="P390" i="20"/>
  <c r="N390" i="20"/>
  <c r="L390" i="20"/>
  <c r="J390" i="20"/>
  <c r="H390" i="20"/>
  <c r="T389" i="20"/>
  <c r="R389" i="20"/>
  <c r="P389" i="20"/>
  <c r="N389" i="20"/>
  <c r="L389" i="20"/>
  <c r="J389" i="20"/>
  <c r="H389" i="20"/>
  <c r="T388" i="20"/>
  <c r="R388" i="20"/>
  <c r="P388" i="20"/>
  <c r="N388" i="20"/>
  <c r="L388" i="20"/>
  <c r="J388" i="20"/>
  <c r="H388" i="20"/>
  <c r="T387" i="20"/>
  <c r="R387" i="20"/>
  <c r="P387" i="20"/>
  <c r="N387" i="20"/>
  <c r="L387" i="20"/>
  <c r="J387" i="20"/>
  <c r="H387" i="20"/>
  <c r="T386" i="20"/>
  <c r="R386" i="20"/>
  <c r="P386" i="20"/>
  <c r="N386" i="20"/>
  <c r="L386" i="20"/>
  <c r="J386" i="20"/>
  <c r="H386" i="20"/>
  <c r="T385" i="20"/>
  <c r="R385" i="20"/>
  <c r="P385" i="20"/>
  <c r="N385" i="20"/>
  <c r="L385" i="20"/>
  <c r="J385" i="20"/>
  <c r="H385" i="20"/>
  <c r="T384" i="20"/>
  <c r="R384" i="20"/>
  <c r="P384" i="20"/>
  <c r="N384" i="20"/>
  <c r="L384" i="20"/>
  <c r="J384" i="20"/>
  <c r="H384" i="20"/>
  <c r="T383" i="20"/>
  <c r="R383" i="20"/>
  <c r="P383" i="20"/>
  <c r="N383" i="20"/>
  <c r="L383" i="20"/>
  <c r="J383" i="20"/>
  <c r="H383" i="20"/>
  <c r="T382" i="20"/>
  <c r="R382" i="20"/>
  <c r="P382" i="20"/>
  <c r="N382" i="20"/>
  <c r="L382" i="20"/>
  <c r="J382" i="20"/>
  <c r="H382" i="20"/>
  <c r="T381" i="20"/>
  <c r="R381" i="20"/>
  <c r="P381" i="20"/>
  <c r="N381" i="20"/>
  <c r="L381" i="20"/>
  <c r="J381" i="20"/>
  <c r="H381" i="20"/>
  <c r="T380" i="20"/>
  <c r="R380" i="20"/>
  <c r="P380" i="20"/>
  <c r="N380" i="20"/>
  <c r="L380" i="20"/>
  <c r="J380" i="20"/>
  <c r="H380" i="20"/>
  <c r="T379" i="20"/>
  <c r="R379" i="20"/>
  <c r="P379" i="20"/>
  <c r="N379" i="20"/>
  <c r="L379" i="20"/>
  <c r="J379" i="20"/>
  <c r="H379" i="20"/>
  <c r="T378" i="20"/>
  <c r="R378" i="20"/>
  <c r="P378" i="20"/>
  <c r="N378" i="20"/>
  <c r="L378" i="20"/>
  <c r="J378" i="20"/>
  <c r="H378" i="20"/>
  <c r="T377" i="20"/>
  <c r="R377" i="20"/>
  <c r="P377" i="20"/>
  <c r="N377" i="20"/>
  <c r="L377" i="20"/>
  <c r="J377" i="20"/>
  <c r="H377" i="20"/>
  <c r="T376" i="20"/>
  <c r="R376" i="20"/>
  <c r="P376" i="20"/>
  <c r="N376" i="20"/>
  <c r="L376" i="20"/>
  <c r="J376" i="20"/>
  <c r="H376" i="20"/>
  <c r="T375" i="20"/>
  <c r="R375" i="20"/>
  <c r="P375" i="20"/>
  <c r="N375" i="20"/>
  <c r="L375" i="20"/>
  <c r="J375" i="20"/>
  <c r="H375" i="20"/>
  <c r="T374" i="20"/>
  <c r="R374" i="20"/>
  <c r="P374" i="20"/>
  <c r="N374" i="20"/>
  <c r="L374" i="20"/>
  <c r="J374" i="20"/>
  <c r="H374" i="20"/>
  <c r="T373" i="20"/>
  <c r="R373" i="20"/>
  <c r="P373" i="20"/>
  <c r="N373" i="20"/>
  <c r="L373" i="20"/>
  <c r="J373" i="20"/>
  <c r="H373" i="20"/>
  <c r="T372" i="20"/>
  <c r="R372" i="20"/>
  <c r="P372" i="20"/>
  <c r="N372" i="20"/>
  <c r="L372" i="20"/>
  <c r="J372" i="20"/>
  <c r="H372" i="20"/>
  <c r="T371" i="20"/>
  <c r="R371" i="20"/>
  <c r="P371" i="20"/>
  <c r="N371" i="20"/>
  <c r="L371" i="20"/>
  <c r="J371" i="20"/>
  <c r="H371" i="20"/>
  <c r="T370" i="20"/>
  <c r="R370" i="20"/>
  <c r="P370" i="20"/>
  <c r="N370" i="20"/>
  <c r="L370" i="20"/>
  <c r="J370" i="20"/>
  <c r="H370" i="20"/>
  <c r="T369" i="20"/>
  <c r="R369" i="20"/>
  <c r="P369" i="20"/>
  <c r="N369" i="20"/>
  <c r="L369" i="20"/>
  <c r="J369" i="20"/>
  <c r="H369" i="20"/>
  <c r="T368" i="20"/>
  <c r="R368" i="20"/>
  <c r="P368" i="20"/>
  <c r="N368" i="20"/>
  <c r="L368" i="20"/>
  <c r="J368" i="20"/>
  <c r="H368" i="20"/>
  <c r="T367" i="20"/>
  <c r="R367" i="20"/>
  <c r="P367" i="20"/>
  <c r="N367" i="20"/>
  <c r="L367" i="20"/>
  <c r="J367" i="20"/>
  <c r="H367" i="20"/>
  <c r="T366" i="20"/>
  <c r="R366" i="20"/>
  <c r="P366" i="20"/>
  <c r="N366" i="20"/>
  <c r="L366" i="20"/>
  <c r="J366" i="20"/>
  <c r="H366" i="20"/>
  <c r="T365" i="20"/>
  <c r="R365" i="20"/>
  <c r="P365" i="20"/>
  <c r="N365" i="20"/>
  <c r="L365" i="20"/>
  <c r="J365" i="20"/>
  <c r="H365" i="20"/>
  <c r="T364" i="20"/>
  <c r="R364" i="20"/>
  <c r="P364" i="20"/>
  <c r="N364" i="20"/>
  <c r="L364" i="20"/>
  <c r="J364" i="20"/>
  <c r="H364" i="20"/>
  <c r="T363" i="20"/>
  <c r="R363" i="20"/>
  <c r="P363" i="20"/>
  <c r="N363" i="20"/>
  <c r="L363" i="20"/>
  <c r="J363" i="20"/>
  <c r="H363" i="20"/>
  <c r="T362" i="20"/>
  <c r="R362" i="20"/>
  <c r="P362" i="20"/>
  <c r="N362" i="20"/>
  <c r="L362" i="20"/>
  <c r="J362" i="20"/>
  <c r="H362" i="20"/>
  <c r="T361" i="20"/>
  <c r="R361" i="20"/>
  <c r="P361" i="20"/>
  <c r="N361" i="20"/>
  <c r="L361" i="20"/>
  <c r="J361" i="20"/>
  <c r="H361" i="20"/>
  <c r="T360" i="20"/>
  <c r="R360" i="20"/>
  <c r="P360" i="20"/>
  <c r="N360" i="20"/>
  <c r="L360" i="20"/>
  <c r="J360" i="20"/>
  <c r="H360" i="20"/>
  <c r="T359" i="20"/>
  <c r="R359" i="20"/>
  <c r="P359" i="20"/>
  <c r="N359" i="20"/>
  <c r="L359" i="20"/>
  <c r="J359" i="20"/>
  <c r="H359" i="20"/>
  <c r="T358" i="20"/>
  <c r="R358" i="20"/>
  <c r="P358" i="20"/>
  <c r="N358" i="20"/>
  <c r="L358" i="20"/>
  <c r="J358" i="20"/>
  <c r="H358" i="20"/>
  <c r="T357" i="20"/>
  <c r="R357" i="20"/>
  <c r="P357" i="20"/>
  <c r="N357" i="20"/>
  <c r="L357" i="20"/>
  <c r="J357" i="20"/>
  <c r="H357" i="20"/>
  <c r="T356" i="20"/>
  <c r="R356" i="20"/>
  <c r="P356" i="20"/>
  <c r="N356" i="20"/>
  <c r="L356" i="20"/>
  <c r="J356" i="20"/>
  <c r="H356" i="20"/>
  <c r="T355" i="20"/>
  <c r="R355" i="20"/>
  <c r="P355" i="20"/>
  <c r="N355" i="20"/>
  <c r="L355" i="20"/>
  <c r="J355" i="20"/>
  <c r="H355" i="20"/>
  <c r="T354" i="20"/>
  <c r="R354" i="20"/>
  <c r="P354" i="20"/>
  <c r="N354" i="20"/>
  <c r="L354" i="20"/>
  <c r="J354" i="20"/>
  <c r="H354" i="20"/>
  <c r="T353" i="20"/>
  <c r="R353" i="20"/>
  <c r="P353" i="20"/>
  <c r="N353" i="20"/>
  <c r="L353" i="20"/>
  <c r="J353" i="20"/>
  <c r="H353" i="20"/>
  <c r="T352" i="20"/>
  <c r="R352" i="20"/>
  <c r="P352" i="20"/>
  <c r="N352" i="20"/>
  <c r="L352" i="20"/>
  <c r="J352" i="20"/>
  <c r="H352" i="20"/>
  <c r="T351" i="20"/>
  <c r="R351" i="20"/>
  <c r="P351" i="20"/>
  <c r="N351" i="20"/>
  <c r="L351" i="20"/>
  <c r="J351" i="20"/>
  <c r="H351" i="20"/>
  <c r="T350" i="20"/>
  <c r="R350" i="20"/>
  <c r="P350" i="20"/>
  <c r="N350" i="20"/>
  <c r="L350" i="20"/>
  <c r="J350" i="20"/>
  <c r="H350" i="20"/>
  <c r="T348" i="20"/>
  <c r="R348" i="20"/>
  <c r="P348" i="20"/>
  <c r="N348" i="20"/>
  <c r="L348" i="20"/>
  <c r="J348" i="20"/>
  <c r="H348" i="20"/>
  <c r="T347" i="20"/>
  <c r="R347" i="20"/>
  <c r="P347" i="20"/>
  <c r="N347" i="20"/>
  <c r="L347" i="20"/>
  <c r="J347" i="20"/>
  <c r="H347" i="20"/>
  <c r="T346" i="20"/>
  <c r="R346" i="20"/>
  <c r="P346" i="20"/>
  <c r="N346" i="20"/>
  <c r="L346" i="20"/>
  <c r="J346" i="20"/>
  <c r="H346" i="20"/>
  <c r="T345" i="20"/>
  <c r="R345" i="20"/>
  <c r="P345" i="20"/>
  <c r="N345" i="20"/>
  <c r="L345" i="20"/>
  <c r="J345" i="20"/>
  <c r="H345" i="20"/>
  <c r="T344" i="20"/>
  <c r="R344" i="20"/>
  <c r="P344" i="20"/>
  <c r="N344" i="20"/>
  <c r="L344" i="20"/>
  <c r="J344" i="20"/>
  <c r="H344" i="20"/>
  <c r="T343" i="20"/>
  <c r="R343" i="20"/>
  <c r="P343" i="20"/>
  <c r="N343" i="20"/>
  <c r="L343" i="20"/>
  <c r="J343" i="20"/>
  <c r="H343" i="20"/>
  <c r="T342" i="20"/>
  <c r="R342" i="20"/>
  <c r="P342" i="20"/>
  <c r="N342" i="20"/>
  <c r="L342" i="20"/>
  <c r="J342" i="20"/>
  <c r="H342" i="20"/>
  <c r="T341" i="20"/>
  <c r="R341" i="20"/>
  <c r="P341" i="20"/>
  <c r="N341" i="20"/>
  <c r="L341" i="20"/>
  <c r="J341" i="20"/>
  <c r="H341" i="20"/>
  <c r="T340" i="20"/>
  <c r="R340" i="20"/>
  <c r="P340" i="20"/>
  <c r="N340" i="20"/>
  <c r="L340" i="20"/>
  <c r="J340" i="20"/>
  <c r="H340" i="20"/>
  <c r="T339" i="20"/>
  <c r="R339" i="20"/>
  <c r="P339" i="20"/>
  <c r="N339" i="20"/>
  <c r="L339" i="20"/>
  <c r="J339" i="20"/>
  <c r="H339" i="20"/>
  <c r="T338" i="20"/>
  <c r="R338" i="20"/>
  <c r="P338" i="20"/>
  <c r="N338" i="20"/>
  <c r="L338" i="20"/>
  <c r="J338" i="20"/>
  <c r="H338" i="20"/>
  <c r="T337" i="20"/>
  <c r="R337" i="20"/>
  <c r="P337" i="20"/>
  <c r="N337" i="20"/>
  <c r="L337" i="20"/>
  <c r="J337" i="20"/>
  <c r="H337" i="20"/>
  <c r="T336" i="20"/>
  <c r="R336" i="20"/>
  <c r="P336" i="20"/>
  <c r="N336" i="20"/>
  <c r="L336" i="20"/>
  <c r="J336" i="20"/>
  <c r="H336" i="20"/>
  <c r="T335" i="20"/>
  <c r="R335" i="20"/>
  <c r="P335" i="20"/>
  <c r="N335" i="20"/>
  <c r="L335" i="20"/>
  <c r="J335" i="20"/>
  <c r="H335" i="20"/>
  <c r="T334" i="20"/>
  <c r="R334" i="20"/>
  <c r="P334" i="20"/>
  <c r="N334" i="20"/>
  <c r="L334" i="20"/>
  <c r="J334" i="20"/>
  <c r="H334" i="20"/>
  <c r="T333" i="20"/>
  <c r="R333" i="20"/>
  <c r="P333" i="20"/>
  <c r="N333" i="20"/>
  <c r="L333" i="20"/>
  <c r="J333" i="20"/>
  <c r="H333" i="20"/>
  <c r="T332" i="20"/>
  <c r="R332" i="20"/>
  <c r="P332" i="20"/>
  <c r="N332" i="20"/>
  <c r="L332" i="20"/>
  <c r="J332" i="20"/>
  <c r="H332" i="20"/>
  <c r="T331" i="20"/>
  <c r="R331" i="20"/>
  <c r="P331" i="20"/>
  <c r="N331" i="20"/>
  <c r="L331" i="20"/>
  <c r="J331" i="20"/>
  <c r="H331" i="20"/>
  <c r="T330" i="20"/>
  <c r="R330" i="20"/>
  <c r="P330" i="20"/>
  <c r="N330" i="20"/>
  <c r="L330" i="20"/>
  <c r="J330" i="20"/>
  <c r="H330" i="20"/>
  <c r="T329" i="20"/>
  <c r="R329" i="20"/>
  <c r="P329" i="20"/>
  <c r="N329" i="20"/>
  <c r="L329" i="20"/>
  <c r="J329" i="20"/>
  <c r="H329" i="20"/>
  <c r="T328" i="20"/>
  <c r="R328" i="20"/>
  <c r="P328" i="20"/>
  <c r="N328" i="20"/>
  <c r="L328" i="20"/>
  <c r="J328" i="20"/>
  <c r="H328" i="20"/>
  <c r="T327" i="20"/>
  <c r="R327" i="20"/>
  <c r="P327" i="20"/>
  <c r="N327" i="20"/>
  <c r="L327" i="20"/>
  <c r="J327" i="20"/>
  <c r="H327" i="20"/>
  <c r="T326" i="20"/>
  <c r="R326" i="20"/>
  <c r="P326" i="20"/>
  <c r="N326" i="20"/>
  <c r="L326" i="20"/>
  <c r="J326" i="20"/>
  <c r="H326" i="20"/>
  <c r="T325" i="20"/>
  <c r="R325" i="20"/>
  <c r="P325" i="20"/>
  <c r="N325" i="20"/>
  <c r="L325" i="20"/>
  <c r="J325" i="20"/>
  <c r="H325" i="20"/>
  <c r="T324" i="20"/>
  <c r="R324" i="20"/>
  <c r="P324" i="20"/>
  <c r="N324" i="20"/>
  <c r="L324" i="20"/>
  <c r="J324" i="20"/>
  <c r="H324" i="20"/>
  <c r="T323" i="20"/>
  <c r="R323" i="20"/>
  <c r="P323" i="20"/>
  <c r="N323" i="20"/>
  <c r="L323" i="20"/>
  <c r="J323" i="20"/>
  <c r="H323" i="20"/>
  <c r="T322" i="20"/>
  <c r="R322" i="20"/>
  <c r="P322" i="20"/>
  <c r="N322" i="20"/>
  <c r="L322" i="20"/>
  <c r="J322" i="20"/>
  <c r="H322" i="20"/>
  <c r="T321" i="20"/>
  <c r="R321" i="20"/>
  <c r="P321" i="20"/>
  <c r="N321" i="20"/>
  <c r="L321" i="20"/>
  <c r="J321" i="20"/>
  <c r="H321" i="20"/>
  <c r="T320" i="20"/>
  <c r="R320" i="20"/>
  <c r="P320" i="20"/>
  <c r="N320" i="20"/>
  <c r="L320" i="20"/>
  <c r="J320" i="20"/>
  <c r="H320" i="20"/>
  <c r="T319" i="20"/>
  <c r="R319" i="20"/>
  <c r="P319" i="20"/>
  <c r="N319" i="20"/>
  <c r="L319" i="20"/>
  <c r="J319" i="20"/>
  <c r="H319" i="20"/>
  <c r="T318" i="20"/>
  <c r="R318" i="20"/>
  <c r="P318" i="20"/>
  <c r="N318" i="20"/>
  <c r="L318" i="20"/>
  <c r="J318" i="20"/>
  <c r="H318" i="20"/>
  <c r="T317" i="20"/>
  <c r="R317" i="20"/>
  <c r="P317" i="20"/>
  <c r="N317" i="20"/>
  <c r="L317" i="20"/>
  <c r="J317" i="20"/>
  <c r="H317" i="20"/>
  <c r="T316" i="20"/>
  <c r="R316" i="20"/>
  <c r="P316" i="20"/>
  <c r="N316" i="20"/>
  <c r="L316" i="20"/>
  <c r="J316" i="20"/>
  <c r="H316" i="20"/>
  <c r="T315" i="20"/>
  <c r="R315" i="20"/>
  <c r="P315" i="20"/>
  <c r="N315" i="20"/>
  <c r="L315" i="20"/>
  <c r="J315" i="20"/>
  <c r="H315" i="20"/>
  <c r="T314" i="20"/>
  <c r="R314" i="20"/>
  <c r="P314" i="20"/>
  <c r="N314" i="20"/>
  <c r="L314" i="20"/>
  <c r="J314" i="20"/>
  <c r="H314" i="20"/>
  <c r="T313" i="20"/>
  <c r="R313" i="20"/>
  <c r="P313" i="20"/>
  <c r="N313" i="20"/>
  <c r="L313" i="20"/>
  <c r="J313" i="20"/>
  <c r="H313" i="20"/>
  <c r="T312" i="20"/>
  <c r="R312" i="20"/>
  <c r="P312" i="20"/>
  <c r="N312" i="20"/>
  <c r="L312" i="20"/>
  <c r="J312" i="20"/>
  <c r="H312" i="20"/>
  <c r="T311" i="20"/>
  <c r="R311" i="20"/>
  <c r="P311" i="20"/>
  <c r="N311" i="20"/>
  <c r="L311" i="20"/>
  <c r="J311" i="20"/>
  <c r="H311" i="20"/>
  <c r="T310" i="20"/>
  <c r="R310" i="20"/>
  <c r="P310" i="20"/>
  <c r="N310" i="20"/>
  <c r="L310" i="20"/>
  <c r="J310" i="20"/>
  <c r="H310" i="20"/>
  <c r="T309" i="20"/>
  <c r="R309" i="20"/>
  <c r="P309" i="20"/>
  <c r="N309" i="20"/>
  <c r="L309" i="20"/>
  <c r="J309" i="20"/>
  <c r="H309" i="20"/>
  <c r="T308" i="20"/>
  <c r="R308" i="20"/>
  <c r="P308" i="20"/>
  <c r="N308" i="20"/>
  <c r="L308" i="20"/>
  <c r="J308" i="20"/>
  <c r="H308" i="20"/>
  <c r="T307" i="20"/>
  <c r="R307" i="20"/>
  <c r="P307" i="20"/>
  <c r="N307" i="20"/>
  <c r="L307" i="20"/>
  <c r="J307" i="20"/>
  <c r="H307" i="20"/>
  <c r="T306" i="20"/>
  <c r="R306" i="20"/>
  <c r="P306" i="20"/>
  <c r="N306" i="20"/>
  <c r="L306" i="20"/>
  <c r="J306" i="20"/>
  <c r="H306" i="20"/>
  <c r="T305" i="20"/>
  <c r="R305" i="20"/>
  <c r="P305" i="20"/>
  <c r="N305" i="20"/>
  <c r="L305" i="20"/>
  <c r="J305" i="20"/>
  <c r="H305" i="20"/>
  <c r="T304" i="20"/>
  <c r="R304" i="20"/>
  <c r="P304" i="20"/>
  <c r="N304" i="20"/>
  <c r="L304" i="20"/>
  <c r="J304" i="20"/>
  <c r="H304" i="20"/>
  <c r="T303" i="20"/>
  <c r="R303" i="20"/>
  <c r="P303" i="20"/>
  <c r="N303" i="20"/>
  <c r="L303" i="20"/>
  <c r="J303" i="20"/>
  <c r="H303" i="20"/>
  <c r="T302" i="20"/>
  <c r="R302" i="20"/>
  <c r="P302" i="20"/>
  <c r="N302" i="20"/>
  <c r="L302" i="20"/>
  <c r="J302" i="20"/>
  <c r="H302" i="20"/>
  <c r="T301" i="20"/>
  <c r="R301" i="20"/>
  <c r="P301" i="20"/>
  <c r="N301" i="20"/>
  <c r="L301" i="20"/>
  <c r="J301" i="20"/>
  <c r="H301" i="20"/>
  <c r="T300" i="20"/>
  <c r="R300" i="20"/>
  <c r="P300" i="20"/>
  <c r="N300" i="20"/>
  <c r="L300" i="20"/>
  <c r="J300" i="20"/>
  <c r="H300" i="20"/>
  <c r="T299" i="20"/>
  <c r="R299" i="20"/>
  <c r="P299" i="20"/>
  <c r="N299" i="20"/>
  <c r="L299" i="20"/>
  <c r="J299" i="20"/>
  <c r="H299" i="20"/>
  <c r="T298" i="20"/>
  <c r="R298" i="20"/>
  <c r="P298" i="20"/>
  <c r="N298" i="20"/>
  <c r="L298" i="20"/>
  <c r="J298" i="20"/>
  <c r="H298" i="20"/>
  <c r="T297" i="20"/>
  <c r="R297" i="20"/>
  <c r="P297" i="20"/>
  <c r="N297" i="20"/>
  <c r="L297" i="20"/>
  <c r="J297" i="20"/>
  <c r="H297" i="20"/>
  <c r="T296" i="20"/>
  <c r="R296" i="20"/>
  <c r="P296" i="20"/>
  <c r="N296" i="20"/>
  <c r="L296" i="20"/>
  <c r="J296" i="20"/>
  <c r="H296" i="20"/>
  <c r="T295" i="20"/>
  <c r="R295" i="20"/>
  <c r="P295" i="20"/>
  <c r="N295" i="20"/>
  <c r="L295" i="20"/>
  <c r="J295" i="20"/>
  <c r="H295" i="20"/>
  <c r="T294" i="20"/>
  <c r="R294" i="20"/>
  <c r="P294" i="20"/>
  <c r="N294" i="20"/>
  <c r="L294" i="20"/>
  <c r="J294" i="20"/>
  <c r="H294" i="20"/>
  <c r="T293" i="20"/>
  <c r="R293" i="20"/>
  <c r="P293" i="20"/>
  <c r="N293" i="20"/>
  <c r="L293" i="20"/>
  <c r="J293" i="20"/>
  <c r="H293" i="20"/>
  <c r="T292" i="20"/>
  <c r="R292" i="20"/>
  <c r="P292" i="20"/>
  <c r="N292" i="20"/>
  <c r="L292" i="20"/>
  <c r="J292" i="20"/>
  <c r="H292" i="20"/>
  <c r="T291" i="20"/>
  <c r="R291" i="20"/>
  <c r="P291" i="20"/>
  <c r="N291" i="20"/>
  <c r="L291" i="20"/>
  <c r="J291" i="20"/>
  <c r="H291" i="20"/>
  <c r="T290" i="20"/>
  <c r="R290" i="20"/>
  <c r="P290" i="20"/>
  <c r="N290" i="20"/>
  <c r="L290" i="20"/>
  <c r="J290" i="20"/>
  <c r="H290" i="20"/>
  <c r="T289" i="20"/>
  <c r="R289" i="20"/>
  <c r="P289" i="20"/>
  <c r="N289" i="20"/>
  <c r="L289" i="20"/>
  <c r="J289" i="20"/>
  <c r="H289" i="20"/>
  <c r="T288" i="20"/>
  <c r="R288" i="20"/>
  <c r="P288" i="20"/>
  <c r="N288" i="20"/>
  <c r="L288" i="20"/>
  <c r="J288" i="20"/>
  <c r="H288" i="20"/>
  <c r="T287" i="20"/>
  <c r="R287" i="20"/>
  <c r="P287" i="20"/>
  <c r="N287" i="20"/>
  <c r="L287" i="20"/>
  <c r="J287" i="20"/>
  <c r="H287" i="20"/>
  <c r="T286" i="20"/>
  <c r="R286" i="20"/>
  <c r="P286" i="20"/>
  <c r="N286" i="20"/>
  <c r="L286" i="20"/>
  <c r="J286" i="20"/>
  <c r="H286" i="20"/>
  <c r="T285" i="20"/>
  <c r="R285" i="20"/>
  <c r="P285" i="20"/>
  <c r="N285" i="20"/>
  <c r="L285" i="20"/>
  <c r="J285" i="20"/>
  <c r="H285" i="20"/>
  <c r="T284" i="20"/>
  <c r="R284" i="20"/>
  <c r="P284" i="20"/>
  <c r="N284" i="20"/>
  <c r="L284" i="20"/>
  <c r="J284" i="20"/>
  <c r="H284" i="20"/>
  <c r="T283" i="20"/>
  <c r="R283" i="20"/>
  <c r="P283" i="20"/>
  <c r="N283" i="20"/>
  <c r="L283" i="20"/>
  <c r="J283" i="20"/>
  <c r="H283" i="20"/>
  <c r="T282" i="20"/>
  <c r="R282" i="20"/>
  <c r="P282" i="20"/>
  <c r="N282" i="20"/>
  <c r="L282" i="20"/>
  <c r="J282" i="20"/>
  <c r="H282" i="20"/>
  <c r="T281" i="20"/>
  <c r="R281" i="20"/>
  <c r="P281" i="20"/>
  <c r="N281" i="20"/>
  <c r="L281" i="20"/>
  <c r="J281" i="20"/>
  <c r="H281" i="20"/>
  <c r="T280" i="20"/>
  <c r="R280" i="20"/>
  <c r="P280" i="20"/>
  <c r="N280" i="20"/>
  <c r="L280" i="20"/>
  <c r="J280" i="20"/>
  <c r="H280" i="20"/>
  <c r="T279" i="20"/>
  <c r="R279" i="20"/>
  <c r="P279" i="20"/>
  <c r="N279" i="20"/>
  <c r="L279" i="20"/>
  <c r="J279" i="20"/>
  <c r="H279" i="20"/>
  <c r="T278" i="20"/>
  <c r="R278" i="20"/>
  <c r="P278" i="20"/>
  <c r="N278" i="20"/>
  <c r="L278" i="20"/>
  <c r="J278" i="20"/>
  <c r="H278" i="20"/>
  <c r="T277" i="20"/>
  <c r="R277" i="20"/>
  <c r="P277" i="20"/>
  <c r="N277" i="20"/>
  <c r="L277" i="20"/>
  <c r="J277" i="20"/>
  <c r="H277" i="20"/>
  <c r="T276" i="20"/>
  <c r="R276" i="20"/>
  <c r="P276" i="20"/>
  <c r="N276" i="20"/>
  <c r="L276" i="20"/>
  <c r="J276" i="20"/>
  <c r="H276" i="20"/>
  <c r="T275" i="20"/>
  <c r="R275" i="20"/>
  <c r="P275" i="20"/>
  <c r="N275" i="20"/>
  <c r="L275" i="20"/>
  <c r="J275" i="20"/>
  <c r="H275" i="20"/>
  <c r="T274" i="20"/>
  <c r="R274" i="20"/>
  <c r="P274" i="20"/>
  <c r="N274" i="20"/>
  <c r="L274" i="20"/>
  <c r="J274" i="20"/>
  <c r="H274" i="20"/>
  <c r="T273" i="20"/>
  <c r="R273" i="20"/>
  <c r="P273" i="20"/>
  <c r="N273" i="20"/>
  <c r="L273" i="20"/>
  <c r="J273" i="20"/>
  <c r="H273" i="20"/>
  <c r="T272" i="20"/>
  <c r="R272" i="20"/>
  <c r="P272" i="20"/>
  <c r="N272" i="20"/>
  <c r="L272" i="20"/>
  <c r="J272" i="20"/>
  <c r="H272" i="20"/>
  <c r="T271" i="20"/>
  <c r="R271" i="20"/>
  <c r="P271" i="20"/>
  <c r="N271" i="20"/>
  <c r="L271" i="20"/>
  <c r="J271" i="20"/>
  <c r="H271" i="20"/>
  <c r="T270" i="20"/>
  <c r="R270" i="20"/>
  <c r="P270" i="20"/>
  <c r="N270" i="20"/>
  <c r="L270" i="20"/>
  <c r="J270" i="20"/>
  <c r="H270" i="20"/>
  <c r="T269" i="20"/>
  <c r="R269" i="20"/>
  <c r="P269" i="20"/>
  <c r="N269" i="20"/>
  <c r="L269" i="20"/>
  <c r="J269" i="20"/>
  <c r="H269" i="20"/>
  <c r="T268" i="20"/>
  <c r="R268" i="20"/>
  <c r="P268" i="20"/>
  <c r="N268" i="20"/>
  <c r="L268" i="20"/>
  <c r="J268" i="20"/>
  <c r="H268" i="20"/>
  <c r="T267" i="20"/>
  <c r="R267" i="20"/>
  <c r="P267" i="20"/>
  <c r="N267" i="20"/>
  <c r="L267" i="20"/>
  <c r="J267" i="20"/>
  <c r="H267" i="20"/>
  <c r="T265" i="20"/>
  <c r="R265" i="20"/>
  <c r="P265" i="20"/>
  <c r="N265" i="20"/>
  <c r="L265" i="20"/>
  <c r="J265" i="20"/>
  <c r="H265" i="20"/>
  <c r="T264" i="20"/>
  <c r="R264" i="20"/>
  <c r="P264" i="20"/>
  <c r="N264" i="20"/>
  <c r="L264" i="20"/>
  <c r="J264" i="20"/>
  <c r="H264" i="20"/>
  <c r="T263" i="20"/>
  <c r="R263" i="20"/>
  <c r="P263" i="20"/>
  <c r="N263" i="20"/>
  <c r="L263" i="20"/>
  <c r="J263" i="20"/>
  <c r="H263" i="20"/>
  <c r="T262" i="20"/>
  <c r="R262" i="20"/>
  <c r="P262" i="20"/>
  <c r="N262" i="20"/>
  <c r="L262" i="20"/>
  <c r="J262" i="20"/>
  <c r="H262" i="20"/>
  <c r="T261" i="20"/>
  <c r="R261" i="20"/>
  <c r="P261" i="20"/>
  <c r="N261" i="20"/>
  <c r="L261" i="20"/>
  <c r="J261" i="20"/>
  <c r="H261" i="20"/>
  <c r="T260" i="20"/>
  <c r="R260" i="20"/>
  <c r="P260" i="20"/>
  <c r="N260" i="20"/>
  <c r="L260" i="20"/>
  <c r="J260" i="20"/>
  <c r="H260" i="20"/>
  <c r="T259" i="20"/>
  <c r="R259" i="20"/>
  <c r="P259" i="20"/>
  <c r="N259" i="20"/>
  <c r="L259" i="20"/>
  <c r="J259" i="20"/>
  <c r="H259" i="20"/>
  <c r="T258" i="20"/>
  <c r="R258" i="20"/>
  <c r="P258" i="20"/>
  <c r="N258" i="20"/>
  <c r="L258" i="20"/>
  <c r="J258" i="20"/>
  <c r="H258" i="20"/>
  <c r="T257" i="20"/>
  <c r="R257" i="20"/>
  <c r="P257" i="20"/>
  <c r="N257" i="20"/>
  <c r="L257" i="20"/>
  <c r="J257" i="20"/>
  <c r="H257" i="20"/>
  <c r="T256" i="20"/>
  <c r="R256" i="20"/>
  <c r="P256" i="20"/>
  <c r="N256" i="20"/>
  <c r="L256" i="20"/>
  <c r="J256" i="20"/>
  <c r="H256" i="20"/>
  <c r="T255" i="20"/>
  <c r="R255" i="20"/>
  <c r="P255" i="20"/>
  <c r="N255" i="20"/>
  <c r="L255" i="20"/>
  <c r="J255" i="20"/>
  <c r="H255" i="20"/>
  <c r="T254" i="20"/>
  <c r="R254" i="20"/>
  <c r="P254" i="20"/>
  <c r="N254" i="20"/>
  <c r="L254" i="20"/>
  <c r="J254" i="20"/>
  <c r="H254" i="20"/>
  <c r="T253" i="20"/>
  <c r="R253" i="20"/>
  <c r="P253" i="20"/>
  <c r="N253" i="20"/>
  <c r="L253" i="20"/>
  <c r="J253" i="20"/>
  <c r="H253" i="20"/>
  <c r="T252" i="20"/>
  <c r="R252" i="20"/>
  <c r="P252" i="20"/>
  <c r="N252" i="20"/>
  <c r="L252" i="20"/>
  <c r="J252" i="20"/>
  <c r="H252" i="20"/>
  <c r="T251" i="20"/>
  <c r="R251" i="20"/>
  <c r="P251" i="20"/>
  <c r="N251" i="20"/>
  <c r="L251" i="20"/>
  <c r="J251" i="20"/>
  <c r="H251" i="20"/>
  <c r="T250" i="20"/>
  <c r="R250" i="20"/>
  <c r="P250" i="20"/>
  <c r="N250" i="20"/>
  <c r="L250" i="20"/>
  <c r="J250" i="20"/>
  <c r="H250" i="20"/>
  <c r="T249" i="20"/>
  <c r="R249" i="20"/>
  <c r="P249" i="20"/>
  <c r="N249" i="20"/>
  <c r="L249" i="20"/>
  <c r="J249" i="20"/>
  <c r="H249" i="20"/>
  <c r="T248" i="20"/>
  <c r="R248" i="20"/>
  <c r="P248" i="20"/>
  <c r="N248" i="20"/>
  <c r="L248" i="20"/>
  <c r="J248" i="20"/>
  <c r="H248" i="20"/>
  <c r="T247" i="20"/>
  <c r="R247" i="20"/>
  <c r="P247" i="20"/>
  <c r="N247" i="20"/>
  <c r="L247" i="20"/>
  <c r="J247" i="20"/>
  <c r="H247" i="20"/>
  <c r="T246" i="20"/>
  <c r="R246" i="20"/>
  <c r="P246" i="20"/>
  <c r="N246" i="20"/>
  <c r="L246" i="20"/>
  <c r="J246" i="20"/>
  <c r="H246" i="20"/>
  <c r="T245" i="20"/>
  <c r="R245" i="20"/>
  <c r="P245" i="20"/>
  <c r="N245" i="20"/>
  <c r="L245" i="20"/>
  <c r="J245" i="20"/>
  <c r="H245" i="20"/>
  <c r="T244" i="20"/>
  <c r="R244" i="20"/>
  <c r="P244" i="20"/>
  <c r="N244" i="20"/>
  <c r="L244" i="20"/>
  <c r="J244" i="20"/>
  <c r="H244" i="20"/>
  <c r="T243" i="20"/>
  <c r="R243" i="20"/>
  <c r="P243" i="20"/>
  <c r="N243" i="20"/>
  <c r="L243" i="20"/>
  <c r="J243" i="20"/>
  <c r="H243" i="20"/>
  <c r="T242" i="20"/>
  <c r="R242" i="20"/>
  <c r="P242" i="20"/>
  <c r="N242" i="20"/>
  <c r="L242" i="20"/>
  <c r="J242" i="20"/>
  <c r="H242" i="20"/>
  <c r="T241" i="20"/>
  <c r="R241" i="20"/>
  <c r="P241" i="20"/>
  <c r="N241" i="20"/>
  <c r="L241" i="20"/>
  <c r="J241" i="20"/>
  <c r="H241" i="20"/>
  <c r="T240" i="20"/>
  <c r="R240" i="20"/>
  <c r="P240" i="20"/>
  <c r="N240" i="20"/>
  <c r="L240" i="20"/>
  <c r="J240" i="20"/>
  <c r="H240" i="20"/>
  <c r="T239" i="20"/>
  <c r="R239" i="20"/>
  <c r="P239" i="20"/>
  <c r="N239" i="20"/>
  <c r="L239" i="20"/>
  <c r="J239" i="20"/>
  <c r="H239" i="20"/>
  <c r="T238" i="20"/>
  <c r="R238" i="20"/>
  <c r="P238" i="20"/>
  <c r="N238" i="20"/>
  <c r="L238" i="20"/>
  <c r="J238" i="20"/>
  <c r="H238" i="20"/>
  <c r="T237" i="20"/>
  <c r="R237" i="20"/>
  <c r="P237" i="20"/>
  <c r="N237" i="20"/>
  <c r="L237" i="20"/>
  <c r="J237" i="20"/>
  <c r="H237" i="20"/>
  <c r="T236" i="20"/>
  <c r="R236" i="20"/>
  <c r="P236" i="20"/>
  <c r="N236" i="20"/>
  <c r="L236" i="20"/>
  <c r="J236" i="20"/>
  <c r="H236" i="20"/>
  <c r="T235" i="20"/>
  <c r="R235" i="20"/>
  <c r="P235" i="20"/>
  <c r="N235" i="20"/>
  <c r="L235" i="20"/>
  <c r="J235" i="20"/>
  <c r="H235" i="20"/>
  <c r="T234" i="20"/>
  <c r="R234" i="20"/>
  <c r="P234" i="20"/>
  <c r="N234" i="20"/>
  <c r="L234" i="20"/>
  <c r="J234" i="20"/>
  <c r="H234" i="20"/>
  <c r="T233" i="20"/>
  <c r="R233" i="20"/>
  <c r="P233" i="20"/>
  <c r="N233" i="20"/>
  <c r="L233" i="20"/>
  <c r="J233" i="20"/>
  <c r="H233" i="20"/>
  <c r="T232" i="20"/>
  <c r="R232" i="20"/>
  <c r="P232" i="20"/>
  <c r="N232" i="20"/>
  <c r="L232" i="20"/>
  <c r="J232" i="20"/>
  <c r="H232" i="20"/>
  <c r="T231" i="20"/>
  <c r="R231" i="20"/>
  <c r="P231" i="20"/>
  <c r="N231" i="20"/>
  <c r="L231" i="20"/>
  <c r="J231" i="20"/>
  <c r="H231" i="20"/>
  <c r="T230" i="20"/>
  <c r="R230" i="20"/>
  <c r="P230" i="20"/>
  <c r="N230" i="20"/>
  <c r="L230" i="20"/>
  <c r="J230" i="20"/>
  <c r="H230" i="20"/>
  <c r="T229" i="20"/>
  <c r="R229" i="20"/>
  <c r="P229" i="20"/>
  <c r="N229" i="20"/>
  <c r="L229" i="20"/>
  <c r="J229" i="20"/>
  <c r="H229" i="20"/>
  <c r="T228" i="20"/>
  <c r="R228" i="20"/>
  <c r="P228" i="20"/>
  <c r="N228" i="20"/>
  <c r="L228" i="20"/>
  <c r="J228" i="20"/>
  <c r="H228" i="20"/>
  <c r="T227" i="20"/>
  <c r="R227" i="20"/>
  <c r="P227" i="20"/>
  <c r="N227" i="20"/>
  <c r="L227" i="20"/>
  <c r="J227" i="20"/>
  <c r="H227" i="20"/>
  <c r="T226" i="20"/>
  <c r="R226" i="20"/>
  <c r="P226" i="20"/>
  <c r="N226" i="20"/>
  <c r="L226" i="20"/>
  <c r="J226" i="20"/>
  <c r="H226" i="20"/>
  <c r="T225" i="20"/>
  <c r="R225" i="20"/>
  <c r="P225" i="20"/>
  <c r="N225" i="20"/>
  <c r="L225" i="20"/>
  <c r="J225" i="20"/>
  <c r="H225" i="20"/>
  <c r="T224" i="20"/>
  <c r="R224" i="20"/>
  <c r="P224" i="20"/>
  <c r="N224" i="20"/>
  <c r="L224" i="20"/>
  <c r="J224" i="20"/>
  <c r="H224" i="20"/>
  <c r="T223" i="20"/>
  <c r="R223" i="20"/>
  <c r="P223" i="20"/>
  <c r="N223" i="20"/>
  <c r="L223" i="20"/>
  <c r="J223" i="20"/>
  <c r="H223" i="20"/>
  <c r="T222" i="20"/>
  <c r="R222" i="20"/>
  <c r="P222" i="20"/>
  <c r="N222" i="20"/>
  <c r="L222" i="20"/>
  <c r="J222" i="20"/>
  <c r="H222" i="20"/>
  <c r="T221" i="20"/>
  <c r="R221" i="20"/>
  <c r="P221" i="20"/>
  <c r="N221" i="20"/>
  <c r="L221" i="20"/>
  <c r="J221" i="20"/>
  <c r="H221" i="20"/>
  <c r="T220" i="20"/>
  <c r="R220" i="20"/>
  <c r="P220" i="20"/>
  <c r="N220" i="20"/>
  <c r="L220" i="20"/>
  <c r="J220" i="20"/>
  <c r="H220" i="20"/>
  <c r="T219" i="20"/>
  <c r="R219" i="20"/>
  <c r="P219" i="20"/>
  <c r="N219" i="20"/>
  <c r="L219" i="20"/>
  <c r="J219" i="20"/>
  <c r="H219" i="20"/>
  <c r="T218" i="20"/>
  <c r="R218" i="20"/>
  <c r="P218" i="20"/>
  <c r="N218" i="20"/>
  <c r="L218" i="20"/>
  <c r="J218" i="20"/>
  <c r="H218" i="20"/>
  <c r="T217" i="20"/>
  <c r="R217" i="20"/>
  <c r="P217" i="20"/>
  <c r="N217" i="20"/>
  <c r="L217" i="20"/>
  <c r="J217" i="20"/>
  <c r="H217" i="20"/>
  <c r="T216" i="20"/>
  <c r="R216" i="20"/>
  <c r="P216" i="20"/>
  <c r="N216" i="20"/>
  <c r="L216" i="20"/>
  <c r="J216" i="20"/>
  <c r="H216" i="20"/>
  <c r="T215" i="20"/>
  <c r="R215" i="20"/>
  <c r="P215" i="20"/>
  <c r="N215" i="20"/>
  <c r="L215" i="20"/>
  <c r="J215" i="20"/>
  <c r="H215" i="20"/>
  <c r="T214" i="20"/>
  <c r="R214" i="20"/>
  <c r="P214" i="20"/>
  <c r="N214" i="20"/>
  <c r="L214" i="20"/>
  <c r="J214" i="20"/>
  <c r="H214" i="20"/>
  <c r="T213" i="20"/>
  <c r="R213" i="20"/>
  <c r="P213" i="20"/>
  <c r="N213" i="20"/>
  <c r="L213" i="20"/>
  <c r="J213" i="20"/>
  <c r="H213" i="20"/>
  <c r="T212" i="20"/>
  <c r="R212" i="20"/>
  <c r="P212" i="20"/>
  <c r="N212" i="20"/>
  <c r="L212" i="20"/>
  <c r="J212" i="20"/>
  <c r="H212" i="20"/>
  <c r="T211" i="20"/>
  <c r="R211" i="20"/>
  <c r="P211" i="20"/>
  <c r="N211" i="20"/>
  <c r="L211" i="20"/>
  <c r="J211" i="20"/>
  <c r="H211" i="20"/>
  <c r="T210" i="20"/>
  <c r="R210" i="20"/>
  <c r="P210" i="20"/>
  <c r="N210" i="20"/>
  <c r="L210" i="20"/>
  <c r="J210" i="20"/>
  <c r="H210" i="20"/>
  <c r="T209" i="20"/>
  <c r="R209" i="20"/>
  <c r="P209" i="20"/>
  <c r="N209" i="20"/>
  <c r="L209" i="20"/>
  <c r="J209" i="20"/>
  <c r="H209" i="20"/>
  <c r="T208" i="20"/>
  <c r="R208" i="20"/>
  <c r="P208" i="20"/>
  <c r="N208" i="20"/>
  <c r="L208" i="20"/>
  <c r="J208" i="20"/>
  <c r="H208" i="20"/>
  <c r="T207" i="20"/>
  <c r="R207" i="20"/>
  <c r="P207" i="20"/>
  <c r="N207" i="20"/>
  <c r="L207" i="20"/>
  <c r="J207" i="20"/>
  <c r="H207" i="20"/>
  <c r="T206" i="20"/>
  <c r="R206" i="20"/>
  <c r="P206" i="20"/>
  <c r="N206" i="20"/>
  <c r="L206" i="20"/>
  <c r="J206" i="20"/>
  <c r="H206" i="20"/>
  <c r="T205" i="20"/>
  <c r="R205" i="20"/>
  <c r="P205" i="20"/>
  <c r="N205" i="20"/>
  <c r="L205" i="20"/>
  <c r="J205" i="20"/>
  <c r="H205" i="20"/>
  <c r="T204" i="20"/>
  <c r="R204" i="20"/>
  <c r="P204" i="20"/>
  <c r="N204" i="20"/>
  <c r="L204" i="20"/>
  <c r="J204" i="20"/>
  <c r="H204" i="20"/>
  <c r="T203" i="20"/>
  <c r="R203" i="20"/>
  <c r="P203" i="20"/>
  <c r="N203" i="20"/>
  <c r="L203" i="20"/>
  <c r="J203" i="20"/>
  <c r="H203" i="20"/>
  <c r="T202" i="20"/>
  <c r="R202" i="20"/>
  <c r="P202" i="20"/>
  <c r="N202" i="20"/>
  <c r="L202" i="20"/>
  <c r="J202" i="20"/>
  <c r="H202" i="20"/>
  <c r="T201" i="20"/>
  <c r="R201" i="20"/>
  <c r="P201" i="20"/>
  <c r="N201" i="20"/>
  <c r="L201" i="20"/>
  <c r="J201" i="20"/>
  <c r="H201" i="20"/>
  <c r="T200" i="20"/>
  <c r="R200" i="20"/>
  <c r="P200" i="20"/>
  <c r="N200" i="20"/>
  <c r="L200" i="20"/>
  <c r="J200" i="20"/>
  <c r="H200" i="20"/>
  <c r="T199" i="20"/>
  <c r="R199" i="20"/>
  <c r="P199" i="20"/>
  <c r="N199" i="20"/>
  <c r="L199" i="20"/>
  <c r="J199" i="20"/>
  <c r="H199" i="20"/>
  <c r="T198" i="20"/>
  <c r="R198" i="20"/>
  <c r="P198" i="20"/>
  <c r="N198" i="20"/>
  <c r="L198" i="20"/>
  <c r="J198" i="20"/>
  <c r="H198" i="20"/>
  <c r="T197" i="20"/>
  <c r="R197" i="20"/>
  <c r="P197" i="20"/>
  <c r="N197" i="20"/>
  <c r="L197" i="20"/>
  <c r="J197" i="20"/>
  <c r="H197" i="20"/>
  <c r="T196" i="20"/>
  <c r="R196" i="20"/>
  <c r="P196" i="20"/>
  <c r="N196" i="20"/>
  <c r="L196" i="20"/>
  <c r="J196" i="20"/>
  <c r="H196" i="20"/>
  <c r="T195" i="20"/>
  <c r="R195" i="20"/>
  <c r="P195" i="20"/>
  <c r="N195" i="20"/>
  <c r="L195" i="20"/>
  <c r="J195" i="20"/>
  <c r="H195" i="20"/>
  <c r="T194" i="20"/>
  <c r="R194" i="20"/>
  <c r="P194" i="20"/>
  <c r="N194" i="20"/>
  <c r="L194" i="20"/>
  <c r="J194" i="20"/>
  <c r="H194" i="20"/>
  <c r="T193" i="20"/>
  <c r="R193" i="20"/>
  <c r="P193" i="20"/>
  <c r="N193" i="20"/>
  <c r="L193" i="20"/>
  <c r="J193" i="20"/>
  <c r="H193" i="20"/>
  <c r="T192" i="20"/>
  <c r="R192" i="20"/>
  <c r="P192" i="20"/>
  <c r="N192" i="20"/>
  <c r="L192" i="20"/>
  <c r="J192" i="20"/>
  <c r="H192" i="20"/>
  <c r="T191" i="20"/>
  <c r="R191" i="20"/>
  <c r="P191" i="20"/>
  <c r="N191" i="20"/>
  <c r="L191" i="20"/>
  <c r="J191" i="20"/>
  <c r="H191" i="20"/>
  <c r="T190" i="20"/>
  <c r="R190" i="20"/>
  <c r="P190" i="20"/>
  <c r="N190" i="20"/>
  <c r="L190" i="20"/>
  <c r="J190" i="20"/>
  <c r="H190" i="20"/>
  <c r="T189" i="20"/>
  <c r="R189" i="20"/>
  <c r="P189" i="20"/>
  <c r="N189" i="20"/>
  <c r="L189" i="20"/>
  <c r="J189" i="20"/>
  <c r="H189" i="20"/>
  <c r="T187" i="20"/>
  <c r="R187" i="20"/>
  <c r="P187" i="20"/>
  <c r="N187" i="20"/>
  <c r="L187" i="20"/>
  <c r="J187" i="20"/>
  <c r="H187" i="20"/>
  <c r="T186" i="20"/>
  <c r="R186" i="20"/>
  <c r="P186" i="20"/>
  <c r="N186" i="20"/>
  <c r="L186" i="20"/>
  <c r="J186" i="20"/>
  <c r="H186" i="20"/>
  <c r="T185" i="20"/>
  <c r="R185" i="20"/>
  <c r="P185" i="20"/>
  <c r="N185" i="20"/>
  <c r="L185" i="20"/>
  <c r="J185" i="20"/>
  <c r="H185" i="20"/>
  <c r="T184" i="20"/>
  <c r="R184" i="20"/>
  <c r="P184" i="20"/>
  <c r="N184" i="20"/>
  <c r="L184" i="20"/>
  <c r="J184" i="20"/>
  <c r="H184" i="20"/>
  <c r="T183" i="20"/>
  <c r="R183" i="20"/>
  <c r="P183" i="20"/>
  <c r="N183" i="20"/>
  <c r="L183" i="20"/>
  <c r="J183" i="20"/>
  <c r="H183" i="20"/>
  <c r="T182" i="20"/>
  <c r="R182" i="20"/>
  <c r="P182" i="20"/>
  <c r="N182" i="20"/>
  <c r="L182" i="20"/>
  <c r="J182" i="20"/>
  <c r="H182" i="20"/>
  <c r="T181" i="20"/>
  <c r="R181" i="20"/>
  <c r="P181" i="20"/>
  <c r="N181" i="20"/>
  <c r="L181" i="20"/>
  <c r="J181" i="20"/>
  <c r="H181" i="20"/>
  <c r="T180" i="20"/>
  <c r="R180" i="20"/>
  <c r="P180" i="20"/>
  <c r="N180" i="20"/>
  <c r="L180" i="20"/>
  <c r="J180" i="20"/>
  <c r="H180" i="20"/>
  <c r="T179" i="20"/>
  <c r="R179" i="20"/>
  <c r="P179" i="20"/>
  <c r="N179" i="20"/>
  <c r="L179" i="20"/>
  <c r="J179" i="20"/>
  <c r="H179" i="20"/>
  <c r="T178" i="20"/>
  <c r="R178" i="20"/>
  <c r="P178" i="20"/>
  <c r="N178" i="20"/>
  <c r="L178" i="20"/>
  <c r="J178" i="20"/>
  <c r="H178" i="20"/>
  <c r="T177" i="20"/>
  <c r="R177" i="20"/>
  <c r="P177" i="20"/>
  <c r="N177" i="20"/>
  <c r="L177" i="20"/>
  <c r="J177" i="20"/>
  <c r="H177" i="20"/>
  <c r="T176" i="20"/>
  <c r="R176" i="20"/>
  <c r="P176" i="20"/>
  <c r="N176" i="20"/>
  <c r="L176" i="20"/>
  <c r="J176" i="20"/>
  <c r="H176" i="20"/>
  <c r="T175" i="20"/>
  <c r="R175" i="20"/>
  <c r="P175" i="20"/>
  <c r="N175" i="20"/>
  <c r="L175" i="20"/>
  <c r="J175" i="20"/>
  <c r="H175" i="20"/>
  <c r="T174" i="20"/>
  <c r="R174" i="20"/>
  <c r="P174" i="20"/>
  <c r="N174" i="20"/>
  <c r="L174" i="20"/>
  <c r="J174" i="20"/>
  <c r="H174" i="20"/>
  <c r="T173" i="20"/>
  <c r="R173" i="20"/>
  <c r="P173" i="20"/>
  <c r="N173" i="20"/>
  <c r="L173" i="20"/>
  <c r="J173" i="20"/>
  <c r="H173" i="20"/>
  <c r="T172" i="20"/>
  <c r="R172" i="20"/>
  <c r="P172" i="20"/>
  <c r="N172" i="20"/>
  <c r="L172" i="20"/>
  <c r="J172" i="20"/>
  <c r="H172" i="20"/>
  <c r="T171" i="20"/>
  <c r="R171" i="20"/>
  <c r="P171" i="20"/>
  <c r="N171" i="20"/>
  <c r="L171" i="20"/>
  <c r="J171" i="20"/>
  <c r="H171" i="20"/>
  <c r="T170" i="20"/>
  <c r="R170" i="20"/>
  <c r="P170" i="20"/>
  <c r="N170" i="20"/>
  <c r="L170" i="20"/>
  <c r="J170" i="20"/>
  <c r="H170" i="20"/>
  <c r="T169" i="20"/>
  <c r="R169" i="20"/>
  <c r="P169" i="20"/>
  <c r="N169" i="20"/>
  <c r="L169" i="20"/>
  <c r="J169" i="20"/>
  <c r="H169" i="20"/>
  <c r="T168" i="20"/>
  <c r="R168" i="20"/>
  <c r="P168" i="20"/>
  <c r="N168" i="20"/>
  <c r="L168" i="20"/>
  <c r="J168" i="20"/>
  <c r="H168" i="20"/>
  <c r="T167" i="20"/>
  <c r="R167" i="20"/>
  <c r="P167" i="20"/>
  <c r="N167" i="20"/>
  <c r="L167" i="20"/>
  <c r="J167" i="20"/>
  <c r="H167" i="20"/>
  <c r="T166" i="20"/>
  <c r="R166" i="20"/>
  <c r="P166" i="20"/>
  <c r="N166" i="20"/>
  <c r="L166" i="20"/>
  <c r="J166" i="20"/>
  <c r="H166" i="20"/>
  <c r="T165" i="20"/>
  <c r="R165" i="20"/>
  <c r="P165" i="20"/>
  <c r="N165" i="20"/>
  <c r="L165" i="20"/>
  <c r="J165" i="20"/>
  <c r="H165" i="20"/>
  <c r="T164" i="20"/>
  <c r="R164" i="20"/>
  <c r="P164" i="20"/>
  <c r="N164" i="20"/>
  <c r="L164" i="20"/>
  <c r="J164" i="20"/>
  <c r="H164" i="20"/>
  <c r="T163" i="20"/>
  <c r="R163" i="20"/>
  <c r="P163" i="20"/>
  <c r="N163" i="20"/>
  <c r="L163" i="20"/>
  <c r="J163" i="20"/>
  <c r="H163" i="20"/>
  <c r="T162" i="20"/>
  <c r="R162" i="20"/>
  <c r="P162" i="20"/>
  <c r="N162" i="20"/>
  <c r="L162" i="20"/>
  <c r="J162" i="20"/>
  <c r="H162" i="20"/>
  <c r="T161" i="20"/>
  <c r="R161" i="20"/>
  <c r="P161" i="20"/>
  <c r="N161" i="20"/>
  <c r="L161" i="20"/>
  <c r="J161" i="20"/>
  <c r="H161" i="20"/>
  <c r="T160" i="20"/>
  <c r="R160" i="20"/>
  <c r="P160" i="20"/>
  <c r="N160" i="20"/>
  <c r="L160" i="20"/>
  <c r="J160" i="20"/>
  <c r="H160" i="20"/>
  <c r="T159" i="20"/>
  <c r="R159" i="20"/>
  <c r="P159" i="20"/>
  <c r="N159" i="20"/>
  <c r="L159" i="20"/>
  <c r="J159" i="20"/>
  <c r="H159" i="20"/>
  <c r="T158" i="20"/>
  <c r="R158" i="20"/>
  <c r="P158" i="20"/>
  <c r="N158" i="20"/>
  <c r="L158" i="20"/>
  <c r="J158" i="20"/>
  <c r="H158" i="20"/>
  <c r="T157" i="20"/>
  <c r="R157" i="20"/>
  <c r="P157" i="20"/>
  <c r="N157" i="20"/>
  <c r="L157" i="20"/>
  <c r="J157" i="20"/>
  <c r="H157" i="20"/>
  <c r="T156" i="20"/>
  <c r="R156" i="20"/>
  <c r="P156" i="20"/>
  <c r="N156" i="20"/>
  <c r="L156" i="20"/>
  <c r="J156" i="20"/>
  <c r="H156" i="20"/>
  <c r="T155" i="20"/>
  <c r="R155" i="20"/>
  <c r="P155" i="20"/>
  <c r="N155" i="20"/>
  <c r="L155" i="20"/>
  <c r="J155" i="20"/>
  <c r="H155" i="20"/>
  <c r="T154" i="20"/>
  <c r="R154" i="20"/>
  <c r="P154" i="20"/>
  <c r="N154" i="20"/>
  <c r="L154" i="20"/>
  <c r="J154" i="20"/>
  <c r="H154" i="20"/>
  <c r="T153" i="20"/>
  <c r="R153" i="20"/>
  <c r="P153" i="20"/>
  <c r="N153" i="20"/>
  <c r="L153" i="20"/>
  <c r="J153" i="20"/>
  <c r="H153" i="20"/>
  <c r="T152" i="20"/>
  <c r="R152" i="20"/>
  <c r="P152" i="20"/>
  <c r="N152" i="20"/>
  <c r="L152" i="20"/>
  <c r="J152" i="20"/>
  <c r="H152" i="20"/>
  <c r="T151" i="20"/>
  <c r="R151" i="20"/>
  <c r="P151" i="20"/>
  <c r="N151" i="20"/>
  <c r="L151" i="20"/>
  <c r="J151" i="20"/>
  <c r="H151" i="20"/>
  <c r="T150" i="20"/>
  <c r="R150" i="20"/>
  <c r="P150" i="20"/>
  <c r="N150" i="20"/>
  <c r="L150" i="20"/>
  <c r="J150" i="20"/>
  <c r="H150" i="20"/>
  <c r="T149" i="20"/>
  <c r="R149" i="20"/>
  <c r="P149" i="20"/>
  <c r="N149" i="20"/>
  <c r="L149" i="20"/>
  <c r="J149" i="20"/>
  <c r="H149" i="20"/>
  <c r="T148" i="20"/>
  <c r="R148" i="20"/>
  <c r="P148" i="20"/>
  <c r="N148" i="20"/>
  <c r="L148" i="20"/>
  <c r="J148" i="20"/>
  <c r="H148" i="20"/>
  <c r="T147" i="20"/>
  <c r="R147" i="20"/>
  <c r="P147" i="20"/>
  <c r="N147" i="20"/>
  <c r="L147" i="20"/>
  <c r="J147" i="20"/>
  <c r="H147" i="20"/>
  <c r="T146" i="20"/>
  <c r="R146" i="20"/>
  <c r="P146" i="20"/>
  <c r="N146" i="20"/>
  <c r="L146" i="20"/>
  <c r="J146" i="20"/>
  <c r="H146" i="20"/>
  <c r="T145" i="20"/>
  <c r="R145" i="20"/>
  <c r="P145" i="20"/>
  <c r="N145" i="20"/>
  <c r="L145" i="20"/>
  <c r="J145" i="20"/>
  <c r="H145" i="20"/>
  <c r="T144" i="20"/>
  <c r="R144" i="20"/>
  <c r="P144" i="20"/>
  <c r="N144" i="20"/>
  <c r="L144" i="20"/>
  <c r="J144" i="20"/>
  <c r="H144" i="20"/>
  <c r="T143" i="20"/>
  <c r="R143" i="20"/>
  <c r="P143" i="20"/>
  <c r="N143" i="20"/>
  <c r="L143" i="20"/>
  <c r="J143" i="20"/>
  <c r="H143" i="20"/>
  <c r="T142" i="20"/>
  <c r="R142" i="20"/>
  <c r="P142" i="20"/>
  <c r="N142" i="20"/>
  <c r="L142" i="20"/>
  <c r="J142" i="20"/>
  <c r="H142" i="20"/>
  <c r="T141" i="20"/>
  <c r="R141" i="20"/>
  <c r="P141" i="20"/>
  <c r="N141" i="20"/>
  <c r="L141" i="20"/>
  <c r="J141" i="20"/>
  <c r="H141" i="20"/>
  <c r="T140" i="20"/>
  <c r="R140" i="20"/>
  <c r="P140" i="20"/>
  <c r="N140" i="20"/>
  <c r="L140" i="20"/>
  <c r="J140" i="20"/>
  <c r="H140" i="20"/>
  <c r="T139" i="20"/>
  <c r="R139" i="20"/>
  <c r="P139" i="20"/>
  <c r="N139" i="20"/>
  <c r="L139" i="20"/>
  <c r="J139" i="20"/>
  <c r="H139" i="20"/>
  <c r="T138" i="20"/>
  <c r="R138" i="20"/>
  <c r="P138" i="20"/>
  <c r="N138" i="20"/>
  <c r="L138" i="20"/>
  <c r="J138" i="20"/>
  <c r="H138" i="20"/>
  <c r="T137" i="20"/>
  <c r="R137" i="20"/>
  <c r="P137" i="20"/>
  <c r="N137" i="20"/>
  <c r="L137" i="20"/>
  <c r="J137" i="20"/>
  <c r="H137" i="20"/>
  <c r="T136" i="20"/>
  <c r="R136" i="20"/>
  <c r="P136" i="20"/>
  <c r="N136" i="20"/>
  <c r="L136" i="20"/>
  <c r="J136" i="20"/>
  <c r="H136" i="20"/>
  <c r="T135" i="20"/>
  <c r="R135" i="20"/>
  <c r="P135" i="20"/>
  <c r="N135" i="20"/>
  <c r="L135" i="20"/>
  <c r="J135" i="20"/>
  <c r="H135" i="20"/>
  <c r="T134" i="20"/>
  <c r="R134" i="20"/>
  <c r="P134" i="20"/>
  <c r="N134" i="20"/>
  <c r="L134" i="20"/>
  <c r="J134" i="20"/>
  <c r="H134" i="20"/>
  <c r="T133" i="20"/>
  <c r="R133" i="20"/>
  <c r="P133" i="20"/>
  <c r="N133" i="20"/>
  <c r="L133" i="20"/>
  <c r="J133" i="20"/>
  <c r="H133" i="20"/>
  <c r="T132" i="20"/>
  <c r="R132" i="20"/>
  <c r="P132" i="20"/>
  <c r="N132" i="20"/>
  <c r="L132" i="20"/>
  <c r="J132" i="20"/>
  <c r="H132" i="20"/>
  <c r="T131" i="20"/>
  <c r="R131" i="20"/>
  <c r="P131" i="20"/>
  <c r="N131" i="20"/>
  <c r="L131" i="20"/>
  <c r="J131" i="20"/>
  <c r="H131" i="20"/>
  <c r="T130" i="20"/>
  <c r="R130" i="20"/>
  <c r="P130" i="20"/>
  <c r="N130" i="20"/>
  <c r="L130" i="20"/>
  <c r="J130" i="20"/>
  <c r="H130" i="20"/>
  <c r="T129" i="20"/>
  <c r="R129" i="20"/>
  <c r="P129" i="20"/>
  <c r="N129" i="20"/>
  <c r="L129" i="20"/>
  <c r="J129" i="20"/>
  <c r="H129" i="20"/>
  <c r="T128" i="20"/>
  <c r="R128" i="20"/>
  <c r="P128" i="20"/>
  <c r="N128" i="20"/>
  <c r="L128" i="20"/>
  <c r="J128" i="20"/>
  <c r="H128" i="20"/>
  <c r="T127" i="20"/>
  <c r="R127" i="20"/>
  <c r="P127" i="20"/>
  <c r="N127" i="20"/>
  <c r="L127" i="20"/>
  <c r="J127" i="20"/>
  <c r="H127" i="20"/>
  <c r="T126" i="20"/>
  <c r="R126" i="20"/>
  <c r="P126" i="20"/>
  <c r="N126" i="20"/>
  <c r="L126" i="20"/>
  <c r="J126" i="20"/>
  <c r="H126" i="20"/>
  <c r="T125" i="20"/>
  <c r="R125" i="20"/>
  <c r="P125" i="20"/>
  <c r="N125" i="20"/>
  <c r="L125" i="20"/>
  <c r="J125" i="20"/>
  <c r="H125" i="20"/>
  <c r="T124" i="20"/>
  <c r="R124" i="20"/>
  <c r="P124" i="20"/>
  <c r="N124" i="20"/>
  <c r="L124" i="20"/>
  <c r="J124" i="20"/>
  <c r="H124" i="20"/>
  <c r="T123" i="20"/>
  <c r="R123" i="20"/>
  <c r="P123" i="20"/>
  <c r="N123" i="20"/>
  <c r="L123" i="20"/>
  <c r="J123" i="20"/>
  <c r="H123" i="20"/>
  <c r="T122" i="20"/>
  <c r="R122" i="20"/>
  <c r="P122" i="20"/>
  <c r="N122" i="20"/>
  <c r="L122" i="20"/>
  <c r="J122" i="20"/>
  <c r="H122" i="20"/>
  <c r="T121" i="20"/>
  <c r="R121" i="20"/>
  <c r="P121" i="20"/>
  <c r="N121" i="20"/>
  <c r="L121" i="20"/>
  <c r="J121" i="20"/>
  <c r="H121" i="20"/>
  <c r="T120" i="20"/>
  <c r="R120" i="20"/>
  <c r="P120" i="20"/>
  <c r="N120" i="20"/>
  <c r="L120" i="20"/>
  <c r="J120" i="20"/>
  <c r="H120" i="20"/>
  <c r="T119" i="20"/>
  <c r="R119" i="20"/>
  <c r="P119" i="20"/>
  <c r="N119" i="20"/>
  <c r="L119" i="20"/>
  <c r="J119" i="20"/>
  <c r="H119" i="20"/>
  <c r="T118" i="20"/>
  <c r="R118" i="20"/>
  <c r="P118" i="20"/>
  <c r="N118" i="20"/>
  <c r="L118" i="20"/>
  <c r="J118" i="20"/>
  <c r="H118" i="20"/>
  <c r="T117" i="20"/>
  <c r="R117" i="20"/>
  <c r="P117" i="20"/>
  <c r="N117" i="20"/>
  <c r="L117" i="20"/>
  <c r="J117" i="20"/>
  <c r="H117" i="20"/>
  <c r="T116" i="20"/>
  <c r="R116" i="20"/>
  <c r="P116" i="20"/>
  <c r="N116" i="20"/>
  <c r="L116" i="20"/>
  <c r="J116" i="20"/>
  <c r="H116" i="20"/>
  <c r="T115" i="20"/>
  <c r="R115" i="20"/>
  <c r="P115" i="20"/>
  <c r="N115" i="20"/>
  <c r="L115" i="20"/>
  <c r="J115" i="20"/>
  <c r="H115" i="20"/>
  <c r="T114" i="20"/>
  <c r="R114" i="20"/>
  <c r="P114" i="20"/>
  <c r="N114" i="20"/>
  <c r="L114" i="20"/>
  <c r="J114" i="20"/>
  <c r="H114" i="20"/>
  <c r="T113" i="20"/>
  <c r="R113" i="20"/>
  <c r="P113" i="20"/>
  <c r="N113" i="20"/>
  <c r="L113" i="20"/>
  <c r="J113" i="20"/>
  <c r="H113" i="20"/>
  <c r="T112" i="20"/>
  <c r="R112" i="20"/>
  <c r="P112" i="20"/>
  <c r="N112" i="20"/>
  <c r="L112" i="20"/>
  <c r="J112" i="20"/>
  <c r="H112" i="20"/>
  <c r="T111" i="20"/>
  <c r="R111" i="20"/>
  <c r="P111" i="20"/>
  <c r="N111" i="20"/>
  <c r="L111" i="20"/>
  <c r="J111" i="20"/>
  <c r="H111" i="20"/>
  <c r="T110" i="20"/>
  <c r="R110" i="20"/>
  <c r="P110" i="20"/>
  <c r="N110" i="20"/>
  <c r="L110" i="20"/>
  <c r="J110" i="20"/>
  <c r="H110" i="20"/>
  <c r="T109" i="20"/>
  <c r="R109" i="20"/>
  <c r="P109" i="20"/>
  <c r="N109" i="20"/>
  <c r="L109" i="20"/>
  <c r="J109" i="20"/>
  <c r="H109" i="20"/>
  <c r="T108" i="20"/>
  <c r="R108" i="20"/>
  <c r="P108" i="20"/>
  <c r="N108" i="20"/>
  <c r="L108" i="20"/>
  <c r="J108" i="20"/>
  <c r="H108" i="20"/>
  <c r="T107" i="20"/>
  <c r="R107" i="20"/>
  <c r="P107" i="20"/>
  <c r="N107" i="20"/>
  <c r="L107" i="20"/>
  <c r="J107" i="20"/>
  <c r="H107" i="20"/>
  <c r="T105" i="20"/>
  <c r="R105" i="20"/>
  <c r="P105" i="20"/>
  <c r="N105" i="20"/>
  <c r="L105" i="20"/>
  <c r="J105" i="20"/>
  <c r="H105" i="20"/>
  <c r="T104" i="20"/>
  <c r="R104" i="20"/>
  <c r="P104" i="20"/>
  <c r="N104" i="20"/>
  <c r="L104" i="20"/>
  <c r="J104" i="20"/>
  <c r="H104" i="20"/>
  <c r="T103" i="20"/>
  <c r="R103" i="20"/>
  <c r="P103" i="20"/>
  <c r="N103" i="20"/>
  <c r="L103" i="20"/>
  <c r="J103" i="20"/>
  <c r="H103" i="20"/>
  <c r="T102" i="20"/>
  <c r="R102" i="20"/>
  <c r="P102" i="20"/>
  <c r="N102" i="20"/>
  <c r="L102" i="20"/>
  <c r="J102" i="20"/>
  <c r="H102" i="20"/>
  <c r="T101" i="20"/>
  <c r="R101" i="20"/>
  <c r="P101" i="20"/>
  <c r="N101" i="20"/>
  <c r="L101" i="20"/>
  <c r="J101" i="20"/>
  <c r="H101" i="20"/>
  <c r="T100" i="20"/>
  <c r="R100" i="20"/>
  <c r="P100" i="20"/>
  <c r="N100" i="20"/>
  <c r="L100" i="20"/>
  <c r="J100" i="20"/>
  <c r="H100" i="20"/>
  <c r="T99" i="20"/>
  <c r="R99" i="20"/>
  <c r="P99" i="20"/>
  <c r="N99" i="20"/>
  <c r="L99" i="20"/>
  <c r="J99" i="20"/>
  <c r="H99" i="20"/>
  <c r="T98" i="20"/>
  <c r="R98" i="20"/>
  <c r="P98" i="20"/>
  <c r="N98" i="20"/>
  <c r="L98" i="20"/>
  <c r="J98" i="20"/>
  <c r="H98" i="20"/>
  <c r="T97" i="20"/>
  <c r="R97" i="20"/>
  <c r="P97" i="20"/>
  <c r="N97" i="20"/>
  <c r="L97" i="20"/>
  <c r="J97" i="20"/>
  <c r="H97" i="20"/>
  <c r="T96" i="20"/>
  <c r="R96" i="20"/>
  <c r="P96" i="20"/>
  <c r="N96" i="20"/>
  <c r="L96" i="20"/>
  <c r="J96" i="20"/>
  <c r="H96" i="20"/>
  <c r="T95" i="20"/>
  <c r="R95" i="20"/>
  <c r="P95" i="20"/>
  <c r="N95" i="20"/>
  <c r="L95" i="20"/>
  <c r="J95" i="20"/>
  <c r="H95" i="20"/>
  <c r="T94" i="20"/>
  <c r="R94" i="20"/>
  <c r="P94" i="20"/>
  <c r="N94" i="20"/>
  <c r="L94" i="20"/>
  <c r="J94" i="20"/>
  <c r="H94" i="20"/>
  <c r="T93" i="20"/>
  <c r="R93" i="20"/>
  <c r="P93" i="20"/>
  <c r="N93" i="20"/>
  <c r="L93" i="20"/>
  <c r="J93" i="20"/>
  <c r="H93" i="20"/>
  <c r="T92" i="20"/>
  <c r="R92" i="20"/>
  <c r="P92" i="20"/>
  <c r="N92" i="20"/>
  <c r="L92" i="20"/>
  <c r="J92" i="20"/>
  <c r="H92" i="20"/>
  <c r="T91" i="20"/>
  <c r="R91" i="20"/>
  <c r="P91" i="20"/>
  <c r="N91" i="20"/>
  <c r="L91" i="20"/>
  <c r="J91" i="20"/>
  <c r="H91" i="20"/>
  <c r="T90" i="20"/>
  <c r="R90" i="20"/>
  <c r="P90" i="20"/>
  <c r="N90" i="20"/>
  <c r="L90" i="20"/>
  <c r="J90" i="20"/>
  <c r="H90" i="20"/>
  <c r="T89" i="20"/>
  <c r="R89" i="20"/>
  <c r="P89" i="20"/>
  <c r="N89" i="20"/>
  <c r="L89" i="20"/>
  <c r="J89" i="20"/>
  <c r="H89" i="20"/>
  <c r="T88" i="20"/>
  <c r="R88" i="20"/>
  <c r="P88" i="20"/>
  <c r="N88" i="20"/>
  <c r="L88" i="20"/>
  <c r="J88" i="20"/>
  <c r="H88" i="20"/>
  <c r="T87" i="20"/>
  <c r="R87" i="20"/>
  <c r="P87" i="20"/>
  <c r="N87" i="20"/>
  <c r="L87" i="20"/>
  <c r="J87" i="20"/>
  <c r="H87" i="20"/>
  <c r="T86" i="20"/>
  <c r="R86" i="20"/>
  <c r="P86" i="20"/>
  <c r="N86" i="20"/>
  <c r="L86" i="20"/>
  <c r="J86" i="20"/>
  <c r="H86" i="20"/>
  <c r="T85" i="20"/>
  <c r="R85" i="20"/>
  <c r="P85" i="20"/>
  <c r="N85" i="20"/>
  <c r="L85" i="20"/>
  <c r="J85" i="20"/>
  <c r="H85" i="20"/>
  <c r="T84" i="20"/>
  <c r="R84" i="20"/>
  <c r="P84" i="20"/>
  <c r="N84" i="20"/>
  <c r="L84" i="20"/>
  <c r="J84" i="20"/>
  <c r="H84" i="20"/>
  <c r="T83" i="20"/>
  <c r="R83" i="20"/>
  <c r="P83" i="20"/>
  <c r="N83" i="20"/>
  <c r="L83" i="20"/>
  <c r="J83" i="20"/>
  <c r="H83" i="20"/>
  <c r="T82" i="20"/>
  <c r="R82" i="20"/>
  <c r="P82" i="20"/>
  <c r="N82" i="20"/>
  <c r="L82" i="20"/>
  <c r="J82" i="20"/>
  <c r="H82" i="20"/>
  <c r="T81" i="20"/>
  <c r="R81" i="20"/>
  <c r="P81" i="20"/>
  <c r="N81" i="20"/>
  <c r="L81" i="20"/>
  <c r="J81" i="20"/>
  <c r="H81" i="20"/>
  <c r="T80" i="20"/>
  <c r="R80" i="20"/>
  <c r="P80" i="20"/>
  <c r="N80" i="20"/>
  <c r="L80" i="20"/>
  <c r="J80" i="20"/>
  <c r="H80" i="20"/>
  <c r="T79" i="20"/>
  <c r="R79" i="20"/>
  <c r="P79" i="20"/>
  <c r="N79" i="20"/>
  <c r="L79" i="20"/>
  <c r="J79" i="20"/>
  <c r="H79" i="20"/>
  <c r="T78" i="20"/>
  <c r="R78" i="20"/>
  <c r="P78" i="20"/>
  <c r="N78" i="20"/>
  <c r="L78" i="20"/>
  <c r="J78" i="20"/>
  <c r="H78" i="20"/>
  <c r="T77" i="20"/>
  <c r="R77" i="20"/>
  <c r="P77" i="20"/>
  <c r="N77" i="20"/>
  <c r="L77" i="20"/>
  <c r="J77" i="20"/>
  <c r="H77" i="20"/>
  <c r="T76" i="20"/>
  <c r="R76" i="20"/>
  <c r="P76" i="20"/>
  <c r="N76" i="20"/>
  <c r="L76" i="20"/>
  <c r="J76" i="20"/>
  <c r="H76" i="20"/>
  <c r="T75" i="20"/>
  <c r="R75" i="20"/>
  <c r="P75" i="20"/>
  <c r="N75" i="20"/>
  <c r="L75" i="20"/>
  <c r="J75" i="20"/>
  <c r="H75" i="20"/>
  <c r="T74" i="20"/>
  <c r="R74" i="20"/>
  <c r="P74" i="20"/>
  <c r="N74" i="20"/>
  <c r="L74" i="20"/>
  <c r="J74" i="20"/>
  <c r="H74" i="20"/>
  <c r="T73" i="20"/>
  <c r="R73" i="20"/>
  <c r="P73" i="20"/>
  <c r="N73" i="20"/>
  <c r="L73" i="20"/>
  <c r="J73" i="20"/>
  <c r="H73" i="20"/>
  <c r="T72" i="20"/>
  <c r="R72" i="20"/>
  <c r="P72" i="20"/>
  <c r="N72" i="20"/>
  <c r="L72" i="20"/>
  <c r="J72" i="20"/>
  <c r="H72" i="20"/>
  <c r="T71" i="20"/>
  <c r="R71" i="20"/>
  <c r="P71" i="20"/>
  <c r="N71" i="20"/>
  <c r="L71" i="20"/>
  <c r="J71" i="20"/>
  <c r="H71" i="20"/>
  <c r="T70" i="20"/>
  <c r="R70" i="20"/>
  <c r="P70" i="20"/>
  <c r="N70" i="20"/>
  <c r="L70" i="20"/>
  <c r="J70" i="20"/>
  <c r="H70" i="20"/>
  <c r="T69" i="20"/>
  <c r="R69" i="20"/>
  <c r="P69" i="20"/>
  <c r="N69" i="20"/>
  <c r="L69" i="20"/>
  <c r="J69" i="20"/>
  <c r="H69" i="20"/>
  <c r="T68" i="20"/>
  <c r="R68" i="20"/>
  <c r="P68" i="20"/>
  <c r="N68" i="20"/>
  <c r="L68" i="20"/>
  <c r="J68" i="20"/>
  <c r="H68" i="20"/>
  <c r="T67" i="20"/>
  <c r="R67" i="20"/>
  <c r="P67" i="20"/>
  <c r="N67" i="20"/>
  <c r="L67" i="20"/>
  <c r="J67" i="20"/>
  <c r="H67" i="20"/>
  <c r="T66" i="20"/>
  <c r="R66" i="20"/>
  <c r="P66" i="20"/>
  <c r="N66" i="20"/>
  <c r="L66" i="20"/>
  <c r="J66" i="20"/>
  <c r="H66" i="20"/>
  <c r="T65" i="20"/>
  <c r="R65" i="20"/>
  <c r="P65" i="20"/>
  <c r="N65" i="20"/>
  <c r="L65" i="20"/>
  <c r="J65" i="20"/>
  <c r="H65" i="20"/>
  <c r="T64" i="20"/>
  <c r="R64" i="20"/>
  <c r="P64" i="20"/>
  <c r="N64" i="20"/>
  <c r="L64" i="20"/>
  <c r="J64" i="20"/>
  <c r="H64" i="20"/>
  <c r="T63" i="20"/>
  <c r="R63" i="20"/>
  <c r="P63" i="20"/>
  <c r="N63" i="20"/>
  <c r="L63" i="20"/>
  <c r="J63" i="20"/>
  <c r="H63" i="20"/>
  <c r="T62" i="20"/>
  <c r="R62" i="20"/>
  <c r="P62" i="20"/>
  <c r="N62" i="20"/>
  <c r="L62" i="20"/>
  <c r="J62" i="20"/>
  <c r="H62" i="20"/>
  <c r="T61" i="20"/>
  <c r="R61" i="20"/>
  <c r="P61" i="20"/>
  <c r="N61" i="20"/>
  <c r="L61" i="20"/>
  <c r="J61" i="20"/>
  <c r="H61" i="20"/>
  <c r="T60" i="20"/>
  <c r="R60" i="20"/>
  <c r="P60" i="20"/>
  <c r="N60" i="20"/>
  <c r="L60" i="20"/>
  <c r="J60" i="20"/>
  <c r="H60" i="20"/>
  <c r="T59" i="20"/>
  <c r="R59" i="20"/>
  <c r="P59" i="20"/>
  <c r="N59" i="20"/>
  <c r="L59" i="20"/>
  <c r="J59" i="20"/>
  <c r="H59" i="20"/>
  <c r="T58" i="20"/>
  <c r="R58" i="20"/>
  <c r="P58" i="20"/>
  <c r="N58" i="20"/>
  <c r="L58" i="20"/>
  <c r="J58" i="20"/>
  <c r="H58" i="20"/>
  <c r="T57" i="20"/>
  <c r="R57" i="20"/>
  <c r="P57" i="20"/>
  <c r="N57" i="20"/>
  <c r="L57" i="20"/>
  <c r="J57" i="20"/>
  <c r="H57" i="20"/>
  <c r="T56" i="20"/>
  <c r="R56" i="20"/>
  <c r="P56" i="20"/>
  <c r="N56" i="20"/>
  <c r="L56" i="20"/>
  <c r="J56" i="20"/>
  <c r="H56" i="20"/>
  <c r="T55" i="20"/>
  <c r="R55" i="20"/>
  <c r="P55" i="20"/>
  <c r="N55" i="20"/>
  <c r="L55" i="20"/>
  <c r="J55" i="20"/>
  <c r="H55" i="20"/>
  <c r="T54" i="20"/>
  <c r="R54" i="20"/>
  <c r="P54" i="20"/>
  <c r="N54" i="20"/>
  <c r="L54" i="20"/>
  <c r="J54" i="20"/>
  <c r="H54" i="20"/>
  <c r="T53" i="20"/>
  <c r="R53" i="20"/>
  <c r="P53" i="20"/>
  <c r="N53" i="20"/>
  <c r="L53" i="20"/>
  <c r="J53" i="20"/>
  <c r="H53" i="20"/>
  <c r="T52" i="20"/>
  <c r="R52" i="20"/>
  <c r="P52" i="20"/>
  <c r="N52" i="20"/>
  <c r="L52" i="20"/>
  <c r="J52" i="20"/>
  <c r="H52" i="20"/>
  <c r="T51" i="20"/>
  <c r="R51" i="20"/>
  <c r="P51" i="20"/>
  <c r="N51" i="20"/>
  <c r="L51" i="20"/>
  <c r="J51" i="20"/>
  <c r="H51" i="20"/>
  <c r="T50" i="20"/>
  <c r="R50" i="20"/>
  <c r="P50" i="20"/>
  <c r="N50" i="20"/>
  <c r="L50" i="20"/>
  <c r="J50" i="20"/>
  <c r="H50" i="20"/>
  <c r="T49" i="20"/>
  <c r="R49" i="20"/>
  <c r="P49" i="20"/>
  <c r="N49" i="20"/>
  <c r="L49" i="20"/>
  <c r="J49" i="20"/>
  <c r="H49" i="20"/>
  <c r="T48" i="20"/>
  <c r="R48" i="20"/>
  <c r="P48" i="20"/>
  <c r="N48" i="20"/>
  <c r="L48" i="20"/>
  <c r="J48" i="20"/>
  <c r="H48" i="20"/>
  <c r="T47" i="20"/>
  <c r="R47" i="20"/>
  <c r="P47" i="20"/>
  <c r="N47" i="20"/>
  <c r="L47" i="20"/>
  <c r="J47" i="20"/>
  <c r="H47" i="20"/>
  <c r="T46" i="20"/>
  <c r="R46" i="20"/>
  <c r="P46" i="20"/>
  <c r="N46" i="20"/>
  <c r="L46" i="20"/>
  <c r="J46" i="20"/>
  <c r="H46" i="20"/>
  <c r="T45" i="20"/>
  <c r="R45" i="20"/>
  <c r="P45" i="20"/>
  <c r="N45" i="20"/>
  <c r="L45" i="20"/>
  <c r="J45" i="20"/>
  <c r="H45" i="20"/>
  <c r="T44" i="20"/>
  <c r="R44" i="20"/>
  <c r="P44" i="20"/>
  <c r="N44" i="20"/>
  <c r="L44" i="20"/>
  <c r="J44" i="20"/>
  <c r="H44" i="20"/>
  <c r="T43" i="20"/>
  <c r="R43" i="20"/>
  <c r="P43" i="20"/>
  <c r="N43" i="20"/>
  <c r="L43" i="20"/>
  <c r="J43" i="20"/>
  <c r="H43" i="20"/>
  <c r="T42" i="20"/>
  <c r="R42" i="20"/>
  <c r="P42" i="20"/>
  <c r="N42" i="20"/>
  <c r="L42" i="20"/>
  <c r="J42" i="20"/>
  <c r="H42" i="20"/>
  <c r="T41" i="20"/>
  <c r="R41" i="20"/>
  <c r="P41" i="20"/>
  <c r="N41" i="20"/>
  <c r="L41" i="20"/>
  <c r="J41" i="20"/>
  <c r="H41" i="20"/>
  <c r="T40" i="20"/>
  <c r="R40" i="20"/>
  <c r="P40" i="20"/>
  <c r="N40" i="20"/>
  <c r="L40" i="20"/>
  <c r="J40" i="20"/>
  <c r="H40" i="20"/>
  <c r="T39" i="20"/>
  <c r="R39" i="20"/>
  <c r="P39" i="20"/>
  <c r="N39" i="20"/>
  <c r="L39" i="20"/>
  <c r="J39" i="20"/>
  <c r="H39" i="20"/>
  <c r="T38" i="20"/>
  <c r="R38" i="20"/>
  <c r="P38" i="20"/>
  <c r="N38" i="20"/>
  <c r="L38" i="20"/>
  <c r="J38" i="20"/>
  <c r="H38" i="20"/>
  <c r="T37" i="20"/>
  <c r="R37" i="20"/>
  <c r="P37" i="20"/>
  <c r="N37" i="20"/>
  <c r="L37" i="20"/>
  <c r="J37" i="20"/>
  <c r="H37" i="20"/>
  <c r="T36" i="20"/>
  <c r="R36" i="20"/>
  <c r="P36" i="20"/>
  <c r="N36" i="20"/>
  <c r="L36" i="20"/>
  <c r="J36" i="20"/>
  <c r="H36" i="20"/>
  <c r="T35" i="20"/>
  <c r="R35" i="20"/>
  <c r="P35" i="20"/>
  <c r="N35" i="20"/>
  <c r="L35" i="20"/>
  <c r="J35" i="20"/>
  <c r="H35" i="20"/>
  <c r="T34" i="20"/>
  <c r="R34" i="20"/>
  <c r="P34" i="20"/>
  <c r="N34" i="20"/>
  <c r="L34" i="20"/>
  <c r="J34" i="20"/>
  <c r="H34" i="20"/>
  <c r="T33" i="20"/>
  <c r="R33" i="20"/>
  <c r="P33" i="20"/>
  <c r="N33" i="20"/>
  <c r="L33" i="20"/>
  <c r="J33" i="20"/>
  <c r="H33" i="20"/>
  <c r="T32" i="20"/>
  <c r="R32" i="20"/>
  <c r="P32" i="20"/>
  <c r="N32" i="20"/>
  <c r="L32" i="20"/>
  <c r="J32" i="20"/>
  <c r="H32" i="20"/>
  <c r="T31" i="20"/>
  <c r="R31" i="20"/>
  <c r="P31" i="20"/>
  <c r="N31" i="20"/>
  <c r="L31" i="20"/>
  <c r="J31" i="20"/>
  <c r="H31" i="20"/>
  <c r="T30" i="20"/>
  <c r="R30" i="20"/>
  <c r="P30" i="20"/>
  <c r="N30" i="20"/>
  <c r="L30" i="20"/>
  <c r="J30" i="20"/>
  <c r="H30" i="20"/>
  <c r="T29" i="20"/>
  <c r="R29" i="20"/>
  <c r="P29" i="20"/>
  <c r="N29" i="20"/>
  <c r="L29" i="20"/>
  <c r="J29" i="20"/>
  <c r="H29" i="20"/>
  <c r="T28" i="20"/>
  <c r="R28" i="20"/>
  <c r="P28" i="20"/>
  <c r="N28" i="20"/>
  <c r="L28" i="20"/>
  <c r="J28" i="20"/>
  <c r="H28" i="20"/>
  <c r="T27" i="20"/>
  <c r="R27" i="20"/>
  <c r="P27" i="20"/>
  <c r="N27" i="20"/>
  <c r="L27" i="20"/>
  <c r="J27" i="20"/>
  <c r="H27" i="20"/>
  <c r="T26" i="20"/>
  <c r="R26" i="20"/>
  <c r="P26" i="20"/>
  <c r="N26" i="20"/>
  <c r="L26" i="20"/>
  <c r="J26" i="20"/>
  <c r="H26" i="20"/>
  <c r="T25" i="20"/>
  <c r="R25" i="20"/>
  <c r="P25" i="20"/>
  <c r="N25" i="20"/>
  <c r="L25" i="20"/>
  <c r="J25" i="20"/>
  <c r="H25" i="20"/>
  <c r="T24" i="20"/>
  <c r="R24" i="20"/>
  <c r="P24" i="20"/>
  <c r="N24" i="20"/>
  <c r="L24" i="20"/>
  <c r="J24" i="20"/>
  <c r="H24" i="20"/>
  <c r="T23" i="20"/>
  <c r="R23" i="20"/>
  <c r="P23" i="20"/>
  <c r="N23" i="20"/>
  <c r="L23" i="20"/>
  <c r="J23" i="20"/>
  <c r="H23" i="20"/>
  <c r="F15" i="20"/>
  <c r="E15" i="20"/>
  <c r="D15" i="20"/>
  <c r="C15" i="20"/>
  <c r="F7" i="20"/>
  <c r="E7" i="20"/>
  <c r="D7" i="20"/>
  <c r="C7" i="20"/>
  <c r="F6" i="20"/>
  <c r="E6" i="20"/>
  <c r="D6" i="20"/>
  <c r="C6" i="20"/>
  <c r="F5" i="20"/>
  <c r="E5" i="20"/>
  <c r="D5" i="20"/>
  <c r="C5" i="20"/>
  <c r="B4" i="20"/>
  <c r="B2" i="20"/>
  <c r="H5" i="21" l="1"/>
  <c r="O5" i="21" s="1"/>
  <c r="H7" i="21"/>
  <c r="O7" i="21" s="1"/>
  <c r="I15" i="21"/>
  <c r="F8" i="21"/>
  <c r="F13" i="21"/>
  <c r="G6" i="21"/>
  <c r="N6" i="21" s="1"/>
  <c r="E13" i="21"/>
  <c r="F14" i="21"/>
  <c r="J5" i="21"/>
  <c r="M5" i="21" s="1"/>
  <c r="F11" i="21"/>
  <c r="D10" i="21"/>
  <c r="J7" i="21"/>
  <c r="M7" i="21" s="1"/>
  <c r="E8" i="21"/>
  <c r="E9" i="21"/>
  <c r="E10" i="21"/>
  <c r="C10" i="21"/>
  <c r="D11" i="21"/>
  <c r="D13" i="21"/>
  <c r="D14" i="21"/>
  <c r="H6" i="21"/>
  <c r="O6" i="21" s="1"/>
  <c r="G5" i="21"/>
  <c r="N5" i="21" s="1"/>
  <c r="J6" i="21"/>
  <c r="M6" i="21" s="1"/>
  <c r="F9" i="21"/>
  <c r="I7" i="21"/>
  <c r="L7" i="21" s="1"/>
  <c r="H15" i="21"/>
  <c r="O15" i="21" s="1"/>
  <c r="J15" i="21"/>
  <c r="M15" i="21" s="1"/>
  <c r="F12" i="21"/>
  <c r="F10" i="21"/>
  <c r="D8" i="21"/>
  <c r="D9" i="21"/>
  <c r="D12" i="21"/>
  <c r="C14" i="21"/>
  <c r="I6" i="21"/>
  <c r="L6" i="21" s="1"/>
  <c r="C12" i="21"/>
  <c r="L15" i="21"/>
  <c r="C9" i="21"/>
  <c r="K6" i="21"/>
  <c r="E12" i="21"/>
  <c r="I5" i="21"/>
  <c r="L5" i="21" s="1"/>
  <c r="G7" i="21"/>
  <c r="N7" i="21" s="1"/>
  <c r="C11" i="21"/>
  <c r="G15" i="21"/>
  <c r="N15" i="21" s="1"/>
  <c r="K7" i="21"/>
  <c r="C8" i="21"/>
  <c r="E14" i="21"/>
  <c r="K15" i="21"/>
  <c r="K5" i="21"/>
  <c r="E11" i="21"/>
  <c r="C13" i="21"/>
  <c r="H6" i="20"/>
  <c r="O6" i="20" s="1"/>
  <c r="H7" i="20"/>
  <c r="O7" i="20" s="1"/>
  <c r="J6" i="20"/>
  <c r="E10" i="20"/>
  <c r="J15" i="20"/>
  <c r="M15" i="20" s="1"/>
  <c r="C12" i="20"/>
  <c r="I6" i="20"/>
  <c r="L6" i="20" s="1"/>
  <c r="K15" i="20"/>
  <c r="F12" i="20"/>
  <c r="D14" i="20"/>
  <c r="H15" i="20"/>
  <c r="F13" i="20"/>
  <c r="F14" i="20"/>
  <c r="D12" i="20"/>
  <c r="J7" i="20"/>
  <c r="M7" i="20" s="1"/>
  <c r="E14" i="20"/>
  <c r="F8" i="20"/>
  <c r="E9" i="20"/>
  <c r="D9" i="20"/>
  <c r="D10" i="20"/>
  <c r="D11" i="20"/>
  <c r="C13" i="20"/>
  <c r="E8" i="20"/>
  <c r="C9" i="20"/>
  <c r="M6" i="20"/>
  <c r="D8" i="20"/>
  <c r="G6" i="20"/>
  <c r="N6" i="20" s="1"/>
  <c r="F10" i="20"/>
  <c r="C10" i="20"/>
  <c r="F9" i="20"/>
  <c r="I5" i="20"/>
  <c r="L5" i="20" s="1"/>
  <c r="F11" i="20"/>
  <c r="D13" i="20"/>
  <c r="K5" i="20"/>
  <c r="G5" i="20"/>
  <c r="N5" i="20" s="1"/>
  <c r="E11" i="20"/>
  <c r="K7" i="20"/>
  <c r="E13" i="20"/>
  <c r="J13" i="20" s="1"/>
  <c r="M13" i="20" s="1"/>
  <c r="O15" i="20"/>
  <c r="E12" i="20"/>
  <c r="C14" i="20"/>
  <c r="K6" i="20"/>
  <c r="G7" i="20"/>
  <c r="N7" i="20" s="1"/>
  <c r="C11" i="20"/>
  <c r="G15" i="20"/>
  <c r="N15" i="20" s="1"/>
  <c r="H5" i="20"/>
  <c r="O5" i="20" s="1"/>
  <c r="J5" i="20"/>
  <c r="M5" i="20" s="1"/>
  <c r="C8" i="20"/>
  <c r="I7" i="20"/>
  <c r="L7" i="20" s="1"/>
  <c r="I15" i="20"/>
  <c r="L15" i="20" s="1"/>
  <c r="N23" i="4"/>
  <c r="P23" i="4"/>
  <c r="R23" i="4"/>
  <c r="T23" i="4"/>
  <c r="N24" i="4"/>
  <c r="P24" i="4"/>
  <c r="R24" i="4"/>
  <c r="T24" i="4"/>
  <c r="N25" i="4"/>
  <c r="P25" i="4"/>
  <c r="R25" i="4"/>
  <c r="T25" i="4"/>
  <c r="N26" i="4"/>
  <c r="P26" i="4"/>
  <c r="R26" i="4"/>
  <c r="T26" i="4"/>
  <c r="N27" i="4"/>
  <c r="P27" i="4"/>
  <c r="R27" i="4"/>
  <c r="T27" i="4"/>
  <c r="N28" i="4"/>
  <c r="P28" i="4"/>
  <c r="R28" i="4"/>
  <c r="T28" i="4"/>
  <c r="N29" i="4"/>
  <c r="P29" i="4"/>
  <c r="R29" i="4"/>
  <c r="T29" i="4"/>
  <c r="N30" i="4"/>
  <c r="P30" i="4"/>
  <c r="R30" i="4"/>
  <c r="T30" i="4"/>
  <c r="N31" i="4"/>
  <c r="P31" i="4"/>
  <c r="R31" i="4"/>
  <c r="T31" i="4"/>
  <c r="N32" i="4"/>
  <c r="P32" i="4"/>
  <c r="R32" i="4"/>
  <c r="T32" i="4"/>
  <c r="N33" i="4"/>
  <c r="P33" i="4"/>
  <c r="R33" i="4"/>
  <c r="T33" i="4"/>
  <c r="N34" i="4"/>
  <c r="P34" i="4"/>
  <c r="R34" i="4"/>
  <c r="T34" i="4"/>
  <c r="N35" i="4"/>
  <c r="P35" i="4"/>
  <c r="R35" i="4"/>
  <c r="T35" i="4"/>
  <c r="N36" i="4"/>
  <c r="P36" i="4"/>
  <c r="R36" i="4"/>
  <c r="T36" i="4"/>
  <c r="N37" i="4"/>
  <c r="P37" i="4"/>
  <c r="R37" i="4"/>
  <c r="T37" i="4"/>
  <c r="N38" i="4"/>
  <c r="P38" i="4"/>
  <c r="R38" i="4"/>
  <c r="T38" i="4"/>
  <c r="N39" i="4"/>
  <c r="P39" i="4"/>
  <c r="R39" i="4"/>
  <c r="T39" i="4"/>
  <c r="N40" i="4"/>
  <c r="P40" i="4"/>
  <c r="R40" i="4"/>
  <c r="T40" i="4"/>
  <c r="N41" i="4"/>
  <c r="P41" i="4"/>
  <c r="R41" i="4"/>
  <c r="T41" i="4"/>
  <c r="N42" i="4"/>
  <c r="P42" i="4"/>
  <c r="R42" i="4"/>
  <c r="T42" i="4"/>
  <c r="N43" i="4"/>
  <c r="P43" i="4"/>
  <c r="R43" i="4"/>
  <c r="T43" i="4"/>
  <c r="N44" i="4"/>
  <c r="P44" i="4"/>
  <c r="R44" i="4"/>
  <c r="T44" i="4"/>
  <c r="N45" i="4"/>
  <c r="P45" i="4"/>
  <c r="R45" i="4"/>
  <c r="T45" i="4"/>
  <c r="N46" i="4"/>
  <c r="P46" i="4"/>
  <c r="R46" i="4"/>
  <c r="T46" i="4"/>
  <c r="N47" i="4"/>
  <c r="P47" i="4"/>
  <c r="R47" i="4"/>
  <c r="T47" i="4"/>
  <c r="N48" i="4"/>
  <c r="P48" i="4"/>
  <c r="R48" i="4"/>
  <c r="T48" i="4"/>
  <c r="N49" i="4"/>
  <c r="P49" i="4"/>
  <c r="R49" i="4"/>
  <c r="T49" i="4"/>
  <c r="N50" i="4"/>
  <c r="P50" i="4"/>
  <c r="R50" i="4"/>
  <c r="T50" i="4"/>
  <c r="N51" i="4"/>
  <c r="P51" i="4"/>
  <c r="R51" i="4"/>
  <c r="T51" i="4"/>
  <c r="N52" i="4"/>
  <c r="P52" i="4"/>
  <c r="R52" i="4"/>
  <c r="T52" i="4"/>
  <c r="N53" i="4"/>
  <c r="P53" i="4"/>
  <c r="R53" i="4"/>
  <c r="T53" i="4"/>
  <c r="N54" i="4"/>
  <c r="P54" i="4"/>
  <c r="R54" i="4"/>
  <c r="T54" i="4"/>
  <c r="N55" i="4"/>
  <c r="P55" i="4"/>
  <c r="R55" i="4"/>
  <c r="T55" i="4"/>
  <c r="N56" i="4"/>
  <c r="P56" i="4"/>
  <c r="R56" i="4"/>
  <c r="T56" i="4"/>
  <c r="N57" i="4"/>
  <c r="P57" i="4"/>
  <c r="R57" i="4"/>
  <c r="T57" i="4"/>
  <c r="N58" i="4"/>
  <c r="P58" i="4"/>
  <c r="R58" i="4"/>
  <c r="T58" i="4"/>
  <c r="N59" i="4"/>
  <c r="P59" i="4"/>
  <c r="R59" i="4"/>
  <c r="T59" i="4"/>
  <c r="N60" i="4"/>
  <c r="P60" i="4"/>
  <c r="R60" i="4"/>
  <c r="T60" i="4"/>
  <c r="N61" i="4"/>
  <c r="P61" i="4"/>
  <c r="R61" i="4"/>
  <c r="T61" i="4"/>
  <c r="N62" i="4"/>
  <c r="P62" i="4"/>
  <c r="R62" i="4"/>
  <c r="T62" i="4"/>
  <c r="N63" i="4"/>
  <c r="P63" i="4"/>
  <c r="R63" i="4"/>
  <c r="T63" i="4"/>
  <c r="N64" i="4"/>
  <c r="P64" i="4"/>
  <c r="R64" i="4"/>
  <c r="T64" i="4"/>
  <c r="N65" i="4"/>
  <c r="P65" i="4"/>
  <c r="R65" i="4"/>
  <c r="T65" i="4"/>
  <c r="N66" i="4"/>
  <c r="P66" i="4"/>
  <c r="R66" i="4"/>
  <c r="T66" i="4"/>
  <c r="N67" i="4"/>
  <c r="P67" i="4"/>
  <c r="R67" i="4"/>
  <c r="T67" i="4"/>
  <c r="N68" i="4"/>
  <c r="P68" i="4"/>
  <c r="R68" i="4"/>
  <c r="T68" i="4"/>
  <c r="N69" i="4"/>
  <c r="P69" i="4"/>
  <c r="R69" i="4"/>
  <c r="T69" i="4"/>
  <c r="N70" i="4"/>
  <c r="P70" i="4"/>
  <c r="R70" i="4"/>
  <c r="T70" i="4"/>
  <c r="N71" i="4"/>
  <c r="P71" i="4"/>
  <c r="R71" i="4"/>
  <c r="T71" i="4"/>
  <c r="N72" i="4"/>
  <c r="P72" i="4"/>
  <c r="R72" i="4"/>
  <c r="T72" i="4"/>
  <c r="N73" i="4"/>
  <c r="P73" i="4"/>
  <c r="R73" i="4"/>
  <c r="T73" i="4"/>
  <c r="N74" i="4"/>
  <c r="P74" i="4"/>
  <c r="R74" i="4"/>
  <c r="T74" i="4"/>
  <c r="N75" i="4"/>
  <c r="P75" i="4"/>
  <c r="R75" i="4"/>
  <c r="T75" i="4"/>
  <c r="N76" i="4"/>
  <c r="P76" i="4"/>
  <c r="R76" i="4"/>
  <c r="T76" i="4"/>
  <c r="N77" i="4"/>
  <c r="P77" i="4"/>
  <c r="R77" i="4"/>
  <c r="T77" i="4"/>
  <c r="N78" i="4"/>
  <c r="P78" i="4"/>
  <c r="R78" i="4"/>
  <c r="T78" i="4"/>
  <c r="N79" i="4"/>
  <c r="P79" i="4"/>
  <c r="R79" i="4"/>
  <c r="T79" i="4"/>
  <c r="N80" i="4"/>
  <c r="P80" i="4"/>
  <c r="R80" i="4"/>
  <c r="T80" i="4"/>
  <c r="N81" i="4"/>
  <c r="P81" i="4"/>
  <c r="R81" i="4"/>
  <c r="T81" i="4"/>
  <c r="N82" i="4"/>
  <c r="P82" i="4"/>
  <c r="R82" i="4"/>
  <c r="T82" i="4"/>
  <c r="N83" i="4"/>
  <c r="P83" i="4"/>
  <c r="R83" i="4"/>
  <c r="T83" i="4"/>
  <c r="N84" i="4"/>
  <c r="P84" i="4"/>
  <c r="R84" i="4"/>
  <c r="T84" i="4"/>
  <c r="N85" i="4"/>
  <c r="P85" i="4"/>
  <c r="R85" i="4"/>
  <c r="T85" i="4"/>
  <c r="N86" i="4"/>
  <c r="P86" i="4"/>
  <c r="R86" i="4"/>
  <c r="T86" i="4"/>
  <c r="N87" i="4"/>
  <c r="P87" i="4"/>
  <c r="R87" i="4"/>
  <c r="T87" i="4"/>
  <c r="N88" i="4"/>
  <c r="P88" i="4"/>
  <c r="R88" i="4"/>
  <c r="T88" i="4"/>
  <c r="N89" i="4"/>
  <c r="P89" i="4"/>
  <c r="R89" i="4"/>
  <c r="T89" i="4"/>
  <c r="N90" i="4"/>
  <c r="P90" i="4"/>
  <c r="R90" i="4"/>
  <c r="T90" i="4"/>
  <c r="N91" i="4"/>
  <c r="P91" i="4"/>
  <c r="R91" i="4"/>
  <c r="T91" i="4"/>
  <c r="N92" i="4"/>
  <c r="P92" i="4"/>
  <c r="R92" i="4"/>
  <c r="T92" i="4"/>
  <c r="N93" i="4"/>
  <c r="P93" i="4"/>
  <c r="R93" i="4"/>
  <c r="T93" i="4"/>
  <c r="N94" i="4"/>
  <c r="P94" i="4"/>
  <c r="R94" i="4"/>
  <c r="T94" i="4"/>
  <c r="N95" i="4"/>
  <c r="P95" i="4"/>
  <c r="R95" i="4"/>
  <c r="T95" i="4"/>
  <c r="N96" i="4"/>
  <c r="P96" i="4"/>
  <c r="R96" i="4"/>
  <c r="T96" i="4"/>
  <c r="N97" i="4"/>
  <c r="P97" i="4"/>
  <c r="R97" i="4"/>
  <c r="T97" i="4"/>
  <c r="N98" i="4"/>
  <c r="P98" i="4"/>
  <c r="R98" i="4"/>
  <c r="T98" i="4"/>
  <c r="N99" i="4"/>
  <c r="P99" i="4"/>
  <c r="R99" i="4"/>
  <c r="T99" i="4"/>
  <c r="N100" i="4"/>
  <c r="P100" i="4"/>
  <c r="R100" i="4"/>
  <c r="T100" i="4"/>
  <c r="N101" i="4"/>
  <c r="P101" i="4"/>
  <c r="R101" i="4"/>
  <c r="T101" i="4"/>
  <c r="N102" i="4"/>
  <c r="P102" i="4"/>
  <c r="R102" i="4"/>
  <c r="T102" i="4"/>
  <c r="N103" i="4"/>
  <c r="P103" i="4"/>
  <c r="R103" i="4"/>
  <c r="T103" i="4"/>
  <c r="N104" i="4"/>
  <c r="P104" i="4"/>
  <c r="R104" i="4"/>
  <c r="T104" i="4"/>
  <c r="N105" i="4"/>
  <c r="P105" i="4"/>
  <c r="R105" i="4"/>
  <c r="T105" i="4"/>
  <c r="N106" i="4"/>
  <c r="P106" i="4"/>
  <c r="R106" i="4"/>
  <c r="T106" i="4"/>
  <c r="N107" i="4"/>
  <c r="P107" i="4"/>
  <c r="R107" i="4"/>
  <c r="T107" i="4"/>
  <c r="N108" i="4"/>
  <c r="P108" i="4"/>
  <c r="R108" i="4"/>
  <c r="T108" i="4"/>
  <c r="N109" i="4"/>
  <c r="P109" i="4"/>
  <c r="R109" i="4"/>
  <c r="T109" i="4"/>
  <c r="N110" i="4"/>
  <c r="P110" i="4"/>
  <c r="R110" i="4"/>
  <c r="T110" i="4"/>
  <c r="N111" i="4"/>
  <c r="P111" i="4"/>
  <c r="R111" i="4"/>
  <c r="T111" i="4"/>
  <c r="N112" i="4"/>
  <c r="P112" i="4"/>
  <c r="R112" i="4"/>
  <c r="T112" i="4"/>
  <c r="N114" i="4"/>
  <c r="P114" i="4"/>
  <c r="R114" i="4"/>
  <c r="T114" i="4"/>
  <c r="N115" i="4"/>
  <c r="P115" i="4"/>
  <c r="R115" i="4"/>
  <c r="T115" i="4"/>
  <c r="N116" i="4"/>
  <c r="P116" i="4"/>
  <c r="R116" i="4"/>
  <c r="T116" i="4"/>
  <c r="N117" i="4"/>
  <c r="P117" i="4"/>
  <c r="R117" i="4"/>
  <c r="T117" i="4"/>
  <c r="N118" i="4"/>
  <c r="P118" i="4"/>
  <c r="R118" i="4"/>
  <c r="T118" i="4"/>
  <c r="N119" i="4"/>
  <c r="P119" i="4"/>
  <c r="R119" i="4"/>
  <c r="T119" i="4"/>
  <c r="N120" i="4"/>
  <c r="P120" i="4"/>
  <c r="R120" i="4"/>
  <c r="T120" i="4"/>
  <c r="N121" i="4"/>
  <c r="P121" i="4"/>
  <c r="R121" i="4"/>
  <c r="T121" i="4"/>
  <c r="N122" i="4"/>
  <c r="P122" i="4"/>
  <c r="R122" i="4"/>
  <c r="T122" i="4"/>
  <c r="N123" i="4"/>
  <c r="P123" i="4"/>
  <c r="R123" i="4"/>
  <c r="T123" i="4"/>
  <c r="N124" i="4"/>
  <c r="P124" i="4"/>
  <c r="R124" i="4"/>
  <c r="T124" i="4"/>
  <c r="N125" i="4"/>
  <c r="P125" i="4"/>
  <c r="R125" i="4"/>
  <c r="T125" i="4"/>
  <c r="N126" i="4"/>
  <c r="P126" i="4"/>
  <c r="R126" i="4"/>
  <c r="T126" i="4"/>
  <c r="N127" i="4"/>
  <c r="P127" i="4"/>
  <c r="R127" i="4"/>
  <c r="T127" i="4"/>
  <c r="N128" i="4"/>
  <c r="P128" i="4"/>
  <c r="R128" i="4"/>
  <c r="T128" i="4"/>
  <c r="N129" i="4"/>
  <c r="P129" i="4"/>
  <c r="R129" i="4"/>
  <c r="T129" i="4"/>
  <c r="N130" i="4"/>
  <c r="P130" i="4"/>
  <c r="R130" i="4"/>
  <c r="T130" i="4"/>
  <c r="N131" i="4"/>
  <c r="P131" i="4"/>
  <c r="R131" i="4"/>
  <c r="T131" i="4"/>
  <c r="N132" i="4"/>
  <c r="P132" i="4"/>
  <c r="R132" i="4"/>
  <c r="T132" i="4"/>
  <c r="N133" i="4"/>
  <c r="P133" i="4"/>
  <c r="R133" i="4"/>
  <c r="T133" i="4"/>
  <c r="N134" i="4"/>
  <c r="P134" i="4"/>
  <c r="R134" i="4"/>
  <c r="T134" i="4"/>
  <c r="N135" i="4"/>
  <c r="P135" i="4"/>
  <c r="R135" i="4"/>
  <c r="T135" i="4"/>
  <c r="N136" i="4"/>
  <c r="P136" i="4"/>
  <c r="R136" i="4"/>
  <c r="T136" i="4"/>
  <c r="N137" i="4"/>
  <c r="P137" i="4"/>
  <c r="R137" i="4"/>
  <c r="T137" i="4"/>
  <c r="N138" i="4"/>
  <c r="P138" i="4"/>
  <c r="R138" i="4"/>
  <c r="T138" i="4"/>
  <c r="N139" i="4"/>
  <c r="P139" i="4"/>
  <c r="R139" i="4"/>
  <c r="T139" i="4"/>
  <c r="N140" i="4"/>
  <c r="P140" i="4"/>
  <c r="R140" i="4"/>
  <c r="T140" i="4"/>
  <c r="N141" i="4"/>
  <c r="P141" i="4"/>
  <c r="R141" i="4"/>
  <c r="T141" i="4"/>
  <c r="N142" i="4"/>
  <c r="P142" i="4"/>
  <c r="R142" i="4"/>
  <c r="T142" i="4"/>
  <c r="N143" i="4"/>
  <c r="P143" i="4"/>
  <c r="R143" i="4"/>
  <c r="T143" i="4"/>
  <c r="N144" i="4"/>
  <c r="P144" i="4"/>
  <c r="R144" i="4"/>
  <c r="T144" i="4"/>
  <c r="N145" i="4"/>
  <c r="P145" i="4"/>
  <c r="R145" i="4"/>
  <c r="T145" i="4"/>
  <c r="N146" i="4"/>
  <c r="P146" i="4"/>
  <c r="R146" i="4"/>
  <c r="T146" i="4"/>
  <c r="N147" i="4"/>
  <c r="P147" i="4"/>
  <c r="R147" i="4"/>
  <c r="T147" i="4"/>
  <c r="N148" i="4"/>
  <c r="P148" i="4"/>
  <c r="R148" i="4"/>
  <c r="T148" i="4"/>
  <c r="N149" i="4"/>
  <c r="P149" i="4"/>
  <c r="R149" i="4"/>
  <c r="T149" i="4"/>
  <c r="N150" i="4"/>
  <c r="P150" i="4"/>
  <c r="R150" i="4"/>
  <c r="T150" i="4"/>
  <c r="N151" i="4"/>
  <c r="P151" i="4"/>
  <c r="R151" i="4"/>
  <c r="T151" i="4"/>
  <c r="N152" i="4"/>
  <c r="P152" i="4"/>
  <c r="R152" i="4"/>
  <c r="T152" i="4"/>
  <c r="N153" i="4"/>
  <c r="P153" i="4"/>
  <c r="R153" i="4"/>
  <c r="T153" i="4"/>
  <c r="N154" i="4"/>
  <c r="P154" i="4"/>
  <c r="R154" i="4"/>
  <c r="T154" i="4"/>
  <c r="N155" i="4"/>
  <c r="P155" i="4"/>
  <c r="R155" i="4"/>
  <c r="T155" i="4"/>
  <c r="N156" i="4"/>
  <c r="P156" i="4"/>
  <c r="R156" i="4"/>
  <c r="T156" i="4"/>
  <c r="N157" i="4"/>
  <c r="P157" i="4"/>
  <c r="R157" i="4"/>
  <c r="T157" i="4"/>
  <c r="N158" i="4"/>
  <c r="P158" i="4"/>
  <c r="R158" i="4"/>
  <c r="T158" i="4"/>
  <c r="N159" i="4"/>
  <c r="P159" i="4"/>
  <c r="R159" i="4"/>
  <c r="T159" i="4"/>
  <c r="N160" i="4"/>
  <c r="P160" i="4"/>
  <c r="R160" i="4"/>
  <c r="T160" i="4"/>
  <c r="N161" i="4"/>
  <c r="P161" i="4"/>
  <c r="R161" i="4"/>
  <c r="T161" i="4"/>
  <c r="N162" i="4"/>
  <c r="P162" i="4"/>
  <c r="R162" i="4"/>
  <c r="T162" i="4"/>
  <c r="N163" i="4"/>
  <c r="P163" i="4"/>
  <c r="R163" i="4"/>
  <c r="T163" i="4"/>
  <c r="N164" i="4"/>
  <c r="P164" i="4"/>
  <c r="R164" i="4"/>
  <c r="T164" i="4"/>
  <c r="N165" i="4"/>
  <c r="P165" i="4"/>
  <c r="R165" i="4"/>
  <c r="T165" i="4"/>
  <c r="N166" i="4"/>
  <c r="P166" i="4"/>
  <c r="R166" i="4"/>
  <c r="T166" i="4"/>
  <c r="N167" i="4"/>
  <c r="P167" i="4"/>
  <c r="R167" i="4"/>
  <c r="T167" i="4"/>
  <c r="N168" i="4"/>
  <c r="P168" i="4"/>
  <c r="R168" i="4"/>
  <c r="T168" i="4"/>
  <c r="N169" i="4"/>
  <c r="P169" i="4"/>
  <c r="R169" i="4"/>
  <c r="T169" i="4"/>
  <c r="N170" i="4"/>
  <c r="P170" i="4"/>
  <c r="R170" i="4"/>
  <c r="T170" i="4"/>
  <c r="N171" i="4"/>
  <c r="P171" i="4"/>
  <c r="R171" i="4"/>
  <c r="T171" i="4"/>
  <c r="N172" i="4"/>
  <c r="P172" i="4"/>
  <c r="R172" i="4"/>
  <c r="T172" i="4"/>
  <c r="N173" i="4"/>
  <c r="P173" i="4"/>
  <c r="R173" i="4"/>
  <c r="T173" i="4"/>
  <c r="N174" i="4"/>
  <c r="P174" i="4"/>
  <c r="R174" i="4"/>
  <c r="T174" i="4"/>
  <c r="N175" i="4"/>
  <c r="P175" i="4"/>
  <c r="R175" i="4"/>
  <c r="T175" i="4"/>
  <c r="N176" i="4"/>
  <c r="P176" i="4"/>
  <c r="R176" i="4"/>
  <c r="T176" i="4"/>
  <c r="N177" i="4"/>
  <c r="P177" i="4"/>
  <c r="R177" i="4"/>
  <c r="T177" i="4"/>
  <c r="N178" i="4"/>
  <c r="P178" i="4"/>
  <c r="R178" i="4"/>
  <c r="T178" i="4"/>
  <c r="N179" i="4"/>
  <c r="P179" i="4"/>
  <c r="R179" i="4"/>
  <c r="T179" i="4"/>
  <c r="N180" i="4"/>
  <c r="P180" i="4"/>
  <c r="R180" i="4"/>
  <c r="T180" i="4"/>
  <c r="N181" i="4"/>
  <c r="P181" i="4"/>
  <c r="R181" i="4"/>
  <c r="T181" i="4"/>
  <c r="N182" i="4"/>
  <c r="P182" i="4"/>
  <c r="R182" i="4"/>
  <c r="T182" i="4"/>
  <c r="N183" i="4"/>
  <c r="P183" i="4"/>
  <c r="R183" i="4"/>
  <c r="T183" i="4"/>
  <c r="N184" i="4"/>
  <c r="P184" i="4"/>
  <c r="R184" i="4"/>
  <c r="T184" i="4"/>
  <c r="N185" i="4"/>
  <c r="P185" i="4"/>
  <c r="R185" i="4"/>
  <c r="T185" i="4"/>
  <c r="N186" i="4"/>
  <c r="P186" i="4"/>
  <c r="R186" i="4"/>
  <c r="T186" i="4"/>
  <c r="N187" i="4"/>
  <c r="P187" i="4"/>
  <c r="R187" i="4"/>
  <c r="T187" i="4"/>
  <c r="N188" i="4"/>
  <c r="P188" i="4"/>
  <c r="R188" i="4"/>
  <c r="T188" i="4"/>
  <c r="N189" i="4"/>
  <c r="P189" i="4"/>
  <c r="R189" i="4"/>
  <c r="T189" i="4"/>
  <c r="N190" i="4"/>
  <c r="P190" i="4"/>
  <c r="R190" i="4"/>
  <c r="T190" i="4"/>
  <c r="N191" i="4"/>
  <c r="P191" i="4"/>
  <c r="R191" i="4"/>
  <c r="T191" i="4"/>
  <c r="N192" i="4"/>
  <c r="P192" i="4"/>
  <c r="R192" i="4"/>
  <c r="T192" i="4"/>
  <c r="N193" i="4"/>
  <c r="P193" i="4"/>
  <c r="R193" i="4"/>
  <c r="T193" i="4"/>
  <c r="N194" i="4"/>
  <c r="P194" i="4"/>
  <c r="R194" i="4"/>
  <c r="T194" i="4"/>
  <c r="N195" i="4"/>
  <c r="P195" i="4"/>
  <c r="R195" i="4"/>
  <c r="T195" i="4"/>
  <c r="N196" i="4"/>
  <c r="P196" i="4"/>
  <c r="R196" i="4"/>
  <c r="T196" i="4"/>
  <c r="N197" i="4"/>
  <c r="P197" i="4"/>
  <c r="R197" i="4"/>
  <c r="T197" i="4"/>
  <c r="N198" i="4"/>
  <c r="P198" i="4"/>
  <c r="R198" i="4"/>
  <c r="T198" i="4"/>
  <c r="N199" i="4"/>
  <c r="P199" i="4"/>
  <c r="R199" i="4"/>
  <c r="T199" i="4"/>
  <c r="N200" i="4"/>
  <c r="P200" i="4"/>
  <c r="R200" i="4"/>
  <c r="T200" i="4"/>
  <c r="N201" i="4"/>
  <c r="P201" i="4"/>
  <c r="R201" i="4"/>
  <c r="T201" i="4"/>
  <c r="N202" i="4"/>
  <c r="P202" i="4"/>
  <c r="R202" i="4"/>
  <c r="T202" i="4"/>
  <c r="N204" i="4"/>
  <c r="P204" i="4"/>
  <c r="R204" i="4"/>
  <c r="T204" i="4"/>
  <c r="N205" i="4"/>
  <c r="P205" i="4"/>
  <c r="R205" i="4"/>
  <c r="T205" i="4"/>
  <c r="N206" i="4"/>
  <c r="P206" i="4"/>
  <c r="R206" i="4"/>
  <c r="T206" i="4"/>
  <c r="N207" i="4"/>
  <c r="P207" i="4"/>
  <c r="R207" i="4"/>
  <c r="T207" i="4"/>
  <c r="N208" i="4"/>
  <c r="P208" i="4"/>
  <c r="R208" i="4"/>
  <c r="T208" i="4"/>
  <c r="N209" i="4"/>
  <c r="P209" i="4"/>
  <c r="R209" i="4"/>
  <c r="T209" i="4"/>
  <c r="N210" i="4"/>
  <c r="P210" i="4"/>
  <c r="R210" i="4"/>
  <c r="T210" i="4"/>
  <c r="N211" i="4"/>
  <c r="P211" i="4"/>
  <c r="R211" i="4"/>
  <c r="T211" i="4"/>
  <c r="N212" i="4"/>
  <c r="P212" i="4"/>
  <c r="R212" i="4"/>
  <c r="T212" i="4"/>
  <c r="N213" i="4"/>
  <c r="P213" i="4"/>
  <c r="R213" i="4"/>
  <c r="T213" i="4"/>
  <c r="N214" i="4"/>
  <c r="P214" i="4"/>
  <c r="R214" i="4"/>
  <c r="T214" i="4"/>
  <c r="N215" i="4"/>
  <c r="P215" i="4"/>
  <c r="R215" i="4"/>
  <c r="T215" i="4"/>
  <c r="N216" i="4"/>
  <c r="P216" i="4"/>
  <c r="R216" i="4"/>
  <c r="T216" i="4"/>
  <c r="N217" i="4"/>
  <c r="P217" i="4"/>
  <c r="R217" i="4"/>
  <c r="T217" i="4"/>
  <c r="N218" i="4"/>
  <c r="P218" i="4"/>
  <c r="R218" i="4"/>
  <c r="T218" i="4"/>
  <c r="N219" i="4"/>
  <c r="P219" i="4"/>
  <c r="R219" i="4"/>
  <c r="T219" i="4"/>
  <c r="N220" i="4"/>
  <c r="P220" i="4"/>
  <c r="R220" i="4"/>
  <c r="T220" i="4"/>
  <c r="N221" i="4"/>
  <c r="P221" i="4"/>
  <c r="R221" i="4"/>
  <c r="T221" i="4"/>
  <c r="N222" i="4"/>
  <c r="P222" i="4"/>
  <c r="R222" i="4"/>
  <c r="T222" i="4"/>
  <c r="N223" i="4"/>
  <c r="P223" i="4"/>
  <c r="R223" i="4"/>
  <c r="T223" i="4"/>
  <c r="N224" i="4"/>
  <c r="P224" i="4"/>
  <c r="R224" i="4"/>
  <c r="T224" i="4"/>
  <c r="N225" i="4"/>
  <c r="P225" i="4"/>
  <c r="R225" i="4"/>
  <c r="T225" i="4"/>
  <c r="N226" i="4"/>
  <c r="P226" i="4"/>
  <c r="R226" i="4"/>
  <c r="T226" i="4"/>
  <c r="N227" i="4"/>
  <c r="P227" i="4"/>
  <c r="R227" i="4"/>
  <c r="T227" i="4"/>
  <c r="N228" i="4"/>
  <c r="P228" i="4"/>
  <c r="R228" i="4"/>
  <c r="T228" i="4"/>
  <c r="N229" i="4"/>
  <c r="P229" i="4"/>
  <c r="R229" i="4"/>
  <c r="T229" i="4"/>
  <c r="N230" i="4"/>
  <c r="P230" i="4"/>
  <c r="R230" i="4"/>
  <c r="T230" i="4"/>
  <c r="N231" i="4"/>
  <c r="P231" i="4"/>
  <c r="R231" i="4"/>
  <c r="T231" i="4"/>
  <c r="N232" i="4"/>
  <c r="P232" i="4"/>
  <c r="R232" i="4"/>
  <c r="T232" i="4"/>
  <c r="N233" i="4"/>
  <c r="P233" i="4"/>
  <c r="R233" i="4"/>
  <c r="T233" i="4"/>
  <c r="N234" i="4"/>
  <c r="P234" i="4"/>
  <c r="R234" i="4"/>
  <c r="T234" i="4"/>
  <c r="N235" i="4"/>
  <c r="P235" i="4"/>
  <c r="R235" i="4"/>
  <c r="T235" i="4"/>
  <c r="N236" i="4"/>
  <c r="P236" i="4"/>
  <c r="R236" i="4"/>
  <c r="T236" i="4"/>
  <c r="N237" i="4"/>
  <c r="P237" i="4"/>
  <c r="R237" i="4"/>
  <c r="T237" i="4"/>
  <c r="N238" i="4"/>
  <c r="P238" i="4"/>
  <c r="R238" i="4"/>
  <c r="T238" i="4"/>
  <c r="N239" i="4"/>
  <c r="P239" i="4"/>
  <c r="R239" i="4"/>
  <c r="T239" i="4"/>
  <c r="N240" i="4"/>
  <c r="P240" i="4"/>
  <c r="R240" i="4"/>
  <c r="T240" i="4"/>
  <c r="N241" i="4"/>
  <c r="P241" i="4"/>
  <c r="R241" i="4"/>
  <c r="T241" i="4"/>
  <c r="N242" i="4"/>
  <c r="P242" i="4"/>
  <c r="R242" i="4"/>
  <c r="T242" i="4"/>
  <c r="N243" i="4"/>
  <c r="P243" i="4"/>
  <c r="R243" i="4"/>
  <c r="T243" i="4"/>
  <c r="N244" i="4"/>
  <c r="P244" i="4"/>
  <c r="R244" i="4"/>
  <c r="T244" i="4"/>
  <c r="N245" i="4"/>
  <c r="P245" i="4"/>
  <c r="R245" i="4"/>
  <c r="T245" i="4"/>
  <c r="N246" i="4"/>
  <c r="P246" i="4"/>
  <c r="R246" i="4"/>
  <c r="T246" i="4"/>
  <c r="N247" i="4"/>
  <c r="P247" i="4"/>
  <c r="R247" i="4"/>
  <c r="T247" i="4"/>
  <c r="N248" i="4"/>
  <c r="P248" i="4"/>
  <c r="R248" i="4"/>
  <c r="T248" i="4"/>
  <c r="N249" i="4"/>
  <c r="P249" i="4"/>
  <c r="R249" i="4"/>
  <c r="T249" i="4"/>
  <c r="N250" i="4"/>
  <c r="P250" i="4"/>
  <c r="R250" i="4"/>
  <c r="T250" i="4"/>
  <c r="N251" i="4"/>
  <c r="P251" i="4"/>
  <c r="R251" i="4"/>
  <c r="T251" i="4"/>
  <c r="N252" i="4"/>
  <c r="P252" i="4"/>
  <c r="R252" i="4"/>
  <c r="T252" i="4"/>
  <c r="N253" i="4"/>
  <c r="P253" i="4"/>
  <c r="R253" i="4"/>
  <c r="T253" i="4"/>
  <c r="N254" i="4"/>
  <c r="P254" i="4"/>
  <c r="R254" i="4"/>
  <c r="T254" i="4"/>
  <c r="N255" i="4"/>
  <c r="P255" i="4"/>
  <c r="R255" i="4"/>
  <c r="T255" i="4"/>
  <c r="N256" i="4"/>
  <c r="P256" i="4"/>
  <c r="R256" i="4"/>
  <c r="T256" i="4"/>
  <c r="N257" i="4"/>
  <c r="P257" i="4"/>
  <c r="R257" i="4"/>
  <c r="T257" i="4"/>
  <c r="N258" i="4"/>
  <c r="P258" i="4"/>
  <c r="R258" i="4"/>
  <c r="T258" i="4"/>
  <c r="N259" i="4"/>
  <c r="P259" i="4"/>
  <c r="R259" i="4"/>
  <c r="T259" i="4"/>
  <c r="N260" i="4"/>
  <c r="P260" i="4"/>
  <c r="R260" i="4"/>
  <c r="T260" i="4"/>
  <c r="N261" i="4"/>
  <c r="P261" i="4"/>
  <c r="R261" i="4"/>
  <c r="T261" i="4"/>
  <c r="N262" i="4"/>
  <c r="P262" i="4"/>
  <c r="R262" i="4"/>
  <c r="T262" i="4"/>
  <c r="N263" i="4"/>
  <c r="P263" i="4"/>
  <c r="R263" i="4"/>
  <c r="T263" i="4"/>
  <c r="N264" i="4"/>
  <c r="P264" i="4"/>
  <c r="R264" i="4"/>
  <c r="T264" i="4"/>
  <c r="N265" i="4"/>
  <c r="P265" i="4"/>
  <c r="R265" i="4"/>
  <c r="T265" i="4"/>
  <c r="N266" i="4"/>
  <c r="P266" i="4"/>
  <c r="R266" i="4"/>
  <c r="T266" i="4"/>
  <c r="N267" i="4"/>
  <c r="P267" i="4"/>
  <c r="R267" i="4"/>
  <c r="T267" i="4"/>
  <c r="N268" i="4"/>
  <c r="P268" i="4"/>
  <c r="R268" i="4"/>
  <c r="T268" i="4"/>
  <c r="N269" i="4"/>
  <c r="P269" i="4"/>
  <c r="R269" i="4"/>
  <c r="T269" i="4"/>
  <c r="N270" i="4"/>
  <c r="P270" i="4"/>
  <c r="R270" i="4"/>
  <c r="T270" i="4"/>
  <c r="N271" i="4"/>
  <c r="P271" i="4"/>
  <c r="R271" i="4"/>
  <c r="T271" i="4"/>
  <c r="N272" i="4"/>
  <c r="P272" i="4"/>
  <c r="R272" i="4"/>
  <c r="T272" i="4"/>
  <c r="N273" i="4"/>
  <c r="P273" i="4"/>
  <c r="R273" i="4"/>
  <c r="T273" i="4"/>
  <c r="N274" i="4"/>
  <c r="P274" i="4"/>
  <c r="R274" i="4"/>
  <c r="T274" i="4"/>
  <c r="N275" i="4"/>
  <c r="P275" i="4"/>
  <c r="R275" i="4"/>
  <c r="T275" i="4"/>
  <c r="N276" i="4"/>
  <c r="P276" i="4"/>
  <c r="R276" i="4"/>
  <c r="T276" i="4"/>
  <c r="N277" i="4"/>
  <c r="P277" i="4"/>
  <c r="R277" i="4"/>
  <c r="T277" i="4"/>
  <c r="N278" i="4"/>
  <c r="P278" i="4"/>
  <c r="R278" i="4"/>
  <c r="T278" i="4"/>
  <c r="N279" i="4"/>
  <c r="P279" i="4"/>
  <c r="R279" i="4"/>
  <c r="T279" i="4"/>
  <c r="N280" i="4"/>
  <c r="P280" i="4"/>
  <c r="R280" i="4"/>
  <c r="T280" i="4"/>
  <c r="N281" i="4"/>
  <c r="P281" i="4"/>
  <c r="R281" i="4"/>
  <c r="T281" i="4"/>
  <c r="N282" i="4"/>
  <c r="P282" i="4"/>
  <c r="R282" i="4"/>
  <c r="T282" i="4"/>
  <c r="N283" i="4"/>
  <c r="P283" i="4"/>
  <c r="R283" i="4"/>
  <c r="T283" i="4"/>
  <c r="N284" i="4"/>
  <c r="P284" i="4"/>
  <c r="R284" i="4"/>
  <c r="T284" i="4"/>
  <c r="N285" i="4"/>
  <c r="P285" i="4"/>
  <c r="R285" i="4"/>
  <c r="T285" i="4"/>
  <c r="N286" i="4"/>
  <c r="P286" i="4"/>
  <c r="R286" i="4"/>
  <c r="T286" i="4"/>
  <c r="N287" i="4"/>
  <c r="P287" i="4"/>
  <c r="R287" i="4"/>
  <c r="T287" i="4"/>
  <c r="N288" i="4"/>
  <c r="P288" i="4"/>
  <c r="R288" i="4"/>
  <c r="T288" i="4"/>
  <c r="N289" i="4"/>
  <c r="P289" i="4"/>
  <c r="R289" i="4"/>
  <c r="T289" i="4"/>
  <c r="N290" i="4"/>
  <c r="P290" i="4"/>
  <c r="R290" i="4"/>
  <c r="T290" i="4"/>
  <c r="N291" i="4"/>
  <c r="P291" i="4"/>
  <c r="R291" i="4"/>
  <c r="T291" i="4"/>
  <c r="N293" i="4"/>
  <c r="P293" i="4"/>
  <c r="R293" i="4"/>
  <c r="T293" i="4"/>
  <c r="N294" i="4"/>
  <c r="P294" i="4"/>
  <c r="R294" i="4"/>
  <c r="T294" i="4"/>
  <c r="N295" i="4"/>
  <c r="P295" i="4"/>
  <c r="R295" i="4"/>
  <c r="T295" i="4"/>
  <c r="N296" i="4"/>
  <c r="P296" i="4"/>
  <c r="R296" i="4"/>
  <c r="T296" i="4"/>
  <c r="N297" i="4"/>
  <c r="P297" i="4"/>
  <c r="R297" i="4"/>
  <c r="T297" i="4"/>
  <c r="N298" i="4"/>
  <c r="P298" i="4"/>
  <c r="R298" i="4"/>
  <c r="T298" i="4"/>
  <c r="N299" i="4"/>
  <c r="P299" i="4"/>
  <c r="R299" i="4"/>
  <c r="T299" i="4"/>
  <c r="N300" i="4"/>
  <c r="P300" i="4"/>
  <c r="R300" i="4"/>
  <c r="T300" i="4"/>
  <c r="N301" i="4"/>
  <c r="P301" i="4"/>
  <c r="R301" i="4"/>
  <c r="T301" i="4"/>
  <c r="N302" i="4"/>
  <c r="P302" i="4"/>
  <c r="R302" i="4"/>
  <c r="T302" i="4"/>
  <c r="N303" i="4"/>
  <c r="P303" i="4"/>
  <c r="R303" i="4"/>
  <c r="T303" i="4"/>
  <c r="N304" i="4"/>
  <c r="P304" i="4"/>
  <c r="R304" i="4"/>
  <c r="T304" i="4"/>
  <c r="N305" i="4"/>
  <c r="P305" i="4"/>
  <c r="R305" i="4"/>
  <c r="T305" i="4"/>
  <c r="N306" i="4"/>
  <c r="P306" i="4"/>
  <c r="R306" i="4"/>
  <c r="T306" i="4"/>
  <c r="N307" i="4"/>
  <c r="P307" i="4"/>
  <c r="R307" i="4"/>
  <c r="T307" i="4"/>
  <c r="N308" i="4"/>
  <c r="P308" i="4"/>
  <c r="R308" i="4"/>
  <c r="T308" i="4"/>
  <c r="N309" i="4"/>
  <c r="P309" i="4"/>
  <c r="R309" i="4"/>
  <c r="T309" i="4"/>
  <c r="N310" i="4"/>
  <c r="P310" i="4"/>
  <c r="R310" i="4"/>
  <c r="T310" i="4"/>
  <c r="N311" i="4"/>
  <c r="P311" i="4"/>
  <c r="R311" i="4"/>
  <c r="T311" i="4"/>
  <c r="N312" i="4"/>
  <c r="P312" i="4"/>
  <c r="R312" i="4"/>
  <c r="T312" i="4"/>
  <c r="N313" i="4"/>
  <c r="P313" i="4"/>
  <c r="R313" i="4"/>
  <c r="T313" i="4"/>
  <c r="N314" i="4"/>
  <c r="P314" i="4"/>
  <c r="R314" i="4"/>
  <c r="T314" i="4"/>
  <c r="N315" i="4"/>
  <c r="P315" i="4"/>
  <c r="R315" i="4"/>
  <c r="T315" i="4"/>
  <c r="N316" i="4"/>
  <c r="P316" i="4"/>
  <c r="R316" i="4"/>
  <c r="T316" i="4"/>
  <c r="N317" i="4"/>
  <c r="P317" i="4"/>
  <c r="R317" i="4"/>
  <c r="T317" i="4"/>
  <c r="N318" i="4"/>
  <c r="P318" i="4"/>
  <c r="R318" i="4"/>
  <c r="T318" i="4"/>
  <c r="N319" i="4"/>
  <c r="P319" i="4"/>
  <c r="R319" i="4"/>
  <c r="T319" i="4"/>
  <c r="N320" i="4"/>
  <c r="P320" i="4"/>
  <c r="R320" i="4"/>
  <c r="T320" i="4"/>
  <c r="N321" i="4"/>
  <c r="P321" i="4"/>
  <c r="R321" i="4"/>
  <c r="T321" i="4"/>
  <c r="N322" i="4"/>
  <c r="P322" i="4"/>
  <c r="R322" i="4"/>
  <c r="T322" i="4"/>
  <c r="N323" i="4"/>
  <c r="P323" i="4"/>
  <c r="R323" i="4"/>
  <c r="T323" i="4"/>
  <c r="N324" i="4"/>
  <c r="P324" i="4"/>
  <c r="R324" i="4"/>
  <c r="T324" i="4"/>
  <c r="N325" i="4"/>
  <c r="P325" i="4"/>
  <c r="R325" i="4"/>
  <c r="T325" i="4"/>
  <c r="N326" i="4"/>
  <c r="P326" i="4"/>
  <c r="R326" i="4"/>
  <c r="T326" i="4"/>
  <c r="N327" i="4"/>
  <c r="P327" i="4"/>
  <c r="R327" i="4"/>
  <c r="T327" i="4"/>
  <c r="N328" i="4"/>
  <c r="P328" i="4"/>
  <c r="R328" i="4"/>
  <c r="T328" i="4"/>
  <c r="N329" i="4"/>
  <c r="P329" i="4"/>
  <c r="R329" i="4"/>
  <c r="T329" i="4"/>
  <c r="N330" i="4"/>
  <c r="P330" i="4"/>
  <c r="R330" i="4"/>
  <c r="T330" i="4"/>
  <c r="N331" i="4"/>
  <c r="P331" i="4"/>
  <c r="R331" i="4"/>
  <c r="T331" i="4"/>
  <c r="N332" i="4"/>
  <c r="P332" i="4"/>
  <c r="R332" i="4"/>
  <c r="T332" i="4"/>
  <c r="N333" i="4"/>
  <c r="P333" i="4"/>
  <c r="R333" i="4"/>
  <c r="T333" i="4"/>
  <c r="N334" i="4"/>
  <c r="P334" i="4"/>
  <c r="R334" i="4"/>
  <c r="T334" i="4"/>
  <c r="N335" i="4"/>
  <c r="P335" i="4"/>
  <c r="R335" i="4"/>
  <c r="T335" i="4"/>
  <c r="N336" i="4"/>
  <c r="P336" i="4"/>
  <c r="R336" i="4"/>
  <c r="T336" i="4"/>
  <c r="N337" i="4"/>
  <c r="P337" i="4"/>
  <c r="R337" i="4"/>
  <c r="T337" i="4"/>
  <c r="N338" i="4"/>
  <c r="P338" i="4"/>
  <c r="R338" i="4"/>
  <c r="T338" i="4"/>
  <c r="N339" i="4"/>
  <c r="P339" i="4"/>
  <c r="R339" i="4"/>
  <c r="T339" i="4"/>
  <c r="N340" i="4"/>
  <c r="P340" i="4"/>
  <c r="R340" i="4"/>
  <c r="T340" i="4"/>
  <c r="N341" i="4"/>
  <c r="P341" i="4"/>
  <c r="R341" i="4"/>
  <c r="T341" i="4"/>
  <c r="N342" i="4"/>
  <c r="P342" i="4"/>
  <c r="R342" i="4"/>
  <c r="T342" i="4"/>
  <c r="N343" i="4"/>
  <c r="P343" i="4"/>
  <c r="R343" i="4"/>
  <c r="T343" i="4"/>
  <c r="N344" i="4"/>
  <c r="P344" i="4"/>
  <c r="R344" i="4"/>
  <c r="T344" i="4"/>
  <c r="N345" i="4"/>
  <c r="P345" i="4"/>
  <c r="R345" i="4"/>
  <c r="T345" i="4"/>
  <c r="N346" i="4"/>
  <c r="P346" i="4"/>
  <c r="R346" i="4"/>
  <c r="T346" i="4"/>
  <c r="N347" i="4"/>
  <c r="P347" i="4"/>
  <c r="R347" i="4"/>
  <c r="T347" i="4"/>
  <c r="N348" i="4"/>
  <c r="P348" i="4"/>
  <c r="R348" i="4"/>
  <c r="T348" i="4"/>
  <c r="N349" i="4"/>
  <c r="P349" i="4"/>
  <c r="R349" i="4"/>
  <c r="T349" i="4"/>
  <c r="N350" i="4"/>
  <c r="P350" i="4"/>
  <c r="R350" i="4"/>
  <c r="T350" i="4"/>
  <c r="N351" i="4"/>
  <c r="P351" i="4"/>
  <c r="R351" i="4"/>
  <c r="T351" i="4"/>
  <c r="N352" i="4"/>
  <c r="P352" i="4"/>
  <c r="R352" i="4"/>
  <c r="T352" i="4"/>
  <c r="N353" i="4"/>
  <c r="P353" i="4"/>
  <c r="R353" i="4"/>
  <c r="T353" i="4"/>
  <c r="N354" i="4"/>
  <c r="P354" i="4"/>
  <c r="R354" i="4"/>
  <c r="T354" i="4"/>
  <c r="N355" i="4"/>
  <c r="P355" i="4"/>
  <c r="R355" i="4"/>
  <c r="T355" i="4"/>
  <c r="N356" i="4"/>
  <c r="P356" i="4"/>
  <c r="R356" i="4"/>
  <c r="T356" i="4"/>
  <c r="N357" i="4"/>
  <c r="P357" i="4"/>
  <c r="R357" i="4"/>
  <c r="T357" i="4"/>
  <c r="N358" i="4"/>
  <c r="P358" i="4"/>
  <c r="R358" i="4"/>
  <c r="T358" i="4"/>
  <c r="N359" i="4"/>
  <c r="P359" i="4"/>
  <c r="R359" i="4"/>
  <c r="T359" i="4"/>
  <c r="N360" i="4"/>
  <c r="P360" i="4"/>
  <c r="R360" i="4"/>
  <c r="T360" i="4"/>
  <c r="N361" i="4"/>
  <c r="P361" i="4"/>
  <c r="R361" i="4"/>
  <c r="T361" i="4"/>
  <c r="N362" i="4"/>
  <c r="P362" i="4"/>
  <c r="R362" i="4"/>
  <c r="T362" i="4"/>
  <c r="N363" i="4"/>
  <c r="P363" i="4"/>
  <c r="R363" i="4"/>
  <c r="T363" i="4"/>
  <c r="N364" i="4"/>
  <c r="P364" i="4"/>
  <c r="R364" i="4"/>
  <c r="T364" i="4"/>
  <c r="N365" i="4"/>
  <c r="P365" i="4"/>
  <c r="R365" i="4"/>
  <c r="T365" i="4"/>
  <c r="N366" i="4"/>
  <c r="P366" i="4"/>
  <c r="R366" i="4"/>
  <c r="T366" i="4"/>
  <c r="N367" i="4"/>
  <c r="P367" i="4"/>
  <c r="R367" i="4"/>
  <c r="T367" i="4"/>
  <c r="N368" i="4"/>
  <c r="P368" i="4"/>
  <c r="R368" i="4"/>
  <c r="T368" i="4"/>
  <c r="N369" i="4"/>
  <c r="P369" i="4"/>
  <c r="R369" i="4"/>
  <c r="T369" i="4"/>
  <c r="N370" i="4"/>
  <c r="P370" i="4"/>
  <c r="R370" i="4"/>
  <c r="T370" i="4"/>
  <c r="N371" i="4"/>
  <c r="P371" i="4"/>
  <c r="R371" i="4"/>
  <c r="T371" i="4"/>
  <c r="N372" i="4"/>
  <c r="P372" i="4"/>
  <c r="R372" i="4"/>
  <c r="T372" i="4"/>
  <c r="N373" i="4"/>
  <c r="P373" i="4"/>
  <c r="R373" i="4"/>
  <c r="T373" i="4"/>
  <c r="N374" i="4"/>
  <c r="P374" i="4"/>
  <c r="R374" i="4"/>
  <c r="T374" i="4"/>
  <c r="N375" i="4"/>
  <c r="P375" i="4"/>
  <c r="R375" i="4"/>
  <c r="T375" i="4"/>
  <c r="N376" i="4"/>
  <c r="P376" i="4"/>
  <c r="R376" i="4"/>
  <c r="T376" i="4"/>
  <c r="N377" i="4"/>
  <c r="P377" i="4"/>
  <c r="R377" i="4"/>
  <c r="T377" i="4"/>
  <c r="N378" i="4"/>
  <c r="P378" i="4"/>
  <c r="R378" i="4"/>
  <c r="T378" i="4"/>
  <c r="N379" i="4"/>
  <c r="P379" i="4"/>
  <c r="R379" i="4"/>
  <c r="T379" i="4"/>
  <c r="N380" i="4"/>
  <c r="P380" i="4"/>
  <c r="R380" i="4"/>
  <c r="T380" i="4"/>
  <c r="N381" i="4"/>
  <c r="P381" i="4"/>
  <c r="R381" i="4"/>
  <c r="T381" i="4"/>
  <c r="N383" i="4"/>
  <c r="P383" i="4"/>
  <c r="R383" i="4"/>
  <c r="T383" i="4"/>
  <c r="N384" i="4"/>
  <c r="P384" i="4"/>
  <c r="R384" i="4"/>
  <c r="T384" i="4"/>
  <c r="N385" i="4"/>
  <c r="P385" i="4"/>
  <c r="R385" i="4"/>
  <c r="T385" i="4"/>
  <c r="N386" i="4"/>
  <c r="P386" i="4"/>
  <c r="R386" i="4"/>
  <c r="T386" i="4"/>
  <c r="N387" i="4"/>
  <c r="P387" i="4"/>
  <c r="R387" i="4"/>
  <c r="T387" i="4"/>
  <c r="N388" i="4"/>
  <c r="P388" i="4"/>
  <c r="R388" i="4"/>
  <c r="T388" i="4"/>
  <c r="N389" i="4"/>
  <c r="P389" i="4"/>
  <c r="R389" i="4"/>
  <c r="T389" i="4"/>
  <c r="N390" i="4"/>
  <c r="P390" i="4"/>
  <c r="R390" i="4"/>
  <c r="T390" i="4"/>
  <c r="N391" i="4"/>
  <c r="P391" i="4"/>
  <c r="R391" i="4"/>
  <c r="T391" i="4"/>
  <c r="N392" i="4"/>
  <c r="P392" i="4"/>
  <c r="R392" i="4"/>
  <c r="T392" i="4"/>
  <c r="N393" i="4"/>
  <c r="P393" i="4"/>
  <c r="R393" i="4"/>
  <c r="T393" i="4"/>
  <c r="N394" i="4"/>
  <c r="P394" i="4"/>
  <c r="R394" i="4"/>
  <c r="T394" i="4"/>
  <c r="N395" i="4"/>
  <c r="P395" i="4"/>
  <c r="R395" i="4"/>
  <c r="T395" i="4"/>
  <c r="N396" i="4"/>
  <c r="P396" i="4"/>
  <c r="R396" i="4"/>
  <c r="T396" i="4"/>
  <c r="N397" i="4"/>
  <c r="P397" i="4"/>
  <c r="R397" i="4"/>
  <c r="T397" i="4"/>
  <c r="N398" i="4"/>
  <c r="P398" i="4"/>
  <c r="R398" i="4"/>
  <c r="T398" i="4"/>
  <c r="N399" i="4"/>
  <c r="P399" i="4"/>
  <c r="R399" i="4"/>
  <c r="T399" i="4"/>
  <c r="N400" i="4"/>
  <c r="P400" i="4"/>
  <c r="R400" i="4"/>
  <c r="T400" i="4"/>
  <c r="N401" i="4"/>
  <c r="P401" i="4"/>
  <c r="R401" i="4"/>
  <c r="T401" i="4"/>
  <c r="N402" i="4"/>
  <c r="P402" i="4"/>
  <c r="R402" i="4"/>
  <c r="T402" i="4"/>
  <c r="N403" i="4"/>
  <c r="P403" i="4"/>
  <c r="R403" i="4"/>
  <c r="T403" i="4"/>
  <c r="N404" i="4"/>
  <c r="P404" i="4"/>
  <c r="R404" i="4"/>
  <c r="T404" i="4"/>
  <c r="N405" i="4"/>
  <c r="P405" i="4"/>
  <c r="R405" i="4"/>
  <c r="T405" i="4"/>
  <c r="N406" i="4"/>
  <c r="P406" i="4"/>
  <c r="R406" i="4"/>
  <c r="T406" i="4"/>
  <c r="N407" i="4"/>
  <c r="P407" i="4"/>
  <c r="R407" i="4"/>
  <c r="T407" i="4"/>
  <c r="N408" i="4"/>
  <c r="P408" i="4"/>
  <c r="R408" i="4"/>
  <c r="T408" i="4"/>
  <c r="N409" i="4"/>
  <c r="P409" i="4"/>
  <c r="R409" i="4"/>
  <c r="T409" i="4"/>
  <c r="N410" i="4"/>
  <c r="P410" i="4"/>
  <c r="R410" i="4"/>
  <c r="T410" i="4"/>
  <c r="N411" i="4"/>
  <c r="P411" i="4"/>
  <c r="R411" i="4"/>
  <c r="T411" i="4"/>
  <c r="N412" i="4"/>
  <c r="P412" i="4"/>
  <c r="R412" i="4"/>
  <c r="T412" i="4"/>
  <c r="N413" i="4"/>
  <c r="P413" i="4"/>
  <c r="R413" i="4"/>
  <c r="T413" i="4"/>
  <c r="N414" i="4"/>
  <c r="P414" i="4"/>
  <c r="R414" i="4"/>
  <c r="T414" i="4"/>
  <c r="N415" i="4"/>
  <c r="P415" i="4"/>
  <c r="R415" i="4"/>
  <c r="T415" i="4"/>
  <c r="N416" i="4"/>
  <c r="P416" i="4"/>
  <c r="R416" i="4"/>
  <c r="T416" i="4"/>
  <c r="N417" i="4"/>
  <c r="P417" i="4"/>
  <c r="R417" i="4"/>
  <c r="T417" i="4"/>
  <c r="N418" i="4"/>
  <c r="P418" i="4"/>
  <c r="R418" i="4"/>
  <c r="T418" i="4"/>
  <c r="N419" i="4"/>
  <c r="P419" i="4"/>
  <c r="R419" i="4"/>
  <c r="T419" i="4"/>
  <c r="N420" i="4"/>
  <c r="P420" i="4"/>
  <c r="R420" i="4"/>
  <c r="T420" i="4"/>
  <c r="N421" i="4"/>
  <c r="P421" i="4"/>
  <c r="R421" i="4"/>
  <c r="T421" i="4"/>
  <c r="N422" i="4"/>
  <c r="P422" i="4"/>
  <c r="R422" i="4"/>
  <c r="T422" i="4"/>
  <c r="N423" i="4"/>
  <c r="P423" i="4"/>
  <c r="R423" i="4"/>
  <c r="T423" i="4"/>
  <c r="N424" i="4"/>
  <c r="P424" i="4"/>
  <c r="R424" i="4"/>
  <c r="T424" i="4"/>
  <c r="N425" i="4"/>
  <c r="P425" i="4"/>
  <c r="R425" i="4"/>
  <c r="T425" i="4"/>
  <c r="N426" i="4"/>
  <c r="P426" i="4"/>
  <c r="R426" i="4"/>
  <c r="T426" i="4"/>
  <c r="N427" i="4"/>
  <c r="P427" i="4"/>
  <c r="R427" i="4"/>
  <c r="T427" i="4"/>
  <c r="N428" i="4"/>
  <c r="P428" i="4"/>
  <c r="R428" i="4"/>
  <c r="T428" i="4"/>
  <c r="N429" i="4"/>
  <c r="P429" i="4"/>
  <c r="R429" i="4"/>
  <c r="T429" i="4"/>
  <c r="N430" i="4"/>
  <c r="P430" i="4"/>
  <c r="R430" i="4"/>
  <c r="T430" i="4"/>
  <c r="N431" i="4"/>
  <c r="P431" i="4"/>
  <c r="R431" i="4"/>
  <c r="T431" i="4"/>
  <c r="N432" i="4"/>
  <c r="P432" i="4"/>
  <c r="R432" i="4"/>
  <c r="T432" i="4"/>
  <c r="N433" i="4"/>
  <c r="P433" i="4"/>
  <c r="R433" i="4"/>
  <c r="T433" i="4"/>
  <c r="N434" i="4"/>
  <c r="P434" i="4"/>
  <c r="R434" i="4"/>
  <c r="T434" i="4"/>
  <c r="N435" i="4"/>
  <c r="P435" i="4"/>
  <c r="R435" i="4"/>
  <c r="T435" i="4"/>
  <c r="N436" i="4"/>
  <c r="P436" i="4"/>
  <c r="R436" i="4"/>
  <c r="T436" i="4"/>
  <c r="N437" i="4"/>
  <c r="P437" i="4"/>
  <c r="R437" i="4"/>
  <c r="T437" i="4"/>
  <c r="N438" i="4"/>
  <c r="P438" i="4"/>
  <c r="R438" i="4"/>
  <c r="T438" i="4"/>
  <c r="N439" i="4"/>
  <c r="P439" i="4"/>
  <c r="R439" i="4"/>
  <c r="T439" i="4"/>
  <c r="N440" i="4"/>
  <c r="P440" i="4"/>
  <c r="R440" i="4"/>
  <c r="T440" i="4"/>
  <c r="N441" i="4"/>
  <c r="P441" i="4"/>
  <c r="R441" i="4"/>
  <c r="T441" i="4"/>
  <c r="N442" i="4"/>
  <c r="P442" i="4"/>
  <c r="R442" i="4"/>
  <c r="T442" i="4"/>
  <c r="N443" i="4"/>
  <c r="P443" i="4"/>
  <c r="R443" i="4"/>
  <c r="T443" i="4"/>
  <c r="N444" i="4"/>
  <c r="P444" i="4"/>
  <c r="R444" i="4"/>
  <c r="T444" i="4"/>
  <c r="N445" i="4"/>
  <c r="P445" i="4"/>
  <c r="R445" i="4"/>
  <c r="T445" i="4"/>
  <c r="N446" i="4"/>
  <c r="P446" i="4"/>
  <c r="R446" i="4"/>
  <c r="T446" i="4"/>
  <c r="N447" i="4"/>
  <c r="P447" i="4"/>
  <c r="R447" i="4"/>
  <c r="T447" i="4"/>
  <c r="N448" i="4"/>
  <c r="P448" i="4"/>
  <c r="R448" i="4"/>
  <c r="T448" i="4"/>
  <c r="N449" i="4"/>
  <c r="P449" i="4"/>
  <c r="R449" i="4"/>
  <c r="T449" i="4"/>
  <c r="N450" i="4"/>
  <c r="P450" i="4"/>
  <c r="R450" i="4"/>
  <c r="T450" i="4"/>
  <c r="N451" i="4"/>
  <c r="P451" i="4"/>
  <c r="R451" i="4"/>
  <c r="T451" i="4"/>
  <c r="N452" i="4"/>
  <c r="P452" i="4"/>
  <c r="R452" i="4"/>
  <c r="T452" i="4"/>
  <c r="N453" i="4"/>
  <c r="P453" i="4"/>
  <c r="R453" i="4"/>
  <c r="T453" i="4"/>
  <c r="N454" i="4"/>
  <c r="P454" i="4"/>
  <c r="R454" i="4"/>
  <c r="T454" i="4"/>
  <c r="N455" i="4"/>
  <c r="P455" i="4"/>
  <c r="R455" i="4"/>
  <c r="T455" i="4"/>
  <c r="N456" i="4"/>
  <c r="P456" i="4"/>
  <c r="R456" i="4"/>
  <c r="T456" i="4"/>
  <c r="N457" i="4"/>
  <c r="P457" i="4"/>
  <c r="R457" i="4"/>
  <c r="T457" i="4"/>
  <c r="N458" i="4"/>
  <c r="P458" i="4"/>
  <c r="R458" i="4"/>
  <c r="T458" i="4"/>
  <c r="N459" i="4"/>
  <c r="P459" i="4"/>
  <c r="R459" i="4"/>
  <c r="T459" i="4"/>
  <c r="N460" i="4"/>
  <c r="P460" i="4"/>
  <c r="R460" i="4"/>
  <c r="T460" i="4"/>
  <c r="N461" i="4"/>
  <c r="P461" i="4"/>
  <c r="R461" i="4"/>
  <c r="T461" i="4"/>
  <c r="N462" i="4"/>
  <c r="P462" i="4"/>
  <c r="R462" i="4"/>
  <c r="T462" i="4"/>
  <c r="N463" i="4"/>
  <c r="P463" i="4"/>
  <c r="R463" i="4"/>
  <c r="T463" i="4"/>
  <c r="N464" i="4"/>
  <c r="P464" i="4"/>
  <c r="R464" i="4"/>
  <c r="T464" i="4"/>
  <c r="N465" i="4"/>
  <c r="P465" i="4"/>
  <c r="R465" i="4"/>
  <c r="T465" i="4"/>
  <c r="N466" i="4"/>
  <c r="P466" i="4"/>
  <c r="R466" i="4"/>
  <c r="T466" i="4"/>
  <c r="N467" i="4"/>
  <c r="P467" i="4"/>
  <c r="R467" i="4"/>
  <c r="T467" i="4"/>
  <c r="N468" i="4"/>
  <c r="P468" i="4"/>
  <c r="R468" i="4"/>
  <c r="T468" i="4"/>
  <c r="N469" i="4"/>
  <c r="P469" i="4"/>
  <c r="R469" i="4"/>
  <c r="T469" i="4"/>
  <c r="N470" i="4"/>
  <c r="P470" i="4"/>
  <c r="R470" i="4"/>
  <c r="T470" i="4"/>
  <c r="H14" i="21" l="1"/>
  <c r="O14" i="21" s="1"/>
  <c r="J11" i="21"/>
  <c r="M11" i="21" s="1"/>
  <c r="H10" i="21"/>
  <c r="O10" i="21" s="1"/>
  <c r="J12" i="21"/>
  <c r="M12" i="21" s="1"/>
  <c r="H8" i="21"/>
  <c r="O8" i="21" s="1"/>
  <c r="J8" i="21"/>
  <c r="M8" i="21" s="1"/>
  <c r="J13" i="21"/>
  <c r="M13" i="21" s="1"/>
  <c r="H13" i="21"/>
  <c r="O13" i="21" s="1"/>
  <c r="H11" i="21"/>
  <c r="O11" i="21" s="1"/>
  <c r="I14" i="21"/>
  <c r="L14" i="21" s="1"/>
  <c r="K10" i="21"/>
  <c r="H12" i="21"/>
  <c r="O12" i="21" s="1"/>
  <c r="H9" i="21"/>
  <c r="O9" i="21" s="1"/>
  <c r="J10" i="21"/>
  <c r="M10" i="21" s="1"/>
  <c r="J9" i="21"/>
  <c r="M9" i="21" s="1"/>
  <c r="G14" i="21"/>
  <c r="N14" i="21" s="1"/>
  <c r="G10" i="21"/>
  <c r="N10" i="21" s="1"/>
  <c r="I10" i="21"/>
  <c r="L10" i="21" s="1"/>
  <c r="K14" i="21"/>
  <c r="J14" i="21"/>
  <c r="M14" i="21" s="1"/>
  <c r="I12" i="21"/>
  <c r="L12" i="21" s="1"/>
  <c r="G12" i="21"/>
  <c r="N12" i="21" s="1"/>
  <c r="K12" i="21"/>
  <c r="K11" i="21"/>
  <c r="G11" i="21"/>
  <c r="N11" i="21" s="1"/>
  <c r="I11" i="21"/>
  <c r="L11" i="21" s="1"/>
  <c r="K8" i="21"/>
  <c r="I8" i="21"/>
  <c r="L8" i="21" s="1"/>
  <c r="G8" i="21"/>
  <c r="N8" i="21" s="1"/>
  <c r="G9" i="21"/>
  <c r="N9" i="21" s="1"/>
  <c r="I9" i="21"/>
  <c r="L9" i="21" s="1"/>
  <c r="K9" i="21"/>
  <c r="K13" i="21"/>
  <c r="I13" i="21"/>
  <c r="L13" i="21" s="1"/>
  <c r="G13" i="21"/>
  <c r="N13" i="21" s="1"/>
  <c r="H14" i="20"/>
  <c r="O14" i="20" s="1"/>
  <c r="H10" i="20"/>
  <c r="O10" i="20" s="1"/>
  <c r="H13" i="20"/>
  <c r="O13" i="20" s="1"/>
  <c r="I9" i="20"/>
  <c r="L9" i="20" s="1"/>
  <c r="J8" i="20"/>
  <c r="M8" i="20" s="1"/>
  <c r="I10" i="20"/>
  <c r="L10" i="20" s="1"/>
  <c r="H11" i="20"/>
  <c r="O11" i="20" s="1"/>
  <c r="J14" i="20"/>
  <c r="M14" i="20" s="1"/>
  <c r="J11" i="20"/>
  <c r="M11" i="20" s="1"/>
  <c r="H8" i="20"/>
  <c r="O8" i="20" s="1"/>
  <c r="K13" i="20"/>
  <c r="H12" i="20"/>
  <c r="O12" i="20" s="1"/>
  <c r="K10" i="20"/>
  <c r="G9" i="20"/>
  <c r="N9" i="20" s="1"/>
  <c r="G12" i="20"/>
  <c r="N12" i="20" s="1"/>
  <c r="J9" i="20"/>
  <c r="M9" i="20" s="1"/>
  <c r="I13" i="20"/>
  <c r="L13" i="20" s="1"/>
  <c r="H9" i="20"/>
  <c r="O9" i="20" s="1"/>
  <c r="G13" i="20"/>
  <c r="N13" i="20" s="1"/>
  <c r="K12" i="20"/>
  <c r="K9" i="20"/>
  <c r="I12" i="20"/>
  <c r="L12" i="20" s="1"/>
  <c r="G10" i="20"/>
  <c r="N10" i="20" s="1"/>
  <c r="J10" i="20"/>
  <c r="M10" i="20" s="1"/>
  <c r="J12" i="20"/>
  <c r="M12" i="20" s="1"/>
  <c r="G14" i="20"/>
  <c r="N14" i="20" s="1"/>
  <c r="I14" i="20"/>
  <c r="L14" i="20" s="1"/>
  <c r="K14" i="20"/>
  <c r="G11" i="20"/>
  <c r="N11" i="20" s="1"/>
  <c r="K11" i="20"/>
  <c r="I11" i="20"/>
  <c r="L11" i="20" s="1"/>
  <c r="G8" i="20"/>
  <c r="N8" i="20" s="1"/>
  <c r="K8" i="20"/>
  <c r="I8" i="20"/>
  <c r="L8" i="20" s="1"/>
  <c r="E5" i="4"/>
  <c r="F15" i="4" l="1"/>
  <c r="D15" i="4"/>
  <c r="E15" i="4"/>
  <c r="C15" i="4"/>
  <c r="E4" i="19"/>
  <c r="D4" i="19"/>
  <c r="C4" i="19"/>
  <c r="E3" i="19"/>
  <c r="D3" i="19"/>
  <c r="C3" i="19"/>
  <c r="H15" i="4" l="1"/>
  <c r="O15" i="4" s="1"/>
  <c r="G15" i="4"/>
  <c r="N15" i="4" s="1"/>
  <c r="J15" i="4"/>
  <c r="M15" i="4" s="1"/>
  <c r="K15" i="4"/>
  <c r="I15" i="4"/>
  <c r="L15" i="4" s="1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C7" i="4"/>
  <c r="D7" i="4"/>
  <c r="E7" i="4"/>
  <c r="F7" i="4"/>
  <c r="F6" i="4"/>
  <c r="E6" i="4"/>
  <c r="D6" i="4"/>
  <c r="C6" i="4"/>
  <c r="F5" i="4"/>
  <c r="D5" i="4"/>
  <c r="C5" i="4"/>
  <c r="B4" i="4"/>
  <c r="B2" i="4"/>
  <c r="C9" i="4" l="1"/>
  <c r="D9" i="4"/>
  <c r="E9" i="4"/>
  <c r="F9" i="4"/>
  <c r="E13" i="4"/>
  <c r="C8" i="4"/>
  <c r="F12" i="4"/>
  <c r="E12" i="4"/>
  <c r="C12" i="4"/>
  <c r="D14" i="4"/>
  <c r="C14" i="4"/>
  <c r="F14" i="4"/>
  <c r="F13" i="4"/>
  <c r="D13" i="4"/>
  <c r="F10" i="4"/>
  <c r="D12" i="4"/>
  <c r="C13" i="4"/>
  <c r="D10" i="4"/>
  <c r="E14" i="4"/>
  <c r="F11" i="4"/>
  <c r="C11" i="4"/>
  <c r="D11" i="4"/>
  <c r="E11" i="4"/>
  <c r="E10" i="4"/>
  <c r="C10" i="4"/>
  <c r="F8" i="4"/>
  <c r="D8" i="4"/>
  <c r="E8" i="4"/>
  <c r="I7" i="4"/>
  <c r="L7" i="4" s="1"/>
  <c r="H7" i="4"/>
  <c r="O7" i="4" s="1"/>
  <c r="J7" i="4"/>
  <c r="M7" i="4" s="1"/>
  <c r="I6" i="4"/>
  <c r="L6" i="4" s="1"/>
  <c r="G6" i="4"/>
  <c r="N6" i="4" s="1"/>
  <c r="K6" i="4"/>
  <c r="J6" i="4"/>
  <c r="M6" i="4" s="1"/>
  <c r="K7" i="4"/>
  <c r="G7" i="4"/>
  <c r="N7" i="4" s="1"/>
  <c r="H6" i="4"/>
  <c r="O6" i="4" s="1"/>
  <c r="K5" i="4"/>
  <c r="I5" i="4"/>
  <c r="L5" i="4" s="1"/>
  <c r="H5" i="4"/>
  <c r="O5" i="4" s="1"/>
  <c r="J5" i="4"/>
  <c r="M5" i="4" s="1"/>
  <c r="G5" i="4"/>
  <c r="N5" i="4" s="1"/>
  <c r="J9" i="4" l="1"/>
  <c r="M9" i="4" s="1"/>
  <c r="H9" i="4"/>
  <c r="O9" i="4" s="1"/>
  <c r="G9" i="4"/>
  <c r="N9" i="4" s="1"/>
  <c r="I9" i="4"/>
  <c r="K9" i="4"/>
  <c r="L9" i="4"/>
  <c r="J12" i="4"/>
  <c r="M12" i="4" s="1"/>
  <c r="H12" i="4"/>
  <c r="O12" i="4" s="1"/>
  <c r="H10" i="4"/>
  <c r="O10" i="4" s="1"/>
  <c r="I10" i="4"/>
  <c r="L10" i="4" s="1"/>
  <c r="J13" i="4"/>
  <c r="M13" i="4" s="1"/>
  <c r="H14" i="4"/>
  <c r="O14" i="4" s="1"/>
  <c r="G12" i="4"/>
  <c r="N12" i="4" s="1"/>
  <c r="K12" i="4"/>
  <c r="I12" i="4"/>
  <c r="L12" i="4" s="1"/>
  <c r="I14" i="4"/>
  <c r="L14" i="4" s="1"/>
  <c r="J11" i="4"/>
  <c r="M11" i="4" s="1"/>
  <c r="K13" i="4"/>
  <c r="J10" i="4"/>
  <c r="M10" i="4" s="1"/>
  <c r="J14" i="4"/>
  <c r="M14" i="4" s="1"/>
  <c r="H13" i="4"/>
  <c r="O13" i="4" s="1"/>
  <c r="I13" i="4"/>
  <c r="L13" i="4" s="1"/>
  <c r="I8" i="4"/>
  <c r="L8" i="4" s="1"/>
  <c r="G13" i="4"/>
  <c r="N13" i="4" s="1"/>
  <c r="H8" i="4"/>
  <c r="O8" i="4" s="1"/>
  <c r="I11" i="4"/>
  <c r="L11" i="4" s="1"/>
  <c r="K14" i="4"/>
  <c r="G14" i="4"/>
  <c r="N14" i="4" s="1"/>
  <c r="K11" i="4"/>
  <c r="H11" i="4"/>
  <c r="O11" i="4" s="1"/>
  <c r="G11" i="4"/>
  <c r="N11" i="4" s="1"/>
  <c r="K10" i="4"/>
  <c r="G10" i="4"/>
  <c r="N10" i="4" s="1"/>
  <c r="J8" i="4"/>
  <c r="M8" i="4" s="1"/>
  <c r="K8" i="4"/>
  <c r="G8" i="4"/>
  <c r="N8" i="4" s="1"/>
</calcChain>
</file>

<file path=xl/sharedStrings.xml><?xml version="1.0" encoding="utf-8"?>
<sst xmlns="http://schemas.openxmlformats.org/spreadsheetml/2006/main" count="2058" uniqueCount="565">
  <si>
    <t>小葉原位癌變為良性 編號02085_LLAT</t>
    <phoneticPr fontId="2" type="noConversion"/>
  </si>
  <si>
    <t>3_813_0沒有病理資料，刪除</t>
    <phoneticPr fontId="2" type="noConversion"/>
  </si>
  <si>
    <t>1058多一個 刪除</t>
    <phoneticPr fontId="2" type="noConversion"/>
  </si>
  <si>
    <t>3_813_0</t>
  </si>
  <si>
    <t>reader 1：刘丽娴（2年HHUS，2年ABUS）</t>
    <phoneticPr fontId="3" type="noConversion"/>
  </si>
  <si>
    <t>Split 3, 1</t>
    <phoneticPr fontId="2" type="noConversion"/>
  </si>
  <si>
    <t>3_1058_1</t>
  </si>
  <si>
    <t>reader 2：向慧玲（3年HHUS，3年ABUS）</t>
    <phoneticPr fontId="3" type="noConversion"/>
  </si>
  <si>
    <t>reader 3：林僖（18年HHUS，5年ABUS）</t>
    <phoneticPr fontId="3" type="noConversion"/>
  </si>
  <si>
    <t>split1</t>
    <phoneticPr fontId="2" type="noConversion"/>
  </si>
  <si>
    <t>B</t>
    <phoneticPr fontId="2" type="noConversion"/>
  </si>
  <si>
    <t>M</t>
    <phoneticPr fontId="2" type="noConversion"/>
  </si>
  <si>
    <t>bn_3D Capsule</t>
    <phoneticPr fontId="2" type="noConversion"/>
  </si>
  <si>
    <t>Proposed</t>
    <phoneticPr fontId="2" type="noConversion"/>
  </si>
  <si>
    <t>3D Resnet</t>
    <phoneticPr fontId="2" type="noConversion"/>
  </si>
  <si>
    <t>3DDenseNet</t>
  </si>
  <si>
    <t>2D_CapsNet</t>
    <phoneticPr fontId="2" type="noConversion"/>
  </si>
  <si>
    <t>2D_Resnet</t>
  </si>
  <si>
    <t>2D_DenseNet</t>
  </si>
  <si>
    <t>Doctor_1</t>
    <phoneticPr fontId="2" type="noConversion"/>
  </si>
  <si>
    <t>Doctor_2</t>
    <phoneticPr fontId="2" type="noConversion"/>
  </si>
  <si>
    <t>Doctor_3</t>
    <phoneticPr fontId="2" type="noConversion"/>
  </si>
  <si>
    <t>929_RAP</t>
  </si>
  <si>
    <t>1000_LAP</t>
  </si>
  <si>
    <t>02286_LLAT</t>
  </si>
  <si>
    <t>852_RAP</t>
  </si>
  <si>
    <t>02681_LAP</t>
  </si>
  <si>
    <t>02065_RLAT</t>
  </si>
  <si>
    <t>02111_RAP</t>
  </si>
  <si>
    <t>02618_RAP</t>
  </si>
  <si>
    <t>02204_LAP</t>
  </si>
  <si>
    <t>02417_RMED</t>
  </si>
  <si>
    <t>969_RAP</t>
  </si>
  <si>
    <t>1017_LAP</t>
  </si>
  <si>
    <t>02361_LLAT</t>
  </si>
  <si>
    <t>02674_RAP</t>
  </si>
  <si>
    <t>02635_RAP</t>
  </si>
  <si>
    <t>02663_LAP</t>
  </si>
  <si>
    <t>02441_RMED</t>
  </si>
  <si>
    <t>02421_LAP</t>
  </si>
  <si>
    <t>XB001_RAP</t>
  </si>
  <si>
    <t>960_LAP</t>
  </si>
  <si>
    <t>822_RAP</t>
  </si>
  <si>
    <t>968_LAP</t>
  </si>
  <si>
    <t>02311_RAP</t>
  </si>
  <si>
    <t>02356_RAP</t>
  </si>
  <si>
    <t>02189_RAP</t>
  </si>
  <si>
    <t>02047_RAP</t>
  </si>
  <si>
    <t>885_RAP</t>
  </si>
  <si>
    <t>02351_RAP</t>
  </si>
  <si>
    <t>02221_RAP2</t>
  </si>
  <si>
    <t>02674_RMED</t>
  </si>
  <si>
    <t>02096_RAP</t>
  </si>
  <si>
    <t>02188_RMED</t>
  </si>
  <si>
    <t>02618_LLAT</t>
  </si>
  <si>
    <t>848_RAP</t>
  </si>
  <si>
    <t>890_RLAT</t>
  </si>
  <si>
    <t>02312_RAP</t>
  </si>
  <si>
    <t>02657_LLAT2</t>
  </si>
  <si>
    <t>02383_LAP2</t>
  </si>
  <si>
    <t>02657_RMED</t>
  </si>
  <si>
    <t>02341_LAP</t>
  </si>
  <si>
    <t>02705_LAP</t>
  </si>
  <si>
    <t>02495_LLAT</t>
  </si>
  <si>
    <t>02628_RLAT</t>
  </si>
  <si>
    <t>02189_LLAT</t>
  </si>
  <si>
    <t>85    0000307992_RAP</t>
  </si>
  <si>
    <t>02220_RAP</t>
  </si>
  <si>
    <t>02370_RAP</t>
  </si>
  <si>
    <t>02279_RAP</t>
  </si>
  <si>
    <t>02254_LAP</t>
  </si>
  <si>
    <t>02260_RAP</t>
  </si>
  <si>
    <t>02268_LAP</t>
  </si>
  <si>
    <t>02210_LAP</t>
  </si>
  <si>
    <t>02212_RLAT</t>
  </si>
  <si>
    <t>3_917_0</t>
  </si>
  <si>
    <t>3_1076_0</t>
  </si>
  <si>
    <t>3_1039_0</t>
  </si>
  <si>
    <t>02205_LAP</t>
  </si>
  <si>
    <t>02278_RAP2</t>
  </si>
  <si>
    <t>3_894_0</t>
  </si>
  <si>
    <t>3_1051_0</t>
  </si>
  <si>
    <t>3_964_0</t>
  </si>
  <si>
    <t>02230_RAP</t>
  </si>
  <si>
    <t>02257_LAP</t>
  </si>
  <si>
    <t>02215_LLAT</t>
  </si>
  <si>
    <t>02329_LAP</t>
  </si>
  <si>
    <t>02216_RMED</t>
  </si>
  <si>
    <t>68  0000306502_RAP</t>
  </si>
  <si>
    <t>3_1015_0</t>
  </si>
  <si>
    <t>3_1005_1</t>
  </si>
  <si>
    <t>3_889_0</t>
  </si>
  <si>
    <t>3_839_1</t>
  </si>
  <si>
    <t>91  00m1620020_RAP</t>
  </si>
  <si>
    <t>22-00m1579854_RAP</t>
  </si>
  <si>
    <t>59   0000305922_RMED</t>
  </si>
  <si>
    <t>02534_LLAT</t>
  </si>
  <si>
    <t>02283_RAP</t>
  </si>
  <si>
    <t>3_805_0</t>
  </si>
  <si>
    <t>3_985_0</t>
  </si>
  <si>
    <t>3_937_0</t>
  </si>
  <si>
    <t>3_837_0</t>
  </si>
  <si>
    <t>3_966_0</t>
  </si>
  <si>
    <t>3_1005_0</t>
  </si>
  <si>
    <t>9-00m1577681_RAP</t>
  </si>
  <si>
    <t>02229_LAP</t>
  </si>
  <si>
    <t>57     0000305839_LAP</t>
  </si>
  <si>
    <t>3_906_0</t>
  </si>
  <si>
    <t>3_891_0</t>
  </si>
  <si>
    <t>3_965_1</t>
  </si>
  <si>
    <t>3_1036_0</t>
  </si>
  <si>
    <t>3_958_0</t>
  </si>
  <si>
    <t>split2</t>
    <phoneticPr fontId="2" type="noConversion"/>
  </si>
  <si>
    <t>860_RAP</t>
  </si>
  <si>
    <t>928_LAP</t>
    <phoneticPr fontId="2" type="noConversion"/>
  </si>
  <si>
    <t>02036_RLAT</t>
  </si>
  <si>
    <t>02088_LAP</t>
  </si>
  <si>
    <t>1016_RAP</t>
  </si>
  <si>
    <t>02533_LAP</t>
  </si>
  <si>
    <t>02488_RMED</t>
  </si>
  <si>
    <t>02365_LAP</t>
  </si>
  <si>
    <t>02414_LAP</t>
  </si>
  <si>
    <t>02364_RAP</t>
  </si>
  <si>
    <t>02413_RAP</t>
  </si>
  <si>
    <t>02133_LMED</t>
  </si>
  <si>
    <t>1068_LAP</t>
  </si>
  <si>
    <t>892_LAP</t>
  </si>
  <si>
    <t>02071_LAP</t>
  </si>
  <si>
    <t>02179_RAP</t>
  </si>
  <si>
    <t>02274_RAP</t>
  </si>
  <si>
    <t>02291_LMED</t>
  </si>
  <si>
    <t>02356_LLAT</t>
  </si>
  <si>
    <t>02136_RLAT</t>
  </si>
  <si>
    <t>979_RAP</t>
  </si>
  <si>
    <t>853_LAP</t>
  </si>
  <si>
    <t>02672_LAP</t>
  </si>
  <si>
    <t>978_LAP</t>
  </si>
  <si>
    <t>1049_RAP</t>
  </si>
  <si>
    <t>981_RAP</t>
  </si>
  <si>
    <t>02321_RAP</t>
  </si>
  <si>
    <t>02669_LAP</t>
  </si>
  <si>
    <t>02324_RLAT</t>
  </si>
  <si>
    <t>02414_RAP</t>
  </si>
  <si>
    <t>02389_LAP</t>
  </si>
  <si>
    <t>02068_RMED</t>
  </si>
  <si>
    <t>02713_RAP</t>
  </si>
  <si>
    <t>904_RAP</t>
  </si>
  <si>
    <t>884_LAP</t>
  </si>
  <si>
    <t>1072_RAP</t>
  </si>
  <si>
    <t>1013_RAP</t>
  </si>
  <si>
    <t>02646_RAP</t>
  </si>
  <si>
    <t>02191_RLAT</t>
  </si>
  <si>
    <t>02310_RAP</t>
  </si>
  <si>
    <t>02149_RAP</t>
  </si>
  <si>
    <t>02165_LAP</t>
  </si>
  <si>
    <t>02274_RMED</t>
  </si>
  <si>
    <t>02080_RAP</t>
  </si>
  <si>
    <t>02085_LLAT</t>
    <phoneticPr fontId="2" type="noConversion"/>
  </si>
  <si>
    <t>02261_RLAT</t>
  </si>
  <si>
    <t>02234_RAP</t>
  </si>
  <si>
    <t>02211_RAP</t>
  </si>
  <si>
    <t>3_832_0</t>
  </si>
  <si>
    <t>3_1028_0</t>
  </si>
  <si>
    <t>3_980_0</t>
  </si>
  <si>
    <t>3_859_0</t>
  </si>
  <si>
    <t>3_1079_0</t>
  </si>
  <si>
    <t>3_977_0</t>
  </si>
  <si>
    <t>02185_RAP</t>
  </si>
  <si>
    <t>02236_LAP</t>
  </si>
  <si>
    <t>02005_RMED</t>
  </si>
  <si>
    <t>02042_RAP</t>
  </si>
  <si>
    <t>10-159800_RAP</t>
  </si>
  <si>
    <t>3_812_0</t>
  </si>
  <si>
    <t>3_961_0</t>
  </si>
  <si>
    <t>3_930_0</t>
  </si>
  <si>
    <t>3_967_0</t>
  </si>
  <si>
    <t>3_894_1</t>
  </si>
  <si>
    <t>3_881_0</t>
  </si>
  <si>
    <t>02222_RLAT</t>
  </si>
  <si>
    <t>02112_RLAT</t>
  </si>
  <si>
    <t>67  00m1609970_LAP</t>
  </si>
  <si>
    <t>50    304967_RAP</t>
  </si>
  <si>
    <t>3_995_0</t>
  </si>
  <si>
    <t>3_825_0</t>
  </si>
  <si>
    <t>02400_LAP</t>
  </si>
  <si>
    <t>02298_RAP</t>
  </si>
  <si>
    <t>52    00m1453762_LMED</t>
  </si>
  <si>
    <t>02224_RAP</t>
  </si>
  <si>
    <t>02352_LAP</t>
  </si>
  <si>
    <t>3_1042_0</t>
  </si>
  <si>
    <t>3_1011_0</t>
  </si>
  <si>
    <t>3_844_0</t>
  </si>
  <si>
    <t>3_826_0</t>
  </si>
  <si>
    <t>02103_RMED</t>
  </si>
  <si>
    <t>02092_RLAT</t>
  </si>
  <si>
    <t>02371_RAP</t>
  </si>
  <si>
    <t>82   00c1147955_LMED</t>
  </si>
  <si>
    <t>45   00m1602637_LAP</t>
  </si>
  <si>
    <t>02237_RAP</t>
  </si>
  <si>
    <t>02259_LMED</t>
  </si>
  <si>
    <t>3_962_0</t>
  </si>
  <si>
    <t>3_983_0</t>
  </si>
  <si>
    <t>split3</t>
    <phoneticPr fontId="2" type="noConversion"/>
  </si>
  <si>
    <t>915_LAP</t>
  </si>
  <si>
    <t>1001_LAP</t>
  </si>
  <si>
    <t>02020_RLAT</t>
  </si>
  <si>
    <t>02332_LAP</t>
  </si>
  <si>
    <t>02082_LAP</t>
  </si>
  <si>
    <t>02353_RMED</t>
  </si>
  <si>
    <t>02199_LMED</t>
  </si>
  <si>
    <t>02451_LAP</t>
  </si>
  <si>
    <t>909_RAP</t>
  </si>
  <si>
    <t>02262_LAP</t>
  </si>
  <si>
    <t>965_LAP</t>
  </si>
  <si>
    <t>02120_LMED</t>
  </si>
  <si>
    <t>02630_LAP</t>
  </si>
  <si>
    <t>02324_LAP</t>
  </si>
  <si>
    <t>02292_RMED</t>
  </si>
  <si>
    <t>1006_LAP</t>
  </si>
  <si>
    <t>920_RAP2</t>
  </si>
  <si>
    <t>952_RAP</t>
  </si>
  <si>
    <t>02300_LAP</t>
  </si>
  <si>
    <t>02048_LAP</t>
  </si>
  <si>
    <t>02399_LLAT</t>
  </si>
  <si>
    <t>1037_LAP</t>
  </si>
  <si>
    <t>1058_LLAT</t>
  </si>
  <si>
    <t>02402_RAP</t>
  </si>
  <si>
    <t>981_LLAT</t>
  </si>
  <si>
    <t>943_RAP</t>
  </si>
  <si>
    <t>02059_LAP</t>
  </si>
  <si>
    <t>02274_LLAT</t>
  </si>
  <si>
    <t>02597_RAP</t>
  </si>
  <si>
    <t>02342_RAP</t>
  </si>
  <si>
    <t>02522_LAP</t>
  </si>
  <si>
    <t>02520_RLAT</t>
  </si>
  <si>
    <t>02174_RLAT</t>
  </si>
  <si>
    <t>02055_RAP</t>
  </si>
  <si>
    <t>1081_LLAT</t>
  </si>
  <si>
    <t>1063_LAP</t>
  </si>
  <si>
    <t>932_LMED</t>
  </si>
  <si>
    <t>1025_LAP</t>
  </si>
  <si>
    <t>02495_LMED</t>
  </si>
  <si>
    <t>02043_LAP</t>
  </si>
  <si>
    <t>02096_LAP</t>
  </si>
  <si>
    <t>02705_RAP</t>
  </si>
  <si>
    <t>02136_LLAT</t>
  </si>
  <si>
    <t>35-0000304676_RLAT</t>
  </si>
  <si>
    <t>02087_LMED</t>
  </si>
  <si>
    <t>02002_LAP</t>
  </si>
  <si>
    <t>02343_LAP</t>
  </si>
  <si>
    <t>02271_LAP</t>
  </si>
  <si>
    <t>02219_LLAT</t>
  </si>
  <si>
    <t>02124_RLAT</t>
  </si>
  <si>
    <t>02266_RAP</t>
  </si>
  <si>
    <t>3_946_0</t>
  </si>
  <si>
    <t>3_1077_0</t>
  </si>
  <si>
    <t>02338_RAP</t>
  </si>
  <si>
    <t>02304_LAP</t>
  </si>
  <si>
    <t>02261_LLAT</t>
  </si>
  <si>
    <t>02091_LAP</t>
  </si>
  <si>
    <t>02244_RAP</t>
  </si>
  <si>
    <t>3_942_0</t>
  </si>
  <si>
    <t>3_985_2</t>
  </si>
  <si>
    <t>3_929_0</t>
  </si>
  <si>
    <t>3_949_0</t>
  </si>
  <si>
    <t>3_902_0</t>
  </si>
  <si>
    <t>02202_RAP</t>
  </si>
  <si>
    <t>02369_RAP</t>
  </si>
  <si>
    <t>02057_RAP</t>
  </si>
  <si>
    <t>80   0000306892_LMED</t>
  </si>
  <si>
    <t>3_972_0</t>
  </si>
  <si>
    <t>3_959_0</t>
  </si>
  <si>
    <t>3_954_0</t>
  </si>
  <si>
    <t>3_804_0</t>
  </si>
  <si>
    <t>3_944_0</t>
  </si>
  <si>
    <t>02206_LLAT</t>
  </si>
  <si>
    <t>02084_LLAT</t>
  </si>
  <si>
    <t>3_1002_0</t>
  </si>
  <si>
    <t>3_829_1</t>
  </si>
  <si>
    <t>3_1065_0</t>
  </si>
  <si>
    <t>39-abus-00m1598715_LMED</t>
  </si>
  <si>
    <t>02265_RLAT</t>
  </si>
  <si>
    <t>3_839_0</t>
  </si>
  <si>
    <t>3_985_1</t>
  </si>
  <si>
    <t>3_834_0</t>
  </si>
  <si>
    <t>3_905_0</t>
  </si>
  <si>
    <t>3_951_0</t>
  </si>
  <si>
    <t>3_997_0</t>
  </si>
  <si>
    <t>3_950_0</t>
  </si>
  <si>
    <t>3_921_0</t>
  </si>
  <si>
    <t>3_941_0</t>
  </si>
  <si>
    <t>split4</t>
    <phoneticPr fontId="2" type="noConversion"/>
  </si>
  <si>
    <t>02358_LAP</t>
  </si>
  <si>
    <t>890_LAP</t>
  </si>
  <si>
    <t>02541_LLAT</t>
  </si>
  <si>
    <t>02626_LLAT</t>
  </si>
  <si>
    <t>02441_LMED</t>
  </si>
  <si>
    <t>846_RLAT</t>
  </si>
  <si>
    <t>879_LAP</t>
  </si>
  <si>
    <t>02221_RAP</t>
  </si>
  <si>
    <t>864_LAP</t>
  </si>
  <si>
    <t>02387_LAP</t>
  </si>
  <si>
    <t>02041_RAP</t>
  </si>
  <si>
    <t>02375_RAP</t>
  </si>
  <si>
    <t>02047_LMED</t>
  </si>
  <si>
    <t>02567_LAP</t>
  </si>
  <si>
    <t>02314_RLAT</t>
  </si>
  <si>
    <t>912_LAP</t>
  </si>
  <si>
    <t>920_RAP</t>
  </si>
  <si>
    <t>test040_LLAT</t>
  </si>
  <si>
    <t>02628_LLAT</t>
  </si>
  <si>
    <t>02104_RAP</t>
  </si>
  <si>
    <t>02535_LAP</t>
  </si>
  <si>
    <t>02024_LAP</t>
  </si>
  <si>
    <t>02591_LAP</t>
  </si>
  <si>
    <t>02300_LINF</t>
  </si>
  <si>
    <t>02480_RAP</t>
  </si>
  <si>
    <t>02320_LAP</t>
  </si>
  <si>
    <t>987_RAP</t>
  </si>
  <si>
    <t>907_RLAT</t>
  </si>
  <si>
    <t>882_RAP</t>
  </si>
  <si>
    <t>02102_RLAT</t>
  </si>
  <si>
    <t>02184_LAP</t>
  </si>
  <si>
    <t>1016_LAP</t>
  </si>
  <si>
    <t>895_LAP</t>
  </si>
  <si>
    <t>904_LAP</t>
  </si>
  <si>
    <t>02307_LAP</t>
  </si>
  <si>
    <t>02143_LAP</t>
  </si>
  <si>
    <t>1059_LLAT</t>
  </si>
  <si>
    <t>test023_LAP</t>
  </si>
  <si>
    <t>890_RAP</t>
  </si>
  <si>
    <t>865_RAP</t>
  </si>
  <si>
    <t>02652_RAP</t>
  </si>
  <si>
    <t>02305_RLAT</t>
  </si>
  <si>
    <t>02652_LAP</t>
  </si>
  <si>
    <t>02474_RAP</t>
  </si>
  <si>
    <t>02278_RAP</t>
  </si>
  <si>
    <t>02131_RAP</t>
  </si>
  <si>
    <t>62   00c1146581_LMED</t>
  </si>
  <si>
    <t>3_818_0</t>
  </si>
  <si>
    <t>3_828_0</t>
  </si>
  <si>
    <t>3_830_0</t>
  </si>
  <si>
    <t>3_926_0</t>
  </si>
  <si>
    <t>02218_RAP</t>
  </si>
  <si>
    <t>87   00m1617007_LAP</t>
  </si>
  <si>
    <t>02709_RAP</t>
  </si>
  <si>
    <t>02287_LAP</t>
  </si>
  <si>
    <t>92  00m1620369_RLAT</t>
  </si>
  <si>
    <t>02208_RLAT</t>
  </si>
  <si>
    <t>3_898_0</t>
  </si>
  <si>
    <t>3_948_0</t>
  </si>
  <si>
    <t>3_985_3</t>
  </si>
  <si>
    <t>3_test039_0</t>
  </si>
  <si>
    <t>3_1058_0</t>
  </si>
  <si>
    <t>94   00m1620218_RAP</t>
  </si>
  <si>
    <t>31-00m1599291_RAP</t>
  </si>
  <si>
    <t>77   00x000865_RAP</t>
  </si>
  <si>
    <t>3_911_0</t>
  </si>
  <si>
    <t>3_982_0</t>
  </si>
  <si>
    <t>3_1044_0</t>
  </si>
  <si>
    <t>3_989_0</t>
  </si>
  <si>
    <t>3_857_0</t>
  </si>
  <si>
    <t>3_836_0</t>
  </si>
  <si>
    <t>3_829_2</t>
  </si>
  <si>
    <t>71   0000306094_LAP</t>
  </si>
  <si>
    <t>02315_LAP</t>
  </si>
  <si>
    <t>02099_RLAT</t>
  </si>
  <si>
    <t>42  00m1602095_RAP</t>
  </si>
  <si>
    <t>3_1030_0</t>
  </si>
  <si>
    <t>3_1047_0</t>
  </si>
  <si>
    <t>3_940_0</t>
  </si>
  <si>
    <t>3_820_0</t>
  </si>
  <si>
    <t>3_843_0</t>
  </si>
  <si>
    <t>3_813_1</t>
  </si>
  <si>
    <t>3_1026_0</t>
  </si>
  <si>
    <t>02231_RAP</t>
  </si>
  <si>
    <t>02109_LAP</t>
  </si>
  <si>
    <t>02258_LAP</t>
  </si>
  <si>
    <t>3_1035_0</t>
  </si>
  <si>
    <t>3_935_0</t>
  </si>
  <si>
    <t>3_869_0</t>
  </si>
  <si>
    <t>split5</t>
    <phoneticPr fontId="2" type="noConversion"/>
  </si>
  <si>
    <t>02029_LLAT</t>
  </si>
  <si>
    <t>02361_LAP</t>
  </si>
  <si>
    <t>919_RLAT</t>
  </si>
  <si>
    <t>990_LAP</t>
  </si>
  <si>
    <t>02306_LAP</t>
  </si>
  <si>
    <t>1021_RAP</t>
  </si>
  <si>
    <t>02194_RAP</t>
  </si>
  <si>
    <t>02187_LLAT</t>
  </si>
  <si>
    <t>02642_LLAT</t>
  </si>
  <si>
    <t>02024_RLAT</t>
  </si>
  <si>
    <t>02462_RLAT</t>
  </si>
  <si>
    <t>1029_LAP</t>
  </si>
  <si>
    <t>1045_LAP</t>
  </si>
  <si>
    <t>965_RLAT</t>
  </si>
  <si>
    <t>984_LAP</t>
  </si>
  <si>
    <t>02111_RMED</t>
  </si>
  <si>
    <t>02340_LAP</t>
  </si>
  <si>
    <t>02496_RAP</t>
  </si>
  <si>
    <t>02101_RLAT</t>
  </si>
  <si>
    <t>02117_LAP</t>
  </si>
  <si>
    <t>02387_LAP2</t>
  </si>
  <si>
    <t>02350_RLAT</t>
  </si>
  <si>
    <t>1008_RLAT</t>
  </si>
  <si>
    <t>936_LAP</t>
  </si>
  <si>
    <t>02280_RAP</t>
  </si>
  <si>
    <t>02572_LAP</t>
  </si>
  <si>
    <t>02705_RLAT</t>
  </si>
  <si>
    <t>02313_LAP</t>
  </si>
  <si>
    <t>02383_LAP</t>
  </si>
  <si>
    <t>02416_RMED</t>
  </si>
  <si>
    <t>02245_LAP</t>
  </si>
  <si>
    <t>02083_LAP</t>
  </si>
  <si>
    <t>1071_LAP</t>
  </si>
  <si>
    <t>02678_LAP</t>
  </si>
  <si>
    <t>02033_LLAT</t>
  </si>
  <si>
    <t>02330_LMED</t>
  </si>
  <si>
    <t>02066_RMED</t>
  </si>
  <si>
    <t>979_LAP</t>
  </si>
  <si>
    <t>02048_RMED</t>
  </si>
  <si>
    <t>02670_RAP</t>
  </si>
  <si>
    <t>02079_RAP</t>
  </si>
  <si>
    <t>02657_LLAT</t>
  </si>
  <si>
    <t>02669_RAP</t>
  </si>
  <si>
    <t>44    00m1601546_LAP</t>
  </si>
  <si>
    <t>20-300343_RAP</t>
  </si>
  <si>
    <t>02252_RAP</t>
  </si>
  <si>
    <t>70   0000306230_RAP</t>
  </si>
  <si>
    <t>3_908_0</t>
  </si>
  <si>
    <t>3_1055_0</t>
  </si>
  <si>
    <t>48   0000305144_LAP</t>
  </si>
  <si>
    <t>02316_LAP</t>
  </si>
  <si>
    <t>02225_LAP</t>
  </si>
  <si>
    <t>02710_RAP</t>
  </si>
  <si>
    <t>02201_RLAT</t>
  </si>
  <si>
    <t>3_840_0</t>
  </si>
  <si>
    <t>3_1048_0</t>
  </si>
  <si>
    <t>3_854_0</t>
  </si>
  <si>
    <t>3_1066_0</t>
  </si>
  <si>
    <t>02308_LAP</t>
  </si>
  <si>
    <t>29-00m1599087_RLAT</t>
  </si>
  <si>
    <t>02295_RAP</t>
  </si>
  <si>
    <t>02264_RAP2_</t>
  </si>
  <si>
    <t>3_923_0</t>
  </si>
  <si>
    <t>3_897_0</t>
  </si>
  <si>
    <t>3_PF001_0</t>
  </si>
  <si>
    <t>3_1009_0</t>
  </si>
  <si>
    <t>3_938_0</t>
  </si>
  <si>
    <t>3_887_0</t>
  </si>
  <si>
    <t>3_1056_0</t>
  </si>
  <si>
    <t>02248_RAP</t>
  </si>
  <si>
    <t>96   00m1621485_RLAT</t>
  </si>
  <si>
    <t>02217_RAP</t>
  </si>
  <si>
    <t>02251_LAP</t>
  </si>
  <si>
    <t>02335_LAP</t>
  </si>
  <si>
    <t>3_1014_0</t>
  </si>
  <si>
    <t>3_988_0</t>
  </si>
  <si>
    <t>3_1074_0</t>
  </si>
  <si>
    <t>3_829_0</t>
  </si>
  <si>
    <t>3_1073_0</t>
  </si>
  <si>
    <t>83   00m1617498_RAP</t>
  </si>
  <si>
    <t>4-m1577986_RLAT</t>
  </si>
  <si>
    <t>56_LLAT</t>
  </si>
  <si>
    <t>41_RAP</t>
  </si>
  <si>
    <t>02382_LAP</t>
  </si>
  <si>
    <t>3_993_0</t>
  </si>
  <si>
    <t>3_1046_0</t>
  </si>
  <si>
    <t>3_903_0</t>
  </si>
  <si>
    <t>3_1082_0</t>
  </si>
  <si>
    <t>Theshold</t>
    <phoneticPr fontId="2" type="noConversion"/>
  </si>
  <si>
    <t>TP</t>
    <phoneticPr fontId="2" type="noConversion"/>
  </si>
  <si>
    <t>FN</t>
    <phoneticPr fontId="2" type="noConversion"/>
  </si>
  <si>
    <t>FP</t>
    <phoneticPr fontId="2" type="noConversion"/>
  </si>
  <si>
    <t>TN</t>
    <phoneticPr fontId="2" type="noConversion"/>
  </si>
  <si>
    <t>FP+TP</t>
    <phoneticPr fontId="2" type="noConversion"/>
  </si>
  <si>
    <t>FN+TN</t>
    <phoneticPr fontId="2" type="noConversion"/>
  </si>
  <si>
    <t>TP+FN</t>
    <phoneticPr fontId="1" type="noConversion"/>
  </si>
  <si>
    <t xml:space="preserve"> TN+FP</t>
    <phoneticPr fontId="1" type="noConversion"/>
  </si>
  <si>
    <t>Acc</t>
    <phoneticPr fontId="2" type="noConversion"/>
  </si>
  <si>
    <t>Sen</t>
    <phoneticPr fontId="2" type="noConversion"/>
  </si>
  <si>
    <t>PPV</t>
    <phoneticPr fontId="2" type="noConversion"/>
  </si>
  <si>
    <t>NPV</t>
    <phoneticPr fontId="2" type="noConversion"/>
  </si>
  <si>
    <t>ID</t>
    <phoneticPr fontId="1" type="noConversion"/>
  </si>
  <si>
    <t>GT</t>
    <phoneticPr fontId="1" type="noConversion"/>
  </si>
  <si>
    <t>T/F</t>
    <phoneticPr fontId="1" type="noConversion"/>
  </si>
  <si>
    <t>Reader 1</t>
    <phoneticPr fontId="2" type="noConversion"/>
  </si>
  <si>
    <t>Reader 2</t>
    <phoneticPr fontId="2" type="noConversion"/>
  </si>
  <si>
    <t>Reader 3</t>
    <phoneticPr fontId="2" type="noConversion"/>
  </si>
  <si>
    <t>Dr_1</t>
    <phoneticPr fontId="1" type="noConversion"/>
  </si>
  <si>
    <t>Dr_2</t>
    <phoneticPr fontId="1" type="noConversion"/>
  </si>
  <si>
    <t>Dr_3</t>
    <phoneticPr fontId="1" type="noConversion"/>
  </si>
  <si>
    <t>1：刘丽娴（2年HHUS，2年ABUS）</t>
    <phoneticPr fontId="3" type="noConversion"/>
  </si>
  <si>
    <t>2：向慧玲（3年HHUS，3年ABUS）</t>
    <phoneticPr fontId="3" type="noConversion"/>
  </si>
  <si>
    <t>3：林僖（18年HHUS，5年ABUS）</t>
    <phoneticPr fontId="3" type="noConversion"/>
  </si>
  <si>
    <t>proposed</t>
    <phoneticPr fontId="1" type="noConversion"/>
  </si>
  <si>
    <t>proposed
In_Sein_Res</t>
    <phoneticPr fontId="1" type="noConversion"/>
  </si>
  <si>
    <t>baseline</t>
    <phoneticPr fontId="1" type="noConversion"/>
  </si>
  <si>
    <t>a</t>
    <phoneticPr fontId="1" type="noConversion"/>
  </si>
  <si>
    <t>b</t>
    <phoneticPr fontId="1" type="noConversion"/>
  </si>
  <si>
    <t>Az</t>
    <phoneticPr fontId="1" type="noConversion"/>
  </si>
  <si>
    <t>if non-mass</t>
    <phoneticPr fontId="1" type="noConversion"/>
  </si>
  <si>
    <t>Theshold</t>
  </si>
  <si>
    <t>M</t>
  </si>
  <si>
    <t>TP</t>
  </si>
  <si>
    <t>FN</t>
  </si>
  <si>
    <t>FP</t>
  </si>
  <si>
    <t>TN</t>
  </si>
  <si>
    <t>FP+TP</t>
  </si>
  <si>
    <t>FN+TN</t>
  </si>
  <si>
    <t>TP+FN</t>
  </si>
  <si>
    <t xml:space="preserve"> TN+FP</t>
  </si>
  <si>
    <t>Acc</t>
  </si>
  <si>
    <t>Sen</t>
  </si>
  <si>
    <t>Spec</t>
  </si>
  <si>
    <t>PPV</t>
  </si>
  <si>
    <t>NPV</t>
  </si>
  <si>
    <t>B</t>
  </si>
  <si>
    <t>1：刘丽娴（2年HHUS，2年ABUS）</t>
  </si>
  <si>
    <t>Dr_1</t>
  </si>
  <si>
    <t>2：向慧玲（3年HHUS，3年ABUS）</t>
  </si>
  <si>
    <t>Dr_2</t>
  </si>
  <si>
    <t>baseline</t>
  </si>
  <si>
    <t>3：林僖（18年HHUS，5年ABUS）</t>
  </si>
  <si>
    <t>Dr_3</t>
  </si>
  <si>
    <t>In_SE(in)_Res</t>
  </si>
  <si>
    <t>proposed</t>
  </si>
  <si>
    <t>In_SE(out)_Res</t>
  </si>
  <si>
    <t>In_Res</t>
  </si>
  <si>
    <t>Inception</t>
  </si>
  <si>
    <t>In_SE</t>
  </si>
  <si>
    <t>Resnext</t>
  </si>
  <si>
    <t>Res_SE</t>
  </si>
  <si>
    <t>a</t>
  </si>
  <si>
    <t>b</t>
  </si>
  <si>
    <t>Az</t>
  </si>
  <si>
    <t>age</t>
    <phoneticPr fontId="1" type="noConversion"/>
  </si>
  <si>
    <t>size</t>
    <phoneticPr fontId="1" type="noConversion"/>
  </si>
  <si>
    <t>nan</t>
    <phoneticPr fontId="1" type="noConversion"/>
  </si>
  <si>
    <t>resnest</t>
    <phoneticPr fontId="1" type="noConversion"/>
  </si>
  <si>
    <t>resnext</t>
    <phoneticPr fontId="1" type="noConversion"/>
  </si>
  <si>
    <t>se_net</t>
    <phoneticPr fontId="1" type="noConversion"/>
  </si>
  <si>
    <t>resnet</t>
    <phoneticPr fontId="1" type="noConversion"/>
  </si>
  <si>
    <t>Inception</t>
    <phoneticPr fontId="1" type="noConversion"/>
  </si>
  <si>
    <t>02329_LAP</t>
    <phoneticPr fontId="1" type="noConversion"/>
  </si>
  <si>
    <t>3_965_1</t>
    <phoneticPr fontId="1" type="noConversion"/>
  </si>
  <si>
    <t>02271_LAP</t>
    <phoneticPr fontId="1" type="noConversion"/>
  </si>
  <si>
    <t>XB001_RAP</t>
    <phoneticPr fontId="1" type="noConversion"/>
  </si>
  <si>
    <t>1017_LAP</t>
    <phoneticPr fontId="1" type="noConversion"/>
  </si>
  <si>
    <t>822_RAP</t>
    <phoneticPr fontId="1" type="noConversion"/>
  </si>
  <si>
    <t>02356_RAP</t>
    <phoneticPr fontId="1" type="noConversion"/>
  </si>
  <si>
    <t>885_RAP</t>
    <phoneticPr fontId="1" type="noConversion"/>
  </si>
  <si>
    <t>848_RAP</t>
    <phoneticPr fontId="1" type="noConversion"/>
  </si>
  <si>
    <t>02205_LAP</t>
    <phoneticPr fontId="1" type="noConversion"/>
  </si>
  <si>
    <t>02278_RAP2</t>
    <phoneticPr fontId="1" type="noConversion"/>
  </si>
  <si>
    <t>Swin Transformer</t>
    <phoneticPr fontId="1" type="noConversion"/>
  </si>
  <si>
    <t>Swin Transformer</t>
    <phoneticPr fontId="1" type="noConversion"/>
  </si>
  <si>
    <t>Res-CapsNet</t>
    <phoneticPr fontId="1" type="noConversion"/>
  </si>
  <si>
    <t>Res-CapsNet</t>
    <phoneticPr fontId="1" type="noConversion"/>
  </si>
  <si>
    <t>a=1.84</t>
  </si>
  <si>
    <t>b=0.90</t>
  </si>
  <si>
    <t>Spec</t>
    <phoneticPr fontId="2" type="noConversion"/>
  </si>
  <si>
    <t>resnest</t>
    <phoneticPr fontId="1" type="noConversion"/>
  </si>
  <si>
    <t>mass</t>
    <phoneticPr fontId="1" type="noConversion"/>
  </si>
  <si>
    <t>non-mass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</si>
</sst>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000"/>
  </numFmts>
  <fonts count="1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3"/>
      <charset val="134"/>
      <scheme val="minor"/>
    </font>
    <font>
      <sz val="11"/>
      <color theme="1"/>
      <name val="新細明體"/>
      <family val="3"/>
      <charset val="134"/>
      <scheme val="minor"/>
    </font>
    <font>
      <sz val="11"/>
      <name val="新細明體"/>
      <family val="1"/>
      <charset val="136"/>
    </font>
    <font>
      <sz val="11"/>
      <name val="新細明體"/>
      <family val="2"/>
      <scheme val="minor"/>
    </font>
    <font>
      <sz val="11"/>
      <color theme="1"/>
      <name val="PMingLiU"/>
      <family val="1"/>
      <charset val="136"/>
    </font>
    <font>
      <sz val="11"/>
      <color theme="1"/>
      <name val="新細明體"/>
      <family val="2"/>
      <scheme val="minor"/>
    </font>
    <font>
      <sz val="12"/>
      <color theme="1"/>
      <name val="新細明體 (本文)"/>
      <family val="1"/>
      <charset val="136"/>
    </font>
    <font>
      <sz val="11"/>
      <color theme="1"/>
      <name val="新細明體 (本文)"/>
      <family val="1"/>
      <charset val="136"/>
    </font>
    <font>
      <sz val="11"/>
      <name val="新細明體 (本文)"/>
      <family val="1"/>
      <charset val="136"/>
    </font>
    <font>
      <sz val="12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/>
    <xf numFmtId="0" fontId="12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0" borderId="0" xfId="0" applyFont="1" applyAlignment="1">
      <alignment horizontal="left" vertical="center"/>
    </xf>
    <xf numFmtId="0" fontId="0" fillId="0" borderId="0" xfId="0" applyFill="1" applyAlignment="1"/>
    <xf numFmtId="0" fontId="0" fillId="0" borderId="1" xfId="0" applyFont="1" applyBorder="1" applyAlignment="1">
      <alignment horizontal="left" vertical="center"/>
    </xf>
    <xf numFmtId="0" fontId="0" fillId="4" borderId="0" xfId="0" applyFill="1" applyAlignment="1"/>
    <xf numFmtId="0" fontId="0" fillId="4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11" fontId="0" fillId="4" borderId="0" xfId="0" applyNumberFormat="1" applyFill="1" applyAlignment="1"/>
    <xf numFmtId="0" fontId="5" fillId="6" borderId="2" xfId="0" applyNumberFormat="1" applyFont="1" applyFill="1" applyBorder="1" applyAlignment="1">
      <alignment horizontal="left" vertical="center" wrapText="1"/>
    </xf>
    <xf numFmtId="0" fontId="5" fillId="6" borderId="2" xfId="0" applyNumberFormat="1" applyFont="1" applyFill="1" applyBorder="1" applyAlignment="1">
      <alignment horizontal="left" vertical="center"/>
    </xf>
    <xf numFmtId="0" fontId="5" fillId="4" borderId="2" xfId="0" applyNumberFormat="1" applyFont="1" applyFill="1" applyBorder="1" applyAlignment="1">
      <alignment horizontal="left" vertical="center" wrapText="1"/>
    </xf>
    <xf numFmtId="0" fontId="5" fillId="4" borderId="2" xfId="0" applyNumberFormat="1" applyFont="1" applyFill="1" applyBorder="1" applyAlignment="1">
      <alignment horizontal="left" vertical="center"/>
    </xf>
    <xf numFmtId="0" fontId="0" fillId="7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5" fillId="2" borderId="2" xfId="0" applyNumberFormat="1" applyFont="1" applyFill="1" applyBorder="1" applyAlignment="1">
      <alignment horizontal="left" vertical="center"/>
    </xf>
    <xf numFmtId="11" fontId="0" fillId="0" borderId="0" xfId="0" applyNumberFormat="1" applyAlignment="1"/>
    <xf numFmtId="0" fontId="6" fillId="6" borderId="3" xfId="0" applyFont="1" applyFill="1" applyBorder="1" applyAlignment="1"/>
    <xf numFmtId="0" fontId="7" fillId="8" borderId="0" xfId="0" applyFont="1" applyFill="1">
      <alignment vertical="center"/>
    </xf>
    <xf numFmtId="49" fontId="0" fillId="7" borderId="0" xfId="0" applyNumberFormat="1" applyFill="1">
      <alignment vertical="center"/>
    </xf>
    <xf numFmtId="0" fontId="0" fillId="8" borderId="0" xfId="0" applyFill="1">
      <alignment vertical="center"/>
    </xf>
    <xf numFmtId="0" fontId="8" fillId="0" borderId="0" xfId="1"/>
    <xf numFmtId="0" fontId="8" fillId="0" borderId="0" xfId="1" applyAlignment="1">
      <alignment horizontal="center"/>
    </xf>
    <xf numFmtId="0" fontId="0" fillId="0" borderId="0" xfId="0" applyFill="1">
      <alignment vertical="center"/>
    </xf>
    <xf numFmtId="0" fontId="8" fillId="0" borderId="0" xfId="1" applyFill="1" applyAlignment="1">
      <alignment horizontal="center" vertical="center"/>
    </xf>
    <xf numFmtId="0" fontId="8" fillId="0" borderId="0" xfId="1" applyFill="1" applyAlignment="1">
      <alignment horizontal="center"/>
    </xf>
    <xf numFmtId="11" fontId="0" fillId="0" borderId="0" xfId="0" applyNumberFormat="1">
      <alignment vertical="center"/>
    </xf>
    <xf numFmtId="0" fontId="0" fillId="0" borderId="4" xfId="0" applyFill="1" applyBorder="1" applyAlignment="1"/>
    <xf numFmtId="0" fontId="0" fillId="0" borderId="4" xfId="0" applyFill="1" applyBorder="1">
      <alignment vertical="center"/>
    </xf>
    <xf numFmtId="176" fontId="9" fillId="0" borderId="4" xfId="0" applyNumberFormat="1" applyFont="1" applyFill="1" applyBorder="1" applyAlignment="1" applyProtection="1">
      <alignment horizontal="left" vertical="center"/>
      <protection locked="0"/>
    </xf>
    <xf numFmtId="176" fontId="10" fillId="0" borderId="4" xfId="0" applyNumberFormat="1" applyFont="1" applyFill="1" applyBorder="1" applyAlignment="1" applyProtection="1">
      <alignment horizontal="left" vertical="center" wrapText="1"/>
      <protection locked="0"/>
    </xf>
    <xf numFmtId="176" fontId="9" fillId="0" borderId="4" xfId="0" applyNumberFormat="1" applyFont="1" applyFill="1" applyBorder="1" applyAlignment="1" applyProtection="1">
      <protection locked="0"/>
    </xf>
    <xf numFmtId="176" fontId="11" fillId="0" borderId="4" xfId="0" applyNumberFormat="1" applyFont="1" applyFill="1" applyBorder="1" applyAlignment="1" applyProtection="1">
      <alignment horizontal="left" vertical="center" wrapText="1"/>
      <protection locked="0"/>
    </xf>
    <xf numFmtId="176" fontId="11" fillId="0" borderId="4" xfId="0" applyNumberFormat="1" applyFont="1" applyFill="1" applyBorder="1" applyAlignment="1" applyProtection="1">
      <alignment horizontal="left" vertical="center"/>
      <protection locked="0"/>
    </xf>
    <xf numFmtId="176" fontId="11" fillId="0" borderId="4" xfId="0" applyNumberFormat="1" applyFont="1" applyFill="1" applyBorder="1" applyAlignment="1" applyProtection="1">
      <protection locked="0"/>
    </xf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8" fillId="0" borderId="4" xfId="1" applyBorder="1" applyAlignment="1">
      <alignment horizontal="center"/>
    </xf>
    <xf numFmtId="0" fontId="8" fillId="0" borderId="4" xfId="1" applyBorder="1"/>
    <xf numFmtId="0" fontId="0" fillId="9" borderId="0" xfId="0" applyFont="1" applyFill="1" applyAlignment="1">
      <alignment horizontal="left" vertical="center"/>
    </xf>
    <xf numFmtId="0" fontId="8" fillId="9" borderId="0" xfId="1" applyFill="1" applyAlignment="1">
      <alignment horizontal="center"/>
    </xf>
    <xf numFmtId="0" fontId="0" fillId="9" borderId="0" xfId="0" applyFill="1">
      <alignment vertical="center"/>
    </xf>
    <xf numFmtId="0" fontId="8" fillId="9" borderId="0" xfId="1" applyFill="1"/>
    <xf numFmtId="0" fontId="8" fillId="10" borderId="0" xfId="1" applyFill="1" applyAlignment="1">
      <alignment horizontal="center"/>
    </xf>
    <xf numFmtId="0" fontId="0" fillId="10" borderId="0" xfId="0" applyFill="1">
      <alignment vertical="center"/>
    </xf>
    <xf numFmtId="0" fontId="8" fillId="10" borderId="0" xfId="1" applyFill="1"/>
    <xf numFmtId="177" fontId="0" fillId="0" borderId="0" xfId="0" applyNumberFormat="1">
      <alignment vertical="center"/>
    </xf>
    <xf numFmtId="177" fontId="8" fillId="0" borderId="0" xfId="1" applyNumberFormat="1"/>
    <xf numFmtId="10" fontId="0" fillId="0" borderId="0" xfId="0" applyNumberFormat="1">
      <alignment vertical="center"/>
    </xf>
    <xf numFmtId="10" fontId="0" fillId="10" borderId="0" xfId="0" applyNumberFormat="1" applyFill="1">
      <alignment vertical="center"/>
    </xf>
    <xf numFmtId="10" fontId="8" fillId="0" borderId="4" xfId="1" applyNumberFormat="1" applyBorder="1"/>
    <xf numFmtId="10" fontId="8" fillId="0" borderId="0" xfId="1" applyNumberFormat="1"/>
    <xf numFmtId="10" fontId="8" fillId="9" borderId="4" xfId="1" applyNumberFormat="1" applyFill="1" applyBorder="1"/>
    <xf numFmtId="10" fontId="8" fillId="9" borderId="0" xfId="1" applyNumberFormat="1" applyFill="1"/>
    <xf numFmtId="10" fontId="8" fillId="10" borderId="4" xfId="1" applyNumberFormat="1" applyFill="1" applyBorder="1"/>
    <xf numFmtId="10" fontId="8" fillId="10" borderId="0" xfId="1" applyNumberFormat="1" applyFill="1"/>
    <xf numFmtId="10" fontId="0" fillId="0" borderId="0" xfId="0" applyNumberFormat="1" applyFill="1">
      <alignment vertical="center"/>
    </xf>
    <xf numFmtId="0" fontId="0" fillId="0" borderId="0" xfId="0" applyBorder="1" applyAlignment="1"/>
    <xf numFmtId="0" fontId="0" fillId="0" borderId="0" xfId="0" applyFont="1" applyBorder="1" applyAlignment="1">
      <alignment horizontal="left" vertical="center"/>
    </xf>
    <xf numFmtId="0" fontId="0" fillId="4" borderId="0" xfId="0" applyFill="1" applyBorder="1" applyAlignment="1"/>
    <xf numFmtId="0" fontId="0" fillId="4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 wrapText="1"/>
    </xf>
    <xf numFmtId="11" fontId="0" fillId="4" borderId="0" xfId="0" applyNumberFormat="1" applyFill="1" applyBorder="1" applyAlignment="1"/>
    <xf numFmtId="0" fontId="5" fillId="6" borderId="0" xfId="0" applyNumberFormat="1" applyFont="1" applyFill="1" applyBorder="1" applyAlignment="1">
      <alignment horizontal="left" vertical="center" wrapText="1"/>
    </xf>
    <xf numFmtId="0" fontId="5" fillId="6" borderId="0" xfId="0" applyNumberFormat="1" applyFont="1" applyFill="1" applyBorder="1" applyAlignment="1">
      <alignment horizontal="left" vertical="center"/>
    </xf>
    <xf numFmtId="0" fontId="5" fillId="4" borderId="0" xfId="0" applyNumberFormat="1" applyFont="1" applyFill="1" applyBorder="1" applyAlignment="1">
      <alignment horizontal="left" vertical="center" wrapText="1"/>
    </xf>
    <xf numFmtId="0" fontId="5" fillId="4" borderId="0" xfId="0" applyNumberFormat="1" applyFont="1" applyFill="1" applyBorder="1" applyAlignment="1">
      <alignment horizontal="left" vertical="center"/>
    </xf>
    <xf numFmtId="0" fontId="0" fillId="7" borderId="0" xfId="0" applyFont="1" applyFill="1" applyBorder="1" applyAlignment="1">
      <alignment horizontal="left" vertical="center"/>
    </xf>
    <xf numFmtId="0" fontId="0" fillId="2" borderId="0" xfId="0" applyFill="1" applyBorder="1" applyAlignment="1"/>
    <xf numFmtId="0" fontId="0" fillId="2" borderId="0" xfId="0" applyFont="1" applyFill="1" applyBorder="1" applyAlignment="1">
      <alignment horizontal="left" vertical="center"/>
    </xf>
    <xf numFmtId="0" fontId="5" fillId="2" borderId="0" xfId="0" applyNumberFormat="1" applyFont="1" applyFill="1" applyBorder="1" applyAlignment="1">
      <alignment horizontal="left" vertical="center"/>
    </xf>
    <xf numFmtId="11" fontId="0" fillId="0" borderId="0" xfId="0" applyNumberFormat="1" applyBorder="1" applyAlignment="1"/>
    <xf numFmtId="0" fontId="6" fillId="6" borderId="0" xfId="0" applyFont="1" applyFill="1" applyBorder="1" applyAlignment="1"/>
    <xf numFmtId="10" fontId="8" fillId="0" borderId="0" xfId="1" applyNumberFormat="1" applyBorder="1"/>
    <xf numFmtId="0" fontId="8" fillId="0" borderId="0" xfId="1"/>
    <xf numFmtId="0" fontId="0" fillId="7" borderId="0" xfId="0" applyFill="1" applyAlignment="1"/>
    <xf numFmtId="0" fontId="0" fillId="11" borderId="0" xfId="0" applyFill="1" applyAlignment="1"/>
    <xf numFmtId="0" fontId="0" fillId="12" borderId="0" xfId="0" applyFill="1" applyAlignment="1"/>
  </cellXfs>
  <cellStyles count="3">
    <cellStyle name="一般" xfId="0" builtinId="0"/>
    <cellStyle name="一般 2" xfId="1"/>
    <cellStyle name="常规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9"/>
  <sheetViews>
    <sheetView workbookViewId="0">
      <selection activeCell="C2" sqref="C2"/>
    </sheetView>
  </sheetViews>
  <sheetFormatPr defaultColWidth="7.453125" defaultRowHeight="17"/>
  <cols>
    <col min="1" max="1" width="12.36328125" style="1" customWidth="1"/>
    <col min="2" max="2" width="33.90625" style="1" bestFit="1" customWidth="1"/>
    <col min="3" max="3" width="8.453125" style="1" customWidth="1"/>
    <col min="4" max="4" width="14.90625" style="1" bestFit="1" customWidth="1"/>
    <col min="5" max="6" width="10.90625" style="1" bestFit="1" customWidth="1"/>
    <col min="7" max="8" width="7.453125" style="1"/>
    <col min="9" max="9" width="10" style="1" bestFit="1" customWidth="1"/>
    <col min="10" max="10" width="7.453125" style="1"/>
    <col min="11" max="11" width="10" style="1" bestFit="1" customWidth="1"/>
    <col min="12" max="12" width="7.453125" style="1"/>
    <col min="13" max="13" width="8.6328125" style="1" bestFit="1" customWidth="1"/>
    <col min="14" max="14" width="7.453125" style="1"/>
    <col min="15" max="15" width="11" style="1" bestFit="1" customWidth="1"/>
    <col min="16" max="16384" width="7.453125" style="1"/>
  </cols>
  <sheetData>
    <row r="1" spans="1:19">
      <c r="B1" s="2" t="s">
        <v>0</v>
      </c>
      <c r="C1" s="3" t="s">
        <v>1</v>
      </c>
      <c r="D1" s="3" t="s">
        <v>2</v>
      </c>
    </row>
    <row r="2" spans="1:19">
      <c r="A2" s="1">
        <v>1</v>
      </c>
      <c r="B2" s="1" t="s">
        <v>3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  <c r="S2" s="61"/>
    </row>
    <row r="3" spans="1:19">
      <c r="A3" s="1" t="s">
        <v>5</v>
      </c>
      <c r="B3" s="1" t="s">
        <v>6</v>
      </c>
      <c r="C3" s="61">
        <f>AVERAGE(C6:C460)</f>
        <v>46.705479452054796</v>
      </c>
      <c r="D3" s="61">
        <f>AVERAGE(D6:D460)</f>
        <v>18.060465116279069</v>
      </c>
      <c r="E3" s="61">
        <f>AVERAGE(E6:E460)</f>
        <v>9.916279069767441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2"/>
      <c r="S3" s="61"/>
    </row>
    <row r="4" spans="1:19">
      <c r="C4" s="61">
        <f>_xlfn.STDEV.P(C6:C460)</f>
        <v>9.7773158918316909</v>
      </c>
      <c r="D4" s="61">
        <f>_xlfn.STDEV.P(D6:D460)</f>
        <v>10.135182552133049</v>
      </c>
      <c r="E4" s="61">
        <f>_xlfn.STDEV.P(E6:E460)</f>
        <v>5.1133628052323861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</row>
    <row r="5" spans="1:19">
      <c r="B5" s="5"/>
      <c r="C5" s="39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spans="1:19">
      <c r="A6" s="1" t="s">
        <v>9</v>
      </c>
      <c r="C6" s="61" t="s">
        <v>536</v>
      </c>
      <c r="D6" s="61" t="s">
        <v>537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</row>
    <row r="7" spans="1:19"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</row>
    <row r="8" spans="1:19">
      <c r="A8" s="1">
        <v>0</v>
      </c>
      <c r="B8" s="1" t="s">
        <v>22</v>
      </c>
      <c r="C8" s="1">
        <v>61</v>
      </c>
      <c r="D8" s="1">
        <v>19</v>
      </c>
      <c r="E8" s="61">
        <v>9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2"/>
      <c r="R8" s="62"/>
      <c r="S8" s="62"/>
    </row>
    <row r="9" spans="1:19">
      <c r="A9" s="7">
        <v>0</v>
      </c>
      <c r="B9" s="7" t="s">
        <v>23</v>
      </c>
      <c r="C9" s="63">
        <v>27</v>
      </c>
      <c r="D9" s="63">
        <v>29</v>
      </c>
      <c r="E9" s="63">
        <v>10</v>
      </c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4"/>
      <c r="R9" s="65"/>
      <c r="S9" s="64"/>
    </row>
    <row r="10" spans="1:19">
      <c r="A10" s="1">
        <v>0</v>
      </c>
      <c r="B10" s="1" t="s">
        <v>24</v>
      </c>
      <c r="C10" s="61">
        <v>41</v>
      </c>
      <c r="D10" s="61">
        <v>11</v>
      </c>
      <c r="E10" s="39">
        <v>9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2"/>
      <c r="R10" s="66"/>
      <c r="S10" s="62"/>
    </row>
    <row r="11" spans="1:19">
      <c r="A11" s="1">
        <v>0</v>
      </c>
      <c r="B11" s="1" t="s">
        <v>25</v>
      </c>
      <c r="C11" s="39">
        <v>30</v>
      </c>
      <c r="D11" s="39">
        <v>23</v>
      </c>
      <c r="E11" s="39">
        <v>15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2"/>
      <c r="R11" s="66"/>
      <c r="S11" s="62"/>
    </row>
    <row r="12" spans="1:19">
      <c r="A12" s="1">
        <v>0</v>
      </c>
      <c r="B12" s="1" t="s">
        <v>26</v>
      </c>
      <c r="C12" s="39">
        <v>44</v>
      </c>
      <c r="D12" s="39">
        <v>5</v>
      </c>
      <c r="E12" s="39">
        <v>2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2"/>
      <c r="R12" s="66"/>
      <c r="S12" s="62"/>
    </row>
    <row r="13" spans="1:19">
      <c r="A13" s="1">
        <v>0</v>
      </c>
      <c r="B13" s="1" t="s">
        <v>27</v>
      </c>
      <c r="C13" s="39">
        <v>50</v>
      </c>
      <c r="D13" s="39">
        <v>11</v>
      </c>
      <c r="E13" s="39">
        <v>7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2"/>
      <c r="R13" s="66"/>
      <c r="S13" s="62"/>
    </row>
    <row r="14" spans="1:19">
      <c r="A14" s="1">
        <v>0</v>
      </c>
      <c r="B14" s="1" t="s">
        <v>28</v>
      </c>
      <c r="C14" s="39">
        <v>48</v>
      </c>
      <c r="D14" s="39">
        <v>14</v>
      </c>
      <c r="E14" s="39">
        <v>10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2"/>
      <c r="R14" s="66"/>
      <c r="S14" s="62"/>
    </row>
    <row r="15" spans="1:19">
      <c r="A15" s="1">
        <v>0</v>
      </c>
      <c r="B15" s="1" t="s">
        <v>29</v>
      </c>
      <c r="C15" s="39">
        <v>46</v>
      </c>
      <c r="D15" s="39">
        <v>10</v>
      </c>
      <c r="E15" s="39">
        <v>5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2"/>
      <c r="R15" s="66"/>
      <c r="S15" s="62"/>
    </row>
    <row r="16" spans="1:19">
      <c r="A16" s="1">
        <v>0</v>
      </c>
      <c r="B16" s="1" t="s">
        <v>30</v>
      </c>
      <c r="C16" s="39">
        <v>50</v>
      </c>
      <c r="D16" s="39">
        <v>8</v>
      </c>
      <c r="E16" s="39">
        <v>6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2"/>
      <c r="R16" s="66"/>
      <c r="S16" s="62"/>
    </row>
    <row r="17" spans="1:19">
      <c r="A17" s="1">
        <v>0</v>
      </c>
      <c r="B17" s="1" t="s">
        <v>31</v>
      </c>
      <c r="C17" s="39">
        <v>45</v>
      </c>
      <c r="D17" s="39">
        <v>5</v>
      </c>
      <c r="E17" s="39">
        <v>2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2"/>
      <c r="R17" s="66"/>
      <c r="S17" s="62"/>
    </row>
    <row r="18" spans="1:19">
      <c r="A18" s="1">
        <v>0</v>
      </c>
      <c r="B18" s="1" t="s">
        <v>32</v>
      </c>
      <c r="C18" s="39">
        <v>44</v>
      </c>
      <c r="D18" s="39">
        <v>14</v>
      </c>
      <c r="E18" s="39">
        <v>7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2"/>
      <c r="R18" s="66"/>
      <c r="S18" s="62"/>
    </row>
    <row r="19" spans="1:19">
      <c r="A19" s="1">
        <v>0</v>
      </c>
      <c r="B19" s="1" t="s">
        <v>33</v>
      </c>
      <c r="C19" s="39">
        <v>35</v>
      </c>
      <c r="D19" s="39">
        <v>6</v>
      </c>
      <c r="E19" s="39">
        <v>3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2"/>
      <c r="R19" s="66"/>
      <c r="S19" s="62"/>
    </row>
    <row r="20" spans="1:19">
      <c r="A20" s="1">
        <v>0</v>
      </c>
      <c r="B20" s="1" t="s">
        <v>34</v>
      </c>
      <c r="C20" s="39">
        <v>35</v>
      </c>
      <c r="D20" s="39">
        <v>20</v>
      </c>
      <c r="E20" s="39">
        <v>8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2"/>
      <c r="R20" s="66"/>
      <c r="S20" s="62"/>
    </row>
    <row r="21" spans="1:19">
      <c r="A21" s="1">
        <v>0</v>
      </c>
      <c r="B21" s="1" t="s">
        <v>35</v>
      </c>
      <c r="C21" s="39">
        <v>41</v>
      </c>
      <c r="D21" s="39">
        <v>28</v>
      </c>
      <c r="E21" s="39">
        <v>10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2"/>
      <c r="R21" s="66"/>
      <c r="S21" s="62"/>
    </row>
    <row r="22" spans="1:19">
      <c r="A22" s="1">
        <v>0</v>
      </c>
      <c r="B22" s="1" t="s">
        <v>36</v>
      </c>
      <c r="C22" s="39">
        <v>44</v>
      </c>
      <c r="D22" s="39">
        <v>11</v>
      </c>
      <c r="E22" s="39">
        <v>6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2"/>
      <c r="R22" s="66"/>
      <c r="S22" s="62"/>
    </row>
    <row r="23" spans="1:19">
      <c r="A23" s="1">
        <v>0</v>
      </c>
      <c r="B23" s="1" t="s">
        <v>37</v>
      </c>
      <c r="C23" s="39">
        <v>53</v>
      </c>
      <c r="D23" s="39">
        <v>11</v>
      </c>
      <c r="E23" s="39">
        <v>4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2"/>
      <c r="R23" s="66"/>
      <c r="S23" s="62"/>
    </row>
    <row r="24" spans="1:19">
      <c r="A24" s="1">
        <v>0</v>
      </c>
      <c r="B24" s="1" t="s">
        <v>38</v>
      </c>
      <c r="C24" s="39">
        <v>49</v>
      </c>
      <c r="D24" s="39">
        <v>15</v>
      </c>
      <c r="E24" s="39">
        <v>10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2"/>
      <c r="R24" s="66"/>
      <c r="S24" s="62"/>
    </row>
    <row r="25" spans="1:19">
      <c r="A25" s="1">
        <v>0</v>
      </c>
      <c r="B25" s="1" t="s">
        <v>39</v>
      </c>
      <c r="C25" s="39">
        <v>46</v>
      </c>
      <c r="D25" s="39">
        <v>8</v>
      </c>
      <c r="E25" s="39">
        <v>4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2"/>
      <c r="R25" s="66"/>
      <c r="S25" s="62"/>
    </row>
    <row r="26" spans="1:19">
      <c r="A26" s="7">
        <v>0</v>
      </c>
      <c r="B26" s="7" t="s">
        <v>40</v>
      </c>
      <c r="C26" s="63">
        <v>41</v>
      </c>
      <c r="D26" s="63">
        <v>16</v>
      </c>
      <c r="E26" s="63">
        <v>7</v>
      </c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4"/>
      <c r="R26" s="65"/>
      <c r="S26" s="64"/>
    </row>
    <row r="27" spans="1:19">
      <c r="A27" s="1">
        <v>0</v>
      </c>
      <c r="B27" s="1" t="s">
        <v>41</v>
      </c>
      <c r="C27" s="39">
        <v>55</v>
      </c>
      <c r="D27" s="39">
        <v>10</v>
      </c>
      <c r="E27" s="39">
        <v>9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2"/>
      <c r="R27" s="62"/>
      <c r="S27" s="62"/>
    </row>
    <row r="28" spans="1:19">
      <c r="A28" s="1">
        <v>0</v>
      </c>
      <c r="B28" s="1" t="s">
        <v>42</v>
      </c>
      <c r="C28" s="39">
        <v>43</v>
      </c>
      <c r="D28" s="39">
        <v>19</v>
      </c>
      <c r="E28" s="39">
        <v>8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2"/>
      <c r="R28" s="62"/>
      <c r="S28" s="62"/>
    </row>
    <row r="29" spans="1:19">
      <c r="A29" s="1">
        <v>0</v>
      </c>
      <c r="B29" s="1" t="s">
        <v>43</v>
      </c>
      <c r="C29" s="39">
        <v>52</v>
      </c>
      <c r="D29" s="39">
        <v>7</v>
      </c>
      <c r="E29" s="39">
        <v>3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2"/>
      <c r="R29" s="66"/>
      <c r="S29" s="62"/>
    </row>
    <row r="30" spans="1:19">
      <c r="A30" s="1">
        <v>0</v>
      </c>
      <c r="B30" s="1" t="s">
        <v>44</v>
      </c>
      <c r="C30" s="39">
        <v>47</v>
      </c>
      <c r="D30" s="39">
        <v>15</v>
      </c>
      <c r="E30" s="39">
        <v>3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2"/>
      <c r="R30" s="66"/>
      <c r="S30" s="62"/>
    </row>
    <row r="31" spans="1:19">
      <c r="A31" s="1">
        <v>0</v>
      </c>
      <c r="B31" s="1" t="s">
        <v>45</v>
      </c>
      <c r="C31" s="39">
        <v>47</v>
      </c>
      <c r="D31" s="39">
        <v>23</v>
      </c>
      <c r="E31" s="39">
        <v>6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2"/>
      <c r="R31" s="66"/>
      <c r="S31" s="62"/>
    </row>
    <row r="32" spans="1:19">
      <c r="A32" s="1">
        <v>0</v>
      </c>
      <c r="B32" s="1" t="s">
        <v>46</v>
      </c>
      <c r="C32" s="39">
        <v>51</v>
      </c>
      <c r="D32" s="39">
        <v>8</v>
      </c>
      <c r="E32" s="39">
        <v>4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2"/>
      <c r="R32" s="66"/>
      <c r="S32" s="62"/>
    </row>
    <row r="33" spans="1:19">
      <c r="A33" s="1">
        <v>0</v>
      </c>
      <c r="B33" s="1" t="s">
        <v>47</v>
      </c>
      <c r="C33" s="39">
        <v>47</v>
      </c>
      <c r="D33" s="39">
        <v>18</v>
      </c>
      <c r="E33" s="39">
        <v>7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2"/>
      <c r="R33" s="66"/>
      <c r="S33" s="62"/>
    </row>
    <row r="34" spans="1:19">
      <c r="A34" s="1">
        <v>0</v>
      </c>
      <c r="B34" s="1" t="s">
        <v>48</v>
      </c>
      <c r="C34" s="39">
        <v>22</v>
      </c>
      <c r="D34" s="39">
        <v>21</v>
      </c>
      <c r="E34" s="39">
        <v>6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2"/>
      <c r="R34" s="66"/>
      <c r="S34" s="62"/>
    </row>
    <row r="35" spans="1:19">
      <c r="A35" s="1">
        <v>0</v>
      </c>
      <c r="B35" s="1" t="s">
        <v>49</v>
      </c>
      <c r="C35" s="39">
        <v>39</v>
      </c>
      <c r="D35" s="39">
        <v>25</v>
      </c>
      <c r="E35" s="39">
        <v>14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2"/>
      <c r="R35" s="66"/>
      <c r="S35" s="62"/>
    </row>
    <row r="36" spans="1:19">
      <c r="A36" s="1">
        <v>0</v>
      </c>
      <c r="B36" s="1" t="s">
        <v>50</v>
      </c>
      <c r="C36" s="39">
        <v>32</v>
      </c>
      <c r="D36" s="39">
        <v>15</v>
      </c>
      <c r="E36" s="39">
        <v>9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2"/>
      <c r="R36" s="66"/>
      <c r="S36" s="62"/>
    </row>
    <row r="37" spans="1:19">
      <c r="A37" s="1">
        <v>0</v>
      </c>
      <c r="B37" s="1" t="s">
        <v>51</v>
      </c>
      <c r="C37" s="39">
        <v>41</v>
      </c>
      <c r="D37" s="39">
        <v>28</v>
      </c>
      <c r="E37" s="39">
        <v>10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2"/>
      <c r="R37" s="66"/>
      <c r="S37" s="62"/>
    </row>
    <row r="38" spans="1:19">
      <c r="A38" s="1">
        <v>0</v>
      </c>
      <c r="B38" s="1" t="s">
        <v>52</v>
      </c>
      <c r="C38" s="39">
        <v>40</v>
      </c>
      <c r="D38" s="39">
        <v>23</v>
      </c>
      <c r="E38" s="39">
        <v>12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2"/>
      <c r="R38" s="66"/>
      <c r="S38" s="62"/>
    </row>
    <row r="39" spans="1:19">
      <c r="A39" s="1">
        <v>0</v>
      </c>
      <c r="B39" s="1" t="s">
        <v>53</v>
      </c>
      <c r="C39" s="39">
        <v>44</v>
      </c>
      <c r="D39" s="39">
        <v>11</v>
      </c>
      <c r="E39" s="39">
        <v>4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2"/>
      <c r="R39" s="66"/>
      <c r="S39" s="62"/>
    </row>
    <row r="40" spans="1:19">
      <c r="A40" s="1">
        <v>0</v>
      </c>
      <c r="B40" s="1" t="s">
        <v>54</v>
      </c>
      <c r="C40" s="39">
        <v>46</v>
      </c>
      <c r="D40" s="39">
        <v>5</v>
      </c>
      <c r="E40" s="39">
        <v>4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2"/>
      <c r="R40" s="66"/>
      <c r="S40" s="62"/>
    </row>
    <row r="41" spans="1:19">
      <c r="A41" s="1">
        <v>0</v>
      </c>
      <c r="B41" s="1" t="s">
        <v>55</v>
      </c>
      <c r="C41" s="39">
        <v>41</v>
      </c>
      <c r="D41" s="39">
        <v>15</v>
      </c>
      <c r="E41" s="39">
        <v>6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2"/>
      <c r="R41" s="66"/>
      <c r="S41" s="62"/>
    </row>
    <row r="42" spans="1:19">
      <c r="A42" s="1">
        <v>0</v>
      </c>
      <c r="B42" s="1" t="s">
        <v>56</v>
      </c>
      <c r="C42" s="39">
        <v>39</v>
      </c>
      <c r="D42" s="39">
        <v>4</v>
      </c>
      <c r="E42" s="39">
        <v>2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2"/>
      <c r="R42" s="66"/>
      <c r="S42" s="62"/>
    </row>
    <row r="43" spans="1:19">
      <c r="A43" s="1">
        <v>0</v>
      </c>
      <c r="B43" s="1" t="s">
        <v>57</v>
      </c>
      <c r="C43" s="39">
        <v>53</v>
      </c>
      <c r="D43" s="39">
        <v>16</v>
      </c>
      <c r="E43" s="39">
        <v>8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2"/>
      <c r="R43" s="66"/>
      <c r="S43" s="62"/>
    </row>
    <row r="44" spans="1:19">
      <c r="A44" s="1">
        <v>0</v>
      </c>
      <c r="B44" s="1" t="s">
        <v>58</v>
      </c>
      <c r="C44" s="39">
        <v>41</v>
      </c>
      <c r="D44" s="39">
        <v>11</v>
      </c>
      <c r="E44" s="39">
        <v>3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2"/>
      <c r="R44" s="66"/>
      <c r="S44" s="62"/>
    </row>
    <row r="45" spans="1:19">
      <c r="A45" s="1">
        <v>0</v>
      </c>
      <c r="B45" s="1" t="s">
        <v>59</v>
      </c>
      <c r="C45" s="39">
        <v>53</v>
      </c>
      <c r="D45" s="39">
        <v>27</v>
      </c>
      <c r="E45" s="39">
        <v>13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2"/>
      <c r="R45" s="66"/>
      <c r="S45" s="62"/>
    </row>
    <row r="46" spans="1:19">
      <c r="A46" s="1">
        <v>0</v>
      </c>
      <c r="B46" s="1" t="s">
        <v>60</v>
      </c>
      <c r="C46" s="39">
        <v>41</v>
      </c>
      <c r="D46" s="39">
        <v>11</v>
      </c>
      <c r="E46" s="39">
        <v>2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2"/>
      <c r="R46" s="66"/>
      <c r="S46" s="62"/>
    </row>
    <row r="47" spans="1:19">
      <c r="A47" s="1">
        <v>0</v>
      </c>
      <c r="B47" s="1" t="s">
        <v>61</v>
      </c>
      <c r="C47" s="39">
        <v>46</v>
      </c>
      <c r="D47" s="39">
        <v>13</v>
      </c>
      <c r="E47" s="39">
        <v>9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2"/>
      <c r="R47" s="66"/>
      <c r="S47" s="62"/>
    </row>
    <row r="48" spans="1:19">
      <c r="A48" s="1">
        <v>0</v>
      </c>
      <c r="B48" s="1" t="s">
        <v>62</v>
      </c>
      <c r="C48" s="39">
        <v>49</v>
      </c>
      <c r="D48" s="39">
        <v>8</v>
      </c>
      <c r="E48" s="39">
        <v>4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2"/>
      <c r="R48" s="66"/>
      <c r="S48" s="62"/>
    </row>
    <row r="49" spans="1:19">
      <c r="A49" s="1">
        <v>0</v>
      </c>
      <c r="B49" s="1" t="s">
        <v>63</v>
      </c>
      <c r="C49" s="39">
        <v>51</v>
      </c>
      <c r="D49" s="39">
        <v>8</v>
      </c>
      <c r="E49" s="39">
        <v>5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2"/>
      <c r="R49" s="66"/>
      <c r="S49" s="62"/>
    </row>
    <row r="50" spans="1:19">
      <c r="A50" s="1">
        <v>0</v>
      </c>
      <c r="B50" s="1" t="s">
        <v>64</v>
      </c>
      <c r="C50" s="39">
        <v>44</v>
      </c>
      <c r="D50" s="39">
        <v>10</v>
      </c>
      <c r="E50" s="39">
        <v>6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2"/>
      <c r="R50" s="66"/>
      <c r="S50" s="62"/>
    </row>
    <row r="51" spans="1:19">
      <c r="A51" s="1">
        <v>0</v>
      </c>
      <c r="B51" s="1" t="s">
        <v>65</v>
      </c>
      <c r="C51" s="39">
        <v>51</v>
      </c>
      <c r="D51" s="39">
        <v>8</v>
      </c>
      <c r="E51" s="39">
        <v>5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2"/>
      <c r="R51" s="66"/>
      <c r="S51" s="62"/>
    </row>
    <row r="52" spans="1:19">
      <c r="A52" s="7">
        <v>1</v>
      </c>
      <c r="B52" s="7" t="s">
        <v>66</v>
      </c>
      <c r="C52" s="63">
        <v>45</v>
      </c>
      <c r="D52" s="63">
        <v>21</v>
      </c>
      <c r="E52" s="63">
        <v>13</v>
      </c>
      <c r="F52" s="63"/>
      <c r="G52" s="63"/>
      <c r="H52" s="63"/>
      <c r="I52" s="67"/>
      <c r="J52" s="63"/>
      <c r="K52" s="63"/>
      <c r="L52" s="63"/>
      <c r="M52" s="63"/>
      <c r="N52" s="63"/>
      <c r="O52" s="63"/>
      <c r="P52" s="63"/>
      <c r="Q52" s="64"/>
      <c r="R52" s="64"/>
      <c r="S52" s="64"/>
    </row>
    <row r="53" spans="1:19">
      <c r="A53" s="1">
        <v>1</v>
      </c>
      <c r="B53" s="1" t="s">
        <v>67</v>
      </c>
      <c r="C53" s="39">
        <v>54</v>
      </c>
      <c r="D53" s="39">
        <v>11</v>
      </c>
      <c r="E53" s="39">
        <v>10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2"/>
      <c r="R53" s="62"/>
      <c r="S53" s="62"/>
    </row>
    <row r="54" spans="1:19">
      <c r="A54" s="7">
        <v>1</v>
      </c>
      <c r="B54" s="7" t="s">
        <v>68</v>
      </c>
      <c r="C54" s="63">
        <v>62</v>
      </c>
      <c r="D54" s="63">
        <v>19</v>
      </c>
      <c r="E54" s="63">
        <v>7</v>
      </c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4"/>
      <c r="R54" s="64"/>
      <c r="S54" s="64"/>
    </row>
    <row r="55" spans="1:19">
      <c r="A55" s="1">
        <v>1</v>
      </c>
      <c r="B55" s="1" t="s">
        <v>69</v>
      </c>
      <c r="C55" s="39">
        <v>52</v>
      </c>
      <c r="D55" s="39">
        <v>12</v>
      </c>
      <c r="E55" s="39">
        <v>6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2"/>
      <c r="R55" s="66"/>
      <c r="S55" s="62"/>
    </row>
    <row r="56" spans="1:19">
      <c r="A56" s="1">
        <v>1</v>
      </c>
      <c r="B56" s="1" t="s">
        <v>70</v>
      </c>
      <c r="C56" s="39">
        <v>54</v>
      </c>
      <c r="D56" s="39">
        <v>24</v>
      </c>
      <c r="E56" s="39">
        <v>14</v>
      </c>
      <c r="F56" s="39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2"/>
      <c r="R56" s="62"/>
      <c r="S56" s="62"/>
    </row>
    <row r="57" spans="1:19">
      <c r="A57" s="1">
        <v>1</v>
      </c>
      <c r="B57" s="1" t="s">
        <v>71</v>
      </c>
      <c r="C57" s="39">
        <v>62</v>
      </c>
      <c r="D57" s="39">
        <v>32</v>
      </c>
      <c r="E57" s="39">
        <v>15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2"/>
      <c r="R57" s="62"/>
      <c r="S57" s="62"/>
    </row>
    <row r="58" spans="1:19">
      <c r="A58" s="1">
        <v>1</v>
      </c>
      <c r="B58" s="1" t="s">
        <v>72</v>
      </c>
      <c r="C58" s="39">
        <v>54</v>
      </c>
      <c r="D58" s="39">
        <v>22</v>
      </c>
      <c r="E58" s="39">
        <v>12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2"/>
      <c r="R58" s="62"/>
      <c r="S58" s="62"/>
    </row>
    <row r="59" spans="1:19">
      <c r="A59" s="1">
        <v>1</v>
      </c>
      <c r="B59" s="1" t="s">
        <v>73</v>
      </c>
      <c r="C59" s="39">
        <v>56</v>
      </c>
      <c r="D59" s="39">
        <v>27</v>
      </c>
      <c r="E59" s="39">
        <v>21</v>
      </c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2"/>
      <c r="R59" s="62"/>
      <c r="S59" s="62"/>
    </row>
    <row r="60" spans="1:19">
      <c r="A60" s="7">
        <v>1</v>
      </c>
      <c r="B60" s="7" t="s">
        <v>74</v>
      </c>
      <c r="C60" s="63">
        <v>64</v>
      </c>
      <c r="D60" s="63">
        <v>67</v>
      </c>
      <c r="E60" s="63">
        <v>21</v>
      </c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4"/>
      <c r="R60" s="64"/>
      <c r="S60" s="64"/>
    </row>
    <row r="61" spans="1:19">
      <c r="A61" s="1">
        <v>1</v>
      </c>
      <c r="B61" s="1" t="s">
        <v>75</v>
      </c>
      <c r="C61" s="39">
        <v>44</v>
      </c>
      <c r="D61" s="39">
        <v>14</v>
      </c>
      <c r="E61" s="39">
        <v>10</v>
      </c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2"/>
      <c r="R61" s="66"/>
      <c r="S61" s="62"/>
    </row>
    <row r="62" spans="1:19">
      <c r="A62" s="1">
        <v>1</v>
      </c>
      <c r="B62" s="1" t="s">
        <v>76</v>
      </c>
      <c r="C62" s="39">
        <v>31</v>
      </c>
      <c r="D62" s="39">
        <v>20</v>
      </c>
      <c r="E62" s="39">
        <v>12</v>
      </c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2"/>
      <c r="R62" s="62"/>
      <c r="S62" s="62"/>
    </row>
    <row r="63" spans="1:19">
      <c r="A63" s="1">
        <v>1</v>
      </c>
      <c r="B63" s="1" t="s">
        <v>77</v>
      </c>
      <c r="C63" s="39">
        <v>48</v>
      </c>
      <c r="D63" s="39">
        <v>16</v>
      </c>
      <c r="E63" s="39">
        <v>11</v>
      </c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2"/>
      <c r="R63" s="62"/>
      <c r="S63" s="62"/>
    </row>
    <row r="64" spans="1:19">
      <c r="A64" s="1">
        <v>1</v>
      </c>
      <c r="B64" s="1" t="s">
        <v>78</v>
      </c>
      <c r="C64" s="39">
        <v>53</v>
      </c>
      <c r="D64" s="39">
        <v>14</v>
      </c>
      <c r="E64" s="39">
        <v>8</v>
      </c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2"/>
      <c r="R64" s="66"/>
      <c r="S64" s="62"/>
    </row>
    <row r="65" spans="1:19">
      <c r="A65" s="1">
        <v>1</v>
      </c>
      <c r="B65" s="1" t="s">
        <v>79</v>
      </c>
      <c r="C65" s="39">
        <v>33</v>
      </c>
      <c r="D65" s="39">
        <v>16</v>
      </c>
      <c r="E65" s="39">
        <v>9</v>
      </c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2"/>
      <c r="R65" s="66"/>
      <c r="S65" s="62"/>
    </row>
    <row r="66" spans="1:19">
      <c r="A66" s="1">
        <v>1</v>
      </c>
      <c r="B66" s="1" t="s">
        <v>80</v>
      </c>
      <c r="C66" s="39">
        <v>32</v>
      </c>
      <c r="D66" s="39">
        <v>11</v>
      </c>
      <c r="E66" s="39">
        <v>9</v>
      </c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2"/>
      <c r="R66" s="62"/>
      <c r="S66" s="62"/>
    </row>
    <row r="67" spans="1:19">
      <c r="A67" s="7">
        <v>1</v>
      </c>
      <c r="B67" s="7" t="s">
        <v>81</v>
      </c>
      <c r="C67" s="63">
        <v>44</v>
      </c>
      <c r="D67" s="63">
        <v>10</v>
      </c>
      <c r="E67" s="63">
        <v>7</v>
      </c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4"/>
      <c r="R67" s="64"/>
      <c r="S67" s="64"/>
    </row>
    <row r="68" spans="1:19">
      <c r="A68" s="1">
        <v>1</v>
      </c>
      <c r="B68" s="1" t="s">
        <v>82</v>
      </c>
      <c r="C68" s="39">
        <v>50</v>
      </c>
      <c r="D68" s="39">
        <v>10</v>
      </c>
      <c r="E68" s="39">
        <v>7</v>
      </c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2"/>
      <c r="R68" s="62"/>
      <c r="S68" s="62"/>
    </row>
    <row r="69" spans="1:19">
      <c r="A69" s="1">
        <v>1</v>
      </c>
      <c r="B69" s="1" t="s">
        <v>83</v>
      </c>
      <c r="C69" s="39">
        <v>44</v>
      </c>
      <c r="D69" s="39">
        <v>21</v>
      </c>
      <c r="E69" s="39">
        <v>15</v>
      </c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2"/>
      <c r="R69" s="62"/>
      <c r="S69" s="62"/>
    </row>
    <row r="70" spans="1:19">
      <c r="A70" s="1">
        <v>1</v>
      </c>
      <c r="B70" s="1" t="s">
        <v>84</v>
      </c>
      <c r="C70" s="39">
        <v>48</v>
      </c>
      <c r="D70" s="39">
        <v>29</v>
      </c>
      <c r="E70" s="39">
        <v>11</v>
      </c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2"/>
      <c r="R70" s="62"/>
      <c r="S70" s="62"/>
    </row>
    <row r="71" spans="1:19">
      <c r="A71" s="1">
        <v>1</v>
      </c>
      <c r="B71" s="1" t="s">
        <v>85</v>
      </c>
      <c r="C71" s="39">
        <v>51</v>
      </c>
      <c r="D71" s="39">
        <v>22</v>
      </c>
      <c r="E71" s="39">
        <v>15</v>
      </c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2"/>
      <c r="R71" s="62"/>
      <c r="S71" s="62"/>
    </row>
    <row r="72" spans="1:19">
      <c r="A72" s="1">
        <v>1</v>
      </c>
      <c r="B72" s="1" t="s">
        <v>86</v>
      </c>
      <c r="C72" s="39">
        <v>37</v>
      </c>
      <c r="D72" s="61" t="s">
        <v>538</v>
      </c>
      <c r="E72" s="61" t="s">
        <v>538</v>
      </c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2"/>
      <c r="R72" s="62"/>
      <c r="S72" s="62"/>
    </row>
    <row r="73" spans="1:19">
      <c r="A73" s="1">
        <v>1</v>
      </c>
      <c r="B73" s="1" t="s">
        <v>87</v>
      </c>
      <c r="C73" s="39">
        <v>49</v>
      </c>
      <c r="D73" s="39">
        <v>11</v>
      </c>
      <c r="E73" s="39">
        <v>10</v>
      </c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2"/>
      <c r="R73" s="62"/>
      <c r="S73" s="62"/>
    </row>
    <row r="74" spans="1:19">
      <c r="A74" s="1">
        <v>1</v>
      </c>
      <c r="B74" s="5" t="s">
        <v>88</v>
      </c>
      <c r="C74" s="39">
        <v>33</v>
      </c>
      <c r="D74" s="39">
        <v>20</v>
      </c>
      <c r="E74" s="39">
        <v>14</v>
      </c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62"/>
      <c r="R74" s="66"/>
      <c r="S74" s="62"/>
    </row>
    <row r="75" spans="1:19">
      <c r="A75" s="1">
        <v>1</v>
      </c>
      <c r="B75" s="1" t="s">
        <v>89</v>
      </c>
      <c r="C75" s="39">
        <v>69</v>
      </c>
      <c r="D75" s="39">
        <v>17</v>
      </c>
      <c r="E75" s="39">
        <v>14</v>
      </c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2"/>
      <c r="R75" s="62"/>
      <c r="S75" s="62"/>
    </row>
    <row r="76" spans="1:19">
      <c r="A76" s="1">
        <v>1</v>
      </c>
      <c r="B76" s="1" t="s">
        <v>90</v>
      </c>
      <c r="C76" s="39">
        <v>50</v>
      </c>
      <c r="D76" s="39">
        <v>11</v>
      </c>
      <c r="E76" s="39">
        <v>8</v>
      </c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2"/>
      <c r="R76" s="62"/>
      <c r="S76" s="62"/>
    </row>
    <row r="77" spans="1:19">
      <c r="A77" s="1">
        <v>1</v>
      </c>
      <c r="B77" s="1" t="s">
        <v>91</v>
      </c>
      <c r="C77" s="39">
        <v>67</v>
      </c>
      <c r="D77" s="39">
        <v>11</v>
      </c>
      <c r="E77" s="39">
        <v>10</v>
      </c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2"/>
      <c r="R77" s="62"/>
      <c r="S77" s="62"/>
    </row>
    <row r="78" spans="1:19">
      <c r="A78" s="1">
        <v>1</v>
      </c>
      <c r="B78" s="1" t="s">
        <v>92</v>
      </c>
      <c r="C78" s="39">
        <v>50</v>
      </c>
      <c r="D78" s="39">
        <v>14</v>
      </c>
      <c r="E78" s="39">
        <v>8</v>
      </c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2"/>
      <c r="R78" s="62"/>
      <c r="S78" s="62"/>
    </row>
    <row r="79" spans="1:19">
      <c r="A79" s="1">
        <v>1</v>
      </c>
      <c r="B79" s="1" t="s">
        <v>93</v>
      </c>
      <c r="C79" s="39">
        <v>75</v>
      </c>
      <c r="D79" s="39">
        <v>23</v>
      </c>
      <c r="E79" s="39">
        <v>18</v>
      </c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2"/>
      <c r="R79" s="62"/>
      <c r="S79" s="62"/>
    </row>
    <row r="80" spans="1:19">
      <c r="A80" s="1">
        <v>1</v>
      </c>
      <c r="B80" s="1" t="s">
        <v>94</v>
      </c>
      <c r="C80" s="39">
        <v>38</v>
      </c>
      <c r="D80" s="39">
        <v>35</v>
      </c>
      <c r="E80" s="39">
        <v>17</v>
      </c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2"/>
      <c r="R80" s="62"/>
      <c r="S80" s="62"/>
    </row>
    <row r="81" spans="1:19">
      <c r="A81" s="1">
        <v>1</v>
      </c>
      <c r="B81" s="1" t="s">
        <v>95</v>
      </c>
      <c r="C81" s="39">
        <v>60</v>
      </c>
      <c r="D81" s="39">
        <v>24</v>
      </c>
      <c r="E81" s="39">
        <v>13</v>
      </c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2"/>
      <c r="R81" s="62"/>
      <c r="S81" s="62"/>
    </row>
    <row r="82" spans="1:19">
      <c r="A82" s="1">
        <v>1</v>
      </c>
      <c r="B82" s="1" t="s">
        <v>96</v>
      </c>
      <c r="C82" s="39">
        <v>39</v>
      </c>
      <c r="D82" s="39">
        <v>26</v>
      </c>
      <c r="E82" s="39">
        <v>19</v>
      </c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2"/>
      <c r="R82" s="62"/>
      <c r="S82" s="62"/>
    </row>
    <row r="83" spans="1:19">
      <c r="A83" s="1">
        <v>1</v>
      </c>
      <c r="B83" s="1" t="s">
        <v>97</v>
      </c>
      <c r="C83" s="39">
        <v>54</v>
      </c>
      <c r="D83" s="39">
        <v>27</v>
      </c>
      <c r="E83" s="39">
        <v>18</v>
      </c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2"/>
      <c r="R83" s="62"/>
      <c r="S83" s="62"/>
    </row>
    <row r="84" spans="1:19">
      <c r="A84" s="1">
        <v>1</v>
      </c>
      <c r="B84" s="1" t="s">
        <v>98</v>
      </c>
      <c r="C84" s="61" t="s">
        <v>538</v>
      </c>
      <c r="D84" s="61" t="s">
        <v>538</v>
      </c>
      <c r="E84" s="39" t="s">
        <v>538</v>
      </c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2"/>
      <c r="R84" s="62"/>
      <c r="S84" s="62"/>
    </row>
    <row r="85" spans="1:19">
      <c r="A85" s="1">
        <v>1</v>
      </c>
      <c r="B85" s="1" t="s">
        <v>99</v>
      </c>
      <c r="C85" s="39">
        <v>28</v>
      </c>
      <c r="D85" s="39">
        <v>13</v>
      </c>
      <c r="E85" s="39">
        <v>12</v>
      </c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2"/>
      <c r="R85" s="62"/>
      <c r="S85" s="62"/>
    </row>
    <row r="86" spans="1:19">
      <c r="A86" s="1">
        <v>1</v>
      </c>
      <c r="B86" s="1" t="s">
        <v>100</v>
      </c>
      <c r="C86" s="39">
        <v>66</v>
      </c>
      <c r="D86" s="39">
        <v>22</v>
      </c>
      <c r="E86" s="39">
        <v>16</v>
      </c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2"/>
      <c r="R86" s="62"/>
      <c r="S86" s="62"/>
    </row>
    <row r="87" spans="1:19">
      <c r="A87" s="1">
        <v>1</v>
      </c>
      <c r="B87" s="1" t="s">
        <v>101</v>
      </c>
      <c r="C87" s="39">
        <v>38</v>
      </c>
      <c r="D87" s="39">
        <v>28</v>
      </c>
      <c r="E87" s="39">
        <v>11</v>
      </c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2"/>
      <c r="R87" s="62"/>
      <c r="S87" s="62"/>
    </row>
    <row r="88" spans="1:19">
      <c r="A88" s="1">
        <v>1</v>
      </c>
      <c r="B88" s="1" t="s">
        <v>102</v>
      </c>
      <c r="C88" s="39">
        <v>38</v>
      </c>
      <c r="D88" s="39">
        <v>39</v>
      </c>
      <c r="E88" s="39">
        <v>17</v>
      </c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2"/>
      <c r="R88" s="62"/>
      <c r="S88" s="62"/>
    </row>
    <row r="89" spans="1:19">
      <c r="A89" s="1">
        <v>1</v>
      </c>
      <c r="B89" s="1" t="s">
        <v>103</v>
      </c>
      <c r="C89" s="39">
        <v>50</v>
      </c>
      <c r="D89" s="39">
        <v>17</v>
      </c>
      <c r="E89" s="39">
        <v>15</v>
      </c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2"/>
      <c r="R89" s="66"/>
      <c r="S89" s="62"/>
    </row>
    <row r="90" spans="1:19">
      <c r="A90" s="1">
        <v>1</v>
      </c>
      <c r="B90" s="1" t="s">
        <v>104</v>
      </c>
      <c r="C90" s="39">
        <v>38</v>
      </c>
      <c r="D90" s="39">
        <v>22</v>
      </c>
      <c r="E90" s="39">
        <v>16</v>
      </c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2"/>
      <c r="R90" s="62"/>
      <c r="S90" s="62"/>
    </row>
    <row r="91" spans="1:19">
      <c r="A91" s="1">
        <v>1</v>
      </c>
      <c r="B91" s="1" t="s">
        <v>105</v>
      </c>
      <c r="C91" s="39">
        <v>51</v>
      </c>
      <c r="D91" s="39">
        <v>53</v>
      </c>
      <c r="E91" s="39">
        <v>18</v>
      </c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2"/>
      <c r="R91" s="62"/>
      <c r="S91" s="62"/>
    </row>
    <row r="92" spans="1:19">
      <c r="A92" s="1">
        <v>1</v>
      </c>
      <c r="B92" s="1" t="s">
        <v>106</v>
      </c>
      <c r="C92" s="39">
        <v>39</v>
      </c>
      <c r="D92" s="39">
        <v>40</v>
      </c>
      <c r="E92" s="39">
        <v>24</v>
      </c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2"/>
      <c r="R92" s="62"/>
      <c r="S92" s="62"/>
    </row>
    <row r="93" spans="1:19">
      <c r="A93" s="1">
        <v>1</v>
      </c>
      <c r="B93" s="1" t="s">
        <v>107</v>
      </c>
      <c r="C93" s="39">
        <v>60</v>
      </c>
      <c r="D93" s="39">
        <v>22</v>
      </c>
      <c r="E93" s="39">
        <v>12</v>
      </c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2"/>
      <c r="R93" s="62"/>
      <c r="S93" s="62"/>
    </row>
    <row r="94" spans="1:19">
      <c r="A94" s="1">
        <v>1</v>
      </c>
      <c r="B94" s="1" t="s">
        <v>108</v>
      </c>
      <c r="C94" s="39">
        <v>42</v>
      </c>
      <c r="D94" s="39">
        <v>18</v>
      </c>
      <c r="E94" s="39">
        <v>11</v>
      </c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2"/>
      <c r="R94" s="62"/>
      <c r="S94" s="62"/>
    </row>
    <row r="95" spans="1:19">
      <c r="A95" s="1">
        <v>1</v>
      </c>
      <c r="B95" s="1" t="s">
        <v>109</v>
      </c>
      <c r="C95" s="39">
        <v>43</v>
      </c>
      <c r="D95" s="39">
        <v>12</v>
      </c>
      <c r="E95" s="39">
        <v>8</v>
      </c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2"/>
      <c r="R95" s="62"/>
      <c r="S95" s="62"/>
    </row>
    <row r="96" spans="1:19">
      <c r="A96" s="7">
        <v>1</v>
      </c>
      <c r="B96" s="7" t="s">
        <v>110</v>
      </c>
      <c r="C96" s="63">
        <v>41</v>
      </c>
      <c r="D96" s="63">
        <v>18</v>
      </c>
      <c r="E96" s="63">
        <v>9</v>
      </c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4"/>
      <c r="R96" s="65"/>
      <c r="S96" s="64"/>
    </row>
    <row r="97" spans="1:19">
      <c r="A97" s="1">
        <v>1</v>
      </c>
      <c r="B97" s="1" t="s">
        <v>111</v>
      </c>
      <c r="C97" s="39">
        <v>42</v>
      </c>
      <c r="D97" s="39">
        <v>32</v>
      </c>
      <c r="E97" s="39">
        <v>12</v>
      </c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2"/>
      <c r="R97" s="62"/>
      <c r="S97" s="62"/>
    </row>
    <row r="98" spans="1:19"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</row>
    <row r="99" spans="1:19">
      <c r="A99" s="1" t="s">
        <v>112</v>
      </c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</row>
    <row r="100" spans="1:19">
      <c r="A100" s="1">
        <v>0</v>
      </c>
      <c r="B100" s="1" t="s">
        <v>113</v>
      </c>
      <c r="C100" s="39">
        <v>23</v>
      </c>
      <c r="D100" s="39">
        <v>9</v>
      </c>
      <c r="E100" s="39">
        <v>7</v>
      </c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2"/>
      <c r="R100" s="68"/>
      <c r="S100" s="69"/>
    </row>
    <row r="101" spans="1:19">
      <c r="A101" s="1">
        <v>0</v>
      </c>
      <c r="B101" s="1" t="s">
        <v>114</v>
      </c>
      <c r="C101" s="39">
        <v>27</v>
      </c>
      <c r="D101" s="39">
        <v>37</v>
      </c>
      <c r="E101" s="39">
        <v>14</v>
      </c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2"/>
      <c r="R101" s="69"/>
      <c r="S101" s="69"/>
    </row>
    <row r="102" spans="1:19">
      <c r="A102" s="1">
        <v>0</v>
      </c>
      <c r="B102" s="1" t="s">
        <v>115</v>
      </c>
      <c r="C102" s="39">
        <v>51</v>
      </c>
      <c r="D102" s="39">
        <v>26</v>
      </c>
      <c r="E102" s="39">
        <v>10</v>
      </c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2"/>
      <c r="R102" s="69"/>
      <c r="S102" s="69"/>
    </row>
    <row r="103" spans="1:19">
      <c r="A103" s="1">
        <v>0</v>
      </c>
      <c r="B103" s="1" t="s">
        <v>116</v>
      </c>
      <c r="C103" s="39">
        <v>62</v>
      </c>
      <c r="D103" s="39">
        <v>50</v>
      </c>
      <c r="E103" s="39">
        <v>14</v>
      </c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2"/>
      <c r="R103" s="69"/>
      <c r="S103" s="69"/>
    </row>
    <row r="104" spans="1:19">
      <c r="A104" s="1">
        <v>0</v>
      </c>
      <c r="B104" s="1" t="s">
        <v>117</v>
      </c>
      <c r="C104" s="39">
        <v>61</v>
      </c>
      <c r="D104" s="39">
        <v>22</v>
      </c>
      <c r="E104" s="39">
        <v>8</v>
      </c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2"/>
      <c r="R104" s="69"/>
      <c r="S104" s="69"/>
    </row>
    <row r="105" spans="1:19">
      <c r="A105" s="1">
        <v>0</v>
      </c>
      <c r="B105" s="1" t="s">
        <v>118</v>
      </c>
      <c r="C105" s="39">
        <v>43</v>
      </c>
      <c r="D105" s="39">
        <v>10</v>
      </c>
      <c r="E105" s="39">
        <v>4</v>
      </c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2"/>
      <c r="R105" s="68"/>
      <c r="S105" s="69"/>
    </row>
    <row r="106" spans="1:19">
      <c r="A106" s="1">
        <v>0</v>
      </c>
      <c r="B106" s="1" t="s">
        <v>119</v>
      </c>
      <c r="C106" s="39">
        <v>45</v>
      </c>
      <c r="D106" s="39">
        <v>6</v>
      </c>
      <c r="E106" s="39">
        <v>3</v>
      </c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2"/>
      <c r="R106" s="68"/>
      <c r="S106" s="69"/>
    </row>
    <row r="107" spans="1:19">
      <c r="A107" s="1">
        <v>0</v>
      </c>
      <c r="B107" s="1" t="s">
        <v>120</v>
      </c>
      <c r="C107" s="39">
        <v>40</v>
      </c>
      <c r="D107" s="39">
        <v>6</v>
      </c>
      <c r="E107" s="39">
        <v>5</v>
      </c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2"/>
      <c r="R107" s="68"/>
      <c r="S107" s="69"/>
    </row>
    <row r="108" spans="1:19">
      <c r="A108" s="1">
        <v>0</v>
      </c>
      <c r="B108" s="1" t="s">
        <v>121</v>
      </c>
      <c r="C108" s="39">
        <v>44</v>
      </c>
      <c r="D108" s="39">
        <v>12</v>
      </c>
      <c r="E108" s="39">
        <v>9</v>
      </c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2"/>
      <c r="R108" s="68"/>
      <c r="S108" s="69"/>
    </row>
    <row r="109" spans="1:19">
      <c r="A109" s="1">
        <v>0</v>
      </c>
      <c r="B109" s="1" t="s">
        <v>122</v>
      </c>
      <c r="C109" s="39">
        <v>48</v>
      </c>
      <c r="D109" s="39">
        <v>8</v>
      </c>
      <c r="E109" s="39">
        <v>6</v>
      </c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2"/>
      <c r="R109" s="68"/>
      <c r="S109" s="69"/>
    </row>
    <row r="110" spans="1:19">
      <c r="A110" s="1">
        <v>0</v>
      </c>
      <c r="B110" s="1" t="s">
        <v>123</v>
      </c>
      <c r="C110" s="39">
        <v>43</v>
      </c>
      <c r="D110" s="39">
        <v>7</v>
      </c>
      <c r="E110" s="39">
        <v>7</v>
      </c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2"/>
      <c r="R110" s="69"/>
      <c r="S110" s="69"/>
    </row>
    <row r="111" spans="1:19">
      <c r="A111" s="1">
        <v>0</v>
      </c>
      <c r="B111" s="1" t="s">
        <v>124</v>
      </c>
      <c r="C111" s="39">
        <v>36</v>
      </c>
      <c r="D111" s="39">
        <v>10</v>
      </c>
      <c r="E111" s="39">
        <v>5</v>
      </c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2"/>
      <c r="R111" s="68"/>
      <c r="S111" s="69"/>
    </row>
    <row r="112" spans="1:19">
      <c r="A112" s="1">
        <v>0</v>
      </c>
      <c r="B112" s="1" t="s">
        <v>125</v>
      </c>
      <c r="C112" s="39">
        <v>25</v>
      </c>
      <c r="D112" s="39">
        <v>23</v>
      </c>
      <c r="E112" s="39">
        <v>10</v>
      </c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2"/>
      <c r="R112" s="69"/>
      <c r="S112" s="69"/>
    </row>
    <row r="113" spans="1:19">
      <c r="A113" s="1">
        <v>0</v>
      </c>
      <c r="B113" s="1" t="s">
        <v>126</v>
      </c>
      <c r="C113" s="39">
        <v>37</v>
      </c>
      <c r="D113" s="39">
        <v>12</v>
      </c>
      <c r="E113" s="39">
        <v>7</v>
      </c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2"/>
      <c r="R113" s="68"/>
      <c r="S113" s="69"/>
    </row>
    <row r="114" spans="1:19">
      <c r="A114" s="1">
        <v>0</v>
      </c>
      <c r="B114" s="1" t="s">
        <v>127</v>
      </c>
      <c r="C114" s="39">
        <v>32</v>
      </c>
      <c r="D114" s="39">
        <v>30</v>
      </c>
      <c r="E114" s="39">
        <v>9</v>
      </c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2"/>
      <c r="R114" s="69"/>
      <c r="S114" s="69"/>
    </row>
    <row r="115" spans="1:19">
      <c r="A115" s="1">
        <v>0</v>
      </c>
      <c r="B115" s="1" t="s">
        <v>128</v>
      </c>
      <c r="C115" s="39">
        <v>42</v>
      </c>
      <c r="D115" s="39">
        <v>14</v>
      </c>
      <c r="E115" s="39">
        <v>7</v>
      </c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2"/>
      <c r="R115" s="68"/>
      <c r="S115" s="69"/>
    </row>
    <row r="116" spans="1:19">
      <c r="A116" s="1">
        <v>0</v>
      </c>
      <c r="B116" s="1" t="s">
        <v>129</v>
      </c>
      <c r="C116" s="39">
        <v>59</v>
      </c>
      <c r="D116" s="39">
        <v>9</v>
      </c>
      <c r="E116" s="39">
        <v>6</v>
      </c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2"/>
      <c r="R116" s="68"/>
      <c r="S116" s="69"/>
    </row>
    <row r="117" spans="1:19">
      <c r="A117" s="1">
        <v>0</v>
      </c>
      <c r="B117" s="1" t="s">
        <v>130</v>
      </c>
      <c r="C117" s="39">
        <v>49</v>
      </c>
      <c r="D117" s="61" t="s">
        <v>538</v>
      </c>
      <c r="E117" s="61" t="s">
        <v>538</v>
      </c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2"/>
      <c r="R117" s="68"/>
      <c r="S117" s="69"/>
    </row>
    <row r="118" spans="1:19">
      <c r="A118" s="1">
        <v>0</v>
      </c>
      <c r="B118" s="1" t="s">
        <v>131</v>
      </c>
      <c r="C118" s="39">
        <v>47</v>
      </c>
      <c r="D118" s="39">
        <v>23</v>
      </c>
      <c r="E118" s="39">
        <v>6</v>
      </c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2"/>
      <c r="R118" s="68"/>
      <c r="S118" s="69"/>
    </row>
    <row r="119" spans="1:19">
      <c r="A119" s="1">
        <v>0</v>
      </c>
      <c r="B119" s="1" t="s">
        <v>132</v>
      </c>
      <c r="C119" s="39">
        <v>44</v>
      </c>
      <c r="D119" s="39">
        <v>8</v>
      </c>
      <c r="E119" s="39">
        <v>6</v>
      </c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2"/>
      <c r="R119" s="68"/>
      <c r="S119" s="69"/>
    </row>
    <row r="120" spans="1:19">
      <c r="A120" s="1">
        <v>0</v>
      </c>
      <c r="B120" s="1" t="s">
        <v>133</v>
      </c>
      <c r="C120" s="39">
        <v>44</v>
      </c>
      <c r="D120" s="39">
        <v>23</v>
      </c>
      <c r="E120" s="39">
        <v>12</v>
      </c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2"/>
      <c r="R120" s="69"/>
      <c r="S120" s="69"/>
    </row>
    <row r="121" spans="1:19">
      <c r="A121" s="1">
        <v>0</v>
      </c>
      <c r="B121" s="1" t="s">
        <v>134</v>
      </c>
      <c r="C121" s="39">
        <v>47</v>
      </c>
      <c r="D121" s="39">
        <v>12</v>
      </c>
      <c r="E121" s="39">
        <v>7</v>
      </c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2"/>
      <c r="R121" s="69"/>
      <c r="S121" s="69"/>
    </row>
    <row r="122" spans="1:19">
      <c r="A122" s="1">
        <v>0</v>
      </c>
      <c r="B122" s="5" t="s">
        <v>135</v>
      </c>
      <c r="C122" s="39">
        <v>34</v>
      </c>
      <c r="D122" s="39">
        <v>23</v>
      </c>
      <c r="E122" s="39">
        <v>11</v>
      </c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62"/>
      <c r="R122" s="68"/>
      <c r="S122" s="69"/>
    </row>
    <row r="123" spans="1:19">
      <c r="A123" s="1">
        <v>0</v>
      </c>
      <c r="B123" s="1" t="s">
        <v>136</v>
      </c>
      <c r="C123" s="39">
        <v>49</v>
      </c>
      <c r="D123" s="39">
        <v>11</v>
      </c>
      <c r="E123" s="39">
        <v>7</v>
      </c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2"/>
      <c r="R123" s="68"/>
      <c r="S123" s="69"/>
    </row>
    <row r="124" spans="1:19">
      <c r="A124" s="7">
        <v>0</v>
      </c>
      <c r="B124" s="7" t="s">
        <v>137</v>
      </c>
      <c r="C124" s="63">
        <v>29</v>
      </c>
      <c r="D124" s="63">
        <v>17</v>
      </c>
      <c r="E124" s="63">
        <v>6</v>
      </c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4"/>
      <c r="R124" s="70"/>
      <c r="S124" s="71"/>
    </row>
    <row r="125" spans="1:19">
      <c r="A125" s="7">
        <v>0</v>
      </c>
      <c r="B125" s="7" t="s">
        <v>138</v>
      </c>
      <c r="C125" s="63">
        <v>24</v>
      </c>
      <c r="D125" s="63">
        <v>17</v>
      </c>
      <c r="E125" s="63">
        <v>4</v>
      </c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4"/>
      <c r="R125" s="71"/>
      <c r="S125" s="71"/>
    </row>
    <row r="126" spans="1:19">
      <c r="A126" s="1">
        <v>0</v>
      </c>
      <c r="B126" s="1" t="s">
        <v>139</v>
      </c>
      <c r="C126" s="39">
        <v>46</v>
      </c>
      <c r="D126" s="39">
        <v>16</v>
      </c>
      <c r="E126" s="39">
        <v>5</v>
      </c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2"/>
      <c r="R126" s="69"/>
      <c r="S126" s="69"/>
    </row>
    <row r="127" spans="1:19">
      <c r="A127" s="1">
        <v>0</v>
      </c>
      <c r="B127" s="1" t="s">
        <v>140</v>
      </c>
      <c r="C127" s="39">
        <v>52</v>
      </c>
      <c r="D127" s="39">
        <v>6</v>
      </c>
      <c r="E127" s="39">
        <v>3</v>
      </c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2"/>
      <c r="R127" s="68"/>
      <c r="S127" s="69"/>
    </row>
    <row r="128" spans="1:19">
      <c r="A128" s="1">
        <v>0</v>
      </c>
      <c r="B128" s="1" t="s">
        <v>141</v>
      </c>
      <c r="C128" s="39">
        <v>44</v>
      </c>
      <c r="D128" s="39">
        <v>26</v>
      </c>
      <c r="E128" s="39">
        <v>11</v>
      </c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2"/>
      <c r="R128" s="69"/>
      <c r="S128" s="69"/>
    </row>
    <row r="129" spans="1:19">
      <c r="A129" s="1">
        <v>0</v>
      </c>
      <c r="B129" s="1" t="s">
        <v>142</v>
      </c>
      <c r="C129" s="39">
        <v>44</v>
      </c>
      <c r="D129" s="39">
        <v>13</v>
      </c>
      <c r="E129" s="39">
        <v>3</v>
      </c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2"/>
      <c r="R129" s="68"/>
      <c r="S129" s="69"/>
    </row>
    <row r="130" spans="1:19">
      <c r="A130" s="1">
        <v>0</v>
      </c>
      <c r="B130" s="1" t="s">
        <v>143</v>
      </c>
      <c r="C130" s="39">
        <v>39</v>
      </c>
      <c r="D130" s="39">
        <v>10</v>
      </c>
      <c r="E130" s="39">
        <v>5</v>
      </c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2"/>
      <c r="R130" s="68"/>
      <c r="S130" s="69"/>
    </row>
    <row r="131" spans="1:19">
      <c r="A131" s="7">
        <v>0</v>
      </c>
      <c r="B131" s="7" t="s">
        <v>144</v>
      </c>
      <c r="C131" s="63">
        <v>51</v>
      </c>
      <c r="D131" s="63">
        <v>16</v>
      </c>
      <c r="E131" s="63">
        <v>4</v>
      </c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4"/>
      <c r="R131" s="71"/>
      <c r="S131" s="71"/>
    </row>
    <row r="132" spans="1:19">
      <c r="A132" s="1">
        <v>0</v>
      </c>
      <c r="B132" s="1" t="s">
        <v>145</v>
      </c>
      <c r="C132" s="39">
        <v>35</v>
      </c>
      <c r="D132" s="39">
        <v>12</v>
      </c>
      <c r="E132" s="39">
        <v>9</v>
      </c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2"/>
      <c r="R132" s="68"/>
      <c r="S132" s="69"/>
    </row>
    <row r="133" spans="1:19">
      <c r="A133" s="1">
        <v>0</v>
      </c>
      <c r="B133" s="1" t="s">
        <v>146</v>
      </c>
      <c r="C133" s="39">
        <v>43</v>
      </c>
      <c r="D133" s="39">
        <v>13</v>
      </c>
      <c r="E133" s="39">
        <v>12</v>
      </c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2"/>
      <c r="R133" s="68"/>
      <c r="S133" s="69"/>
    </row>
    <row r="134" spans="1:19">
      <c r="A134" s="1">
        <v>0</v>
      </c>
      <c r="B134" s="1" t="s">
        <v>147</v>
      </c>
      <c r="C134" s="39">
        <v>53</v>
      </c>
      <c r="D134" s="39">
        <v>7</v>
      </c>
      <c r="E134" s="39">
        <v>7</v>
      </c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2"/>
      <c r="R134" s="69"/>
      <c r="S134" s="69"/>
    </row>
    <row r="135" spans="1:19">
      <c r="A135" s="1">
        <v>0</v>
      </c>
      <c r="B135" s="1" t="s">
        <v>148</v>
      </c>
      <c r="C135" s="39">
        <v>47</v>
      </c>
      <c r="D135" s="39">
        <v>19</v>
      </c>
      <c r="E135" s="39">
        <v>7</v>
      </c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2"/>
      <c r="R135" s="69"/>
      <c r="S135" s="69"/>
    </row>
    <row r="136" spans="1:19">
      <c r="A136" s="1">
        <v>0</v>
      </c>
      <c r="B136" s="1" t="s">
        <v>149</v>
      </c>
      <c r="C136" s="39">
        <v>38</v>
      </c>
      <c r="D136" s="39">
        <v>6</v>
      </c>
      <c r="E136" s="39">
        <v>5</v>
      </c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2"/>
      <c r="R136" s="68"/>
      <c r="S136" s="69"/>
    </row>
    <row r="137" spans="1:19">
      <c r="A137" s="1">
        <v>0</v>
      </c>
      <c r="B137" s="1" t="s">
        <v>150</v>
      </c>
      <c r="C137" s="39">
        <v>49</v>
      </c>
      <c r="D137" s="39">
        <v>8</v>
      </c>
      <c r="E137" s="39">
        <v>3</v>
      </c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2"/>
      <c r="R137" s="68"/>
      <c r="S137" s="69"/>
    </row>
    <row r="138" spans="1:19">
      <c r="A138" s="1">
        <v>0</v>
      </c>
      <c r="B138" s="1" t="s">
        <v>151</v>
      </c>
      <c r="C138" s="39">
        <v>59</v>
      </c>
      <c r="D138" s="39">
        <v>9</v>
      </c>
      <c r="E138" s="39">
        <v>5</v>
      </c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2"/>
      <c r="R138" s="68"/>
      <c r="S138" s="69"/>
    </row>
    <row r="139" spans="1:19">
      <c r="A139" s="1">
        <v>0</v>
      </c>
      <c r="B139" s="1" t="s">
        <v>152</v>
      </c>
      <c r="C139" s="39">
        <v>58</v>
      </c>
      <c r="D139" s="39">
        <v>14</v>
      </c>
      <c r="E139" s="39">
        <v>7</v>
      </c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2"/>
      <c r="R139" s="68"/>
      <c r="S139" s="69"/>
    </row>
    <row r="140" spans="1:19">
      <c r="A140" s="1">
        <v>0</v>
      </c>
      <c r="B140" s="1" t="s">
        <v>153</v>
      </c>
      <c r="C140" s="39">
        <v>45</v>
      </c>
      <c r="D140" s="39">
        <v>9</v>
      </c>
      <c r="E140" s="39">
        <v>3</v>
      </c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2"/>
      <c r="R140" s="68"/>
      <c r="S140" s="69"/>
    </row>
    <row r="141" spans="1:19">
      <c r="A141" s="1">
        <v>0</v>
      </c>
      <c r="B141" s="1" t="s">
        <v>154</v>
      </c>
      <c r="C141" s="39">
        <v>32</v>
      </c>
      <c r="D141" s="39">
        <v>25</v>
      </c>
      <c r="E141" s="39">
        <v>7</v>
      </c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2"/>
      <c r="R141" s="68"/>
      <c r="S141" s="69"/>
    </row>
    <row r="142" spans="1:19">
      <c r="A142" s="1">
        <v>0</v>
      </c>
      <c r="B142" s="1" t="s">
        <v>155</v>
      </c>
      <c r="C142" s="39">
        <v>59</v>
      </c>
      <c r="D142" s="39">
        <v>9</v>
      </c>
      <c r="E142" s="39">
        <v>6</v>
      </c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72"/>
      <c r="R142" s="68"/>
      <c r="S142" s="69"/>
    </row>
    <row r="143" spans="1:19">
      <c r="A143" s="1">
        <v>0</v>
      </c>
      <c r="B143" s="1" t="s">
        <v>156</v>
      </c>
      <c r="C143" s="39">
        <v>37</v>
      </c>
      <c r="D143" s="39">
        <v>13</v>
      </c>
      <c r="E143" s="39">
        <v>7</v>
      </c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2"/>
      <c r="R143" s="69"/>
      <c r="S143" s="69"/>
    </row>
    <row r="144" spans="1:19">
      <c r="A144" s="2">
        <v>0</v>
      </c>
      <c r="B144" s="2" t="s">
        <v>157</v>
      </c>
      <c r="C144" s="73">
        <v>36</v>
      </c>
      <c r="D144" s="73">
        <v>20</v>
      </c>
      <c r="E144" s="73">
        <v>9</v>
      </c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4"/>
      <c r="R144" s="75"/>
      <c r="S144" s="75"/>
    </row>
    <row r="145" spans="1:19">
      <c r="A145" s="1">
        <v>1</v>
      </c>
      <c r="B145" s="1" t="s">
        <v>158</v>
      </c>
      <c r="C145" s="39">
        <v>57</v>
      </c>
      <c r="D145" s="39">
        <v>29</v>
      </c>
      <c r="E145" s="39">
        <v>9</v>
      </c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2"/>
      <c r="R145" s="69"/>
      <c r="S145" s="69"/>
    </row>
    <row r="146" spans="1:19">
      <c r="A146" s="1">
        <v>1</v>
      </c>
      <c r="B146" s="1" t="s">
        <v>159</v>
      </c>
      <c r="C146" s="39">
        <v>52</v>
      </c>
      <c r="D146" s="39">
        <v>16</v>
      </c>
      <c r="E146" s="39">
        <v>12</v>
      </c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2"/>
      <c r="R146" s="69"/>
      <c r="S146" s="69"/>
    </row>
    <row r="147" spans="1:19">
      <c r="A147" s="1">
        <v>1</v>
      </c>
      <c r="B147" s="1" t="s">
        <v>160</v>
      </c>
      <c r="C147" s="39">
        <v>48</v>
      </c>
      <c r="D147" s="39">
        <v>14</v>
      </c>
      <c r="E147" s="39">
        <v>10</v>
      </c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2"/>
      <c r="R147" s="68"/>
      <c r="S147" s="69"/>
    </row>
    <row r="148" spans="1:19">
      <c r="A148" s="1">
        <v>1</v>
      </c>
      <c r="B148" s="1" t="s">
        <v>161</v>
      </c>
      <c r="C148" s="39">
        <v>42</v>
      </c>
      <c r="D148" s="39">
        <v>10</v>
      </c>
      <c r="E148" s="39">
        <v>10</v>
      </c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2"/>
      <c r="R148" s="69"/>
      <c r="S148" s="69"/>
    </row>
    <row r="149" spans="1:19">
      <c r="A149" s="1">
        <v>1</v>
      </c>
      <c r="B149" s="1" t="s">
        <v>162</v>
      </c>
      <c r="C149" s="39">
        <v>41</v>
      </c>
      <c r="D149" s="39">
        <v>14</v>
      </c>
      <c r="E149" s="39">
        <v>13</v>
      </c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2"/>
      <c r="R149" s="69"/>
      <c r="S149" s="69"/>
    </row>
    <row r="150" spans="1:19">
      <c r="A150" s="1">
        <v>1</v>
      </c>
      <c r="B150" s="1" t="s">
        <v>163</v>
      </c>
      <c r="C150" s="39">
        <v>51</v>
      </c>
      <c r="D150" s="39">
        <v>24</v>
      </c>
      <c r="E150" s="39">
        <v>23</v>
      </c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2"/>
      <c r="R150" s="69"/>
      <c r="S150" s="69"/>
    </row>
    <row r="151" spans="1:19">
      <c r="A151" s="1">
        <v>1</v>
      </c>
      <c r="B151" s="1" t="s">
        <v>164</v>
      </c>
      <c r="C151" s="39">
        <v>60</v>
      </c>
      <c r="D151" s="39">
        <v>28</v>
      </c>
      <c r="E151" s="39">
        <v>14</v>
      </c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2"/>
      <c r="R151" s="69"/>
      <c r="S151" s="69"/>
    </row>
    <row r="152" spans="1:19">
      <c r="A152" s="1">
        <v>1</v>
      </c>
      <c r="B152" s="1" t="s">
        <v>165</v>
      </c>
      <c r="C152" s="39">
        <v>54</v>
      </c>
      <c r="D152" s="39">
        <v>22</v>
      </c>
      <c r="E152" s="39">
        <v>13</v>
      </c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2"/>
      <c r="R152" s="69"/>
      <c r="S152" s="69"/>
    </row>
    <row r="153" spans="1:19">
      <c r="A153" s="1">
        <v>1</v>
      </c>
      <c r="B153" s="1" t="s">
        <v>166</v>
      </c>
      <c r="C153" s="39">
        <v>47</v>
      </c>
      <c r="D153" s="39">
        <v>11</v>
      </c>
      <c r="E153" s="39">
        <v>10</v>
      </c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2"/>
      <c r="R153" s="69"/>
      <c r="S153" s="69"/>
    </row>
    <row r="154" spans="1:19">
      <c r="A154" s="7">
        <v>1</v>
      </c>
      <c r="B154" s="7" t="s">
        <v>167</v>
      </c>
      <c r="C154" s="63">
        <v>46</v>
      </c>
      <c r="D154" s="63">
        <v>14</v>
      </c>
      <c r="E154" s="63">
        <v>10</v>
      </c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4"/>
      <c r="R154" s="71"/>
      <c r="S154" s="71"/>
    </row>
    <row r="155" spans="1:19">
      <c r="A155" s="1">
        <v>1</v>
      </c>
      <c r="B155" s="1" t="s">
        <v>168</v>
      </c>
      <c r="C155" s="39">
        <v>40</v>
      </c>
      <c r="D155" s="39">
        <v>29</v>
      </c>
      <c r="E155" s="39">
        <v>12</v>
      </c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2"/>
      <c r="R155" s="69"/>
      <c r="S155" s="69"/>
    </row>
    <row r="156" spans="1:19">
      <c r="A156" s="1">
        <v>1</v>
      </c>
      <c r="B156" s="1" t="s">
        <v>169</v>
      </c>
      <c r="C156" s="39">
        <v>42</v>
      </c>
      <c r="D156" s="39">
        <v>22</v>
      </c>
      <c r="E156" s="39">
        <v>10</v>
      </c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2"/>
      <c r="R156" s="69"/>
      <c r="S156" s="69"/>
    </row>
    <row r="157" spans="1:19">
      <c r="A157" s="1">
        <v>1</v>
      </c>
      <c r="B157" s="1" t="s">
        <v>170</v>
      </c>
      <c r="C157" s="39">
        <v>62</v>
      </c>
      <c r="D157" s="39">
        <v>50</v>
      </c>
      <c r="E157" s="39">
        <v>19</v>
      </c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2"/>
      <c r="R157" s="69"/>
      <c r="S157" s="69"/>
    </row>
    <row r="158" spans="1:19">
      <c r="A158" s="1">
        <v>1</v>
      </c>
      <c r="B158" s="1" t="s">
        <v>171</v>
      </c>
      <c r="C158" s="39">
        <v>35</v>
      </c>
      <c r="D158" s="39">
        <v>29</v>
      </c>
      <c r="E158" s="39">
        <v>14</v>
      </c>
      <c r="F158" s="61"/>
      <c r="G158" s="61"/>
      <c r="H158" s="61"/>
      <c r="I158" s="76"/>
      <c r="J158" s="61"/>
      <c r="K158" s="61"/>
      <c r="L158" s="61"/>
      <c r="M158" s="61"/>
      <c r="N158" s="61"/>
      <c r="O158" s="61"/>
      <c r="P158" s="61"/>
      <c r="Q158" s="62"/>
      <c r="R158" s="69"/>
      <c r="S158" s="69"/>
    </row>
    <row r="159" spans="1:19">
      <c r="A159" s="1">
        <v>1</v>
      </c>
      <c r="B159" s="1" t="s">
        <v>172</v>
      </c>
      <c r="C159" s="61" t="s">
        <v>538</v>
      </c>
      <c r="D159" s="61" t="s">
        <v>538</v>
      </c>
      <c r="E159" s="39" t="s">
        <v>538</v>
      </c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2"/>
      <c r="R159" s="69"/>
      <c r="S159" s="69"/>
    </row>
    <row r="160" spans="1:19">
      <c r="A160" s="1">
        <v>1</v>
      </c>
      <c r="B160" s="1" t="s">
        <v>173</v>
      </c>
      <c r="C160" s="39">
        <v>71</v>
      </c>
      <c r="D160" s="39">
        <v>15</v>
      </c>
      <c r="E160" s="39">
        <v>11</v>
      </c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2"/>
      <c r="R160" s="68"/>
      <c r="S160" s="69"/>
    </row>
    <row r="161" spans="1:19">
      <c r="A161" s="1">
        <v>1</v>
      </c>
      <c r="B161" s="1" t="s">
        <v>174</v>
      </c>
      <c r="C161" s="39">
        <v>47</v>
      </c>
      <c r="D161" s="39">
        <v>25</v>
      </c>
      <c r="E161" s="39">
        <v>15</v>
      </c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2"/>
      <c r="R161" s="69"/>
      <c r="S161" s="69"/>
    </row>
    <row r="162" spans="1:19">
      <c r="A162" s="1">
        <v>1</v>
      </c>
      <c r="B162" s="1" t="s">
        <v>175</v>
      </c>
      <c r="C162" s="39">
        <v>72</v>
      </c>
      <c r="D162" s="39">
        <v>7</v>
      </c>
      <c r="E162" s="39">
        <v>5</v>
      </c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2"/>
      <c r="R162" s="69"/>
      <c r="S162" s="69"/>
    </row>
    <row r="163" spans="1:19">
      <c r="A163" s="1">
        <v>1</v>
      </c>
      <c r="B163" s="1" t="s">
        <v>176</v>
      </c>
      <c r="C163" s="39">
        <v>32</v>
      </c>
      <c r="D163" s="39">
        <v>9</v>
      </c>
      <c r="E163" s="39">
        <v>8</v>
      </c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2"/>
      <c r="R163" s="69"/>
      <c r="S163" s="69"/>
    </row>
    <row r="164" spans="1:19">
      <c r="A164" s="1">
        <v>1</v>
      </c>
      <c r="B164" s="1" t="s">
        <v>177</v>
      </c>
      <c r="C164" s="39">
        <v>66</v>
      </c>
      <c r="D164" s="39">
        <v>12</v>
      </c>
      <c r="E164" s="39">
        <v>12</v>
      </c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2"/>
      <c r="R164" s="69"/>
      <c r="S164" s="69"/>
    </row>
    <row r="165" spans="1:19">
      <c r="A165" s="1">
        <v>1</v>
      </c>
      <c r="B165" s="1" t="s">
        <v>178</v>
      </c>
      <c r="C165" s="39">
        <v>59</v>
      </c>
      <c r="D165" s="39">
        <v>16</v>
      </c>
      <c r="E165" s="39">
        <v>7</v>
      </c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2"/>
      <c r="R165" s="68"/>
      <c r="S165" s="69"/>
    </row>
    <row r="166" spans="1:19">
      <c r="A166" s="7">
        <v>1</v>
      </c>
      <c r="B166" s="7" t="s">
        <v>179</v>
      </c>
      <c r="C166" s="63">
        <v>64</v>
      </c>
      <c r="D166" s="63">
        <v>67</v>
      </c>
      <c r="E166" s="63">
        <v>21</v>
      </c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4"/>
      <c r="R166" s="71"/>
      <c r="S166" s="71"/>
    </row>
    <row r="167" spans="1:19">
      <c r="A167" s="1">
        <v>1</v>
      </c>
      <c r="B167" s="1" t="s">
        <v>180</v>
      </c>
      <c r="C167" s="39">
        <v>38</v>
      </c>
      <c r="D167" s="39">
        <v>32</v>
      </c>
      <c r="E167" s="39">
        <v>18</v>
      </c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2"/>
      <c r="R167" s="69"/>
      <c r="S167" s="69"/>
    </row>
    <row r="168" spans="1:19">
      <c r="A168" s="1">
        <v>1</v>
      </c>
      <c r="B168" s="1" t="s">
        <v>181</v>
      </c>
      <c r="C168" s="39">
        <v>78</v>
      </c>
      <c r="D168" s="39">
        <v>32</v>
      </c>
      <c r="E168" s="39">
        <v>18</v>
      </c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2"/>
      <c r="R168" s="69"/>
      <c r="S168" s="69"/>
    </row>
    <row r="169" spans="1:19">
      <c r="A169" s="1">
        <v>1</v>
      </c>
      <c r="B169" s="1" t="s">
        <v>182</v>
      </c>
      <c r="C169" s="39">
        <v>43</v>
      </c>
      <c r="D169" s="39">
        <v>27</v>
      </c>
      <c r="E169" s="39">
        <v>13</v>
      </c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2"/>
      <c r="R169" s="69"/>
      <c r="S169" s="69"/>
    </row>
    <row r="170" spans="1:19">
      <c r="A170" s="1">
        <v>1</v>
      </c>
      <c r="B170" s="1" t="s">
        <v>183</v>
      </c>
      <c r="C170" s="39">
        <v>58</v>
      </c>
      <c r="D170" s="39">
        <v>19</v>
      </c>
      <c r="E170" s="39">
        <v>10</v>
      </c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2"/>
      <c r="R170" s="68"/>
      <c r="S170" s="69"/>
    </row>
    <row r="171" spans="1:19">
      <c r="A171" s="1">
        <v>1</v>
      </c>
      <c r="B171" s="1" t="s">
        <v>184</v>
      </c>
      <c r="C171" s="39">
        <v>48</v>
      </c>
      <c r="D171" s="39">
        <v>9</v>
      </c>
      <c r="E171" s="39">
        <v>6</v>
      </c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2"/>
      <c r="R171" s="68"/>
      <c r="S171" s="69"/>
    </row>
    <row r="172" spans="1:19">
      <c r="A172" s="7">
        <v>1</v>
      </c>
      <c r="B172" s="7" t="s">
        <v>185</v>
      </c>
      <c r="C172" s="63">
        <v>40</v>
      </c>
      <c r="D172" s="63">
        <v>28</v>
      </c>
      <c r="E172" s="63">
        <v>9</v>
      </c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4"/>
      <c r="R172" s="71"/>
      <c r="S172" s="71"/>
    </row>
    <row r="173" spans="1:19">
      <c r="A173" s="1">
        <v>1</v>
      </c>
      <c r="B173" s="1" t="s">
        <v>186</v>
      </c>
      <c r="C173" s="39">
        <v>44</v>
      </c>
      <c r="D173" s="39">
        <v>10</v>
      </c>
      <c r="E173" s="39">
        <v>7</v>
      </c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2"/>
      <c r="R173" s="69"/>
      <c r="S173" s="69"/>
    </row>
    <row r="174" spans="1:19">
      <c r="A174" s="1">
        <v>1</v>
      </c>
      <c r="B174" s="1" t="s">
        <v>187</v>
      </c>
      <c r="C174" s="39">
        <v>37</v>
      </c>
      <c r="D174" s="39">
        <v>18</v>
      </c>
      <c r="E174" s="39">
        <v>11</v>
      </c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2"/>
      <c r="R174" s="69"/>
      <c r="S174" s="69"/>
    </row>
    <row r="175" spans="1:19">
      <c r="A175" s="1">
        <v>1</v>
      </c>
      <c r="B175" s="1" t="s">
        <v>188</v>
      </c>
      <c r="C175" s="39">
        <v>34</v>
      </c>
      <c r="D175" s="39">
        <v>18</v>
      </c>
      <c r="E175" s="39">
        <v>15</v>
      </c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2"/>
      <c r="R175" s="69"/>
      <c r="S175" s="69"/>
    </row>
    <row r="176" spans="1:19">
      <c r="A176" s="1">
        <v>1</v>
      </c>
      <c r="B176" s="1" t="s">
        <v>189</v>
      </c>
      <c r="C176" s="39">
        <v>37</v>
      </c>
      <c r="D176" s="39">
        <v>19</v>
      </c>
      <c r="E176" s="39">
        <v>12</v>
      </c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2"/>
      <c r="R176" s="68"/>
      <c r="S176" s="69"/>
    </row>
    <row r="177" spans="1:19">
      <c r="A177" s="1">
        <v>1</v>
      </c>
      <c r="B177" s="1" t="s">
        <v>190</v>
      </c>
      <c r="C177" s="39">
        <v>71</v>
      </c>
      <c r="D177" s="39">
        <v>9</v>
      </c>
      <c r="E177" s="39">
        <v>6</v>
      </c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2"/>
      <c r="R177" s="69"/>
      <c r="S177" s="69"/>
    </row>
    <row r="178" spans="1:19">
      <c r="A178" s="1">
        <v>1</v>
      </c>
      <c r="B178" s="1" t="s">
        <v>191</v>
      </c>
      <c r="C178" s="39">
        <v>44</v>
      </c>
      <c r="D178" s="39">
        <v>35</v>
      </c>
      <c r="E178" s="39">
        <v>18</v>
      </c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2"/>
      <c r="R178" s="69"/>
      <c r="S178" s="69"/>
    </row>
    <row r="179" spans="1:19">
      <c r="A179" s="1">
        <v>1</v>
      </c>
      <c r="B179" s="1" t="s">
        <v>192</v>
      </c>
      <c r="C179" s="39">
        <v>53</v>
      </c>
      <c r="D179" s="39">
        <v>26</v>
      </c>
      <c r="E179" s="39">
        <v>13</v>
      </c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2"/>
      <c r="R179" s="69"/>
      <c r="S179" s="69"/>
    </row>
    <row r="180" spans="1:19">
      <c r="A180" s="7">
        <v>1</v>
      </c>
      <c r="B180" s="7" t="s">
        <v>193</v>
      </c>
      <c r="C180" s="63">
        <v>50</v>
      </c>
      <c r="D180" s="63">
        <v>19</v>
      </c>
      <c r="E180" s="63">
        <v>12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4"/>
      <c r="R180" s="71"/>
      <c r="S180" s="71"/>
    </row>
    <row r="181" spans="1:19">
      <c r="A181" s="1">
        <v>1</v>
      </c>
      <c r="B181" s="1" t="s">
        <v>194</v>
      </c>
      <c r="C181" s="39">
        <v>51</v>
      </c>
      <c r="D181" s="39">
        <v>20</v>
      </c>
      <c r="E181" s="39">
        <v>12</v>
      </c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2"/>
      <c r="R181" s="69"/>
      <c r="S181" s="69"/>
    </row>
    <row r="182" spans="1:19">
      <c r="A182" s="1">
        <v>1</v>
      </c>
      <c r="B182" s="1" t="s">
        <v>195</v>
      </c>
      <c r="C182" s="39">
        <v>43</v>
      </c>
      <c r="D182" s="39">
        <v>17</v>
      </c>
      <c r="E182" s="39">
        <v>8</v>
      </c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2"/>
      <c r="R182" s="68"/>
      <c r="S182" s="69"/>
    </row>
    <row r="183" spans="1:19">
      <c r="A183" s="1">
        <v>1</v>
      </c>
      <c r="B183" s="1" t="s">
        <v>196</v>
      </c>
      <c r="C183" s="39">
        <v>59</v>
      </c>
      <c r="D183" s="39">
        <v>17</v>
      </c>
      <c r="E183" s="39">
        <v>10</v>
      </c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2"/>
      <c r="R183" s="69"/>
      <c r="S183" s="69"/>
    </row>
    <row r="184" spans="1:19">
      <c r="A184" s="1">
        <v>1</v>
      </c>
      <c r="B184" s="1" t="s">
        <v>197</v>
      </c>
      <c r="C184" s="39">
        <v>52</v>
      </c>
      <c r="D184" s="39">
        <v>19</v>
      </c>
      <c r="E184" s="39">
        <v>13</v>
      </c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2"/>
      <c r="R184" s="69"/>
      <c r="S184" s="69"/>
    </row>
    <row r="185" spans="1:19">
      <c r="A185" s="1">
        <v>1</v>
      </c>
      <c r="B185" s="1" t="s">
        <v>198</v>
      </c>
      <c r="C185" s="39">
        <v>51</v>
      </c>
      <c r="D185" s="61" t="s">
        <v>538</v>
      </c>
      <c r="E185" s="61" t="s">
        <v>538</v>
      </c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2"/>
      <c r="R185" s="69"/>
      <c r="S185" s="69"/>
    </row>
    <row r="186" spans="1:19">
      <c r="A186" s="1">
        <v>1</v>
      </c>
      <c r="B186" s="1" t="s">
        <v>199</v>
      </c>
      <c r="C186" s="39">
        <v>47</v>
      </c>
      <c r="D186" s="39">
        <v>26</v>
      </c>
      <c r="E186" s="39">
        <v>14</v>
      </c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2"/>
      <c r="R186" s="69"/>
      <c r="S186" s="69"/>
    </row>
    <row r="187" spans="1:19">
      <c r="A187" s="1">
        <v>1</v>
      </c>
      <c r="B187" s="1" t="s">
        <v>200</v>
      </c>
      <c r="C187" s="39">
        <v>54</v>
      </c>
      <c r="D187" s="39">
        <v>17</v>
      </c>
      <c r="E187" s="39">
        <v>10</v>
      </c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2"/>
      <c r="R187" s="69"/>
      <c r="S187" s="69"/>
    </row>
    <row r="188" spans="1:19">
      <c r="A188" s="7">
        <v>1</v>
      </c>
      <c r="B188" s="7" t="s">
        <v>201</v>
      </c>
      <c r="C188" s="63">
        <v>58</v>
      </c>
      <c r="D188" s="63">
        <v>12</v>
      </c>
      <c r="E188" s="63">
        <v>7</v>
      </c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4"/>
      <c r="R188" s="71"/>
      <c r="S188" s="71"/>
    </row>
    <row r="189" spans="1:19"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2"/>
      <c r="R189" s="77"/>
      <c r="S189" s="77"/>
    </row>
    <row r="190" spans="1:19">
      <c r="A190" s="1" t="s">
        <v>202</v>
      </c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2"/>
      <c r="R190" s="68"/>
      <c r="S190" s="69"/>
    </row>
    <row r="191" spans="1:19">
      <c r="A191" s="1">
        <v>0</v>
      </c>
      <c r="B191" s="1" t="s">
        <v>203</v>
      </c>
      <c r="C191" s="39">
        <v>34</v>
      </c>
      <c r="D191" s="39">
        <v>7</v>
      </c>
      <c r="E191" s="39">
        <v>5</v>
      </c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2"/>
      <c r="R191" s="68"/>
      <c r="S191" s="69"/>
    </row>
    <row r="192" spans="1:19">
      <c r="A192" s="7">
        <v>0</v>
      </c>
      <c r="B192" s="7" t="s">
        <v>204</v>
      </c>
      <c r="C192" s="63">
        <v>49</v>
      </c>
      <c r="D192" s="63">
        <v>11</v>
      </c>
      <c r="E192" s="63">
        <v>9</v>
      </c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4"/>
      <c r="R192" s="70"/>
      <c r="S192" s="71"/>
    </row>
    <row r="193" spans="1:19">
      <c r="A193" s="1">
        <v>0</v>
      </c>
      <c r="B193" s="1" t="s">
        <v>205</v>
      </c>
      <c r="C193" s="39">
        <v>37</v>
      </c>
      <c r="D193" s="39">
        <v>16</v>
      </c>
      <c r="E193" s="39">
        <v>7</v>
      </c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2"/>
      <c r="R193" s="68"/>
      <c r="S193" s="69"/>
    </row>
    <row r="194" spans="1:19">
      <c r="A194" s="1">
        <v>0</v>
      </c>
      <c r="B194" s="1" t="s">
        <v>206</v>
      </c>
      <c r="C194" s="39">
        <v>41</v>
      </c>
      <c r="D194" s="39">
        <v>26</v>
      </c>
      <c r="E194" s="39">
        <v>13</v>
      </c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2"/>
      <c r="R194" s="69"/>
      <c r="S194" s="69"/>
    </row>
    <row r="195" spans="1:19">
      <c r="A195" s="1">
        <v>0</v>
      </c>
      <c r="B195" s="1" t="s">
        <v>207</v>
      </c>
      <c r="C195" s="39">
        <v>31</v>
      </c>
      <c r="D195" s="39">
        <v>25</v>
      </c>
      <c r="E195" s="39">
        <v>12</v>
      </c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2"/>
      <c r="R195" s="69"/>
      <c r="S195" s="69"/>
    </row>
    <row r="196" spans="1:19">
      <c r="A196" s="1">
        <v>0</v>
      </c>
      <c r="B196" s="1" t="s">
        <v>208</v>
      </c>
      <c r="C196" s="39">
        <v>51</v>
      </c>
      <c r="D196" s="39">
        <v>16</v>
      </c>
      <c r="E196" s="39">
        <v>11</v>
      </c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2"/>
      <c r="R196" s="68"/>
      <c r="S196" s="69"/>
    </row>
    <row r="197" spans="1:19">
      <c r="A197" s="1">
        <v>0</v>
      </c>
      <c r="B197" s="1" t="s">
        <v>209</v>
      </c>
      <c r="C197" s="39">
        <v>44</v>
      </c>
      <c r="D197" s="39">
        <v>9</v>
      </c>
      <c r="E197" s="39">
        <v>5</v>
      </c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2"/>
      <c r="R197" s="68"/>
      <c r="S197" s="69"/>
    </row>
    <row r="198" spans="1:19">
      <c r="A198" s="1">
        <v>0</v>
      </c>
      <c r="B198" s="1" t="s">
        <v>210</v>
      </c>
      <c r="C198" s="39">
        <v>42</v>
      </c>
      <c r="D198" s="39">
        <v>12</v>
      </c>
      <c r="E198" s="39">
        <v>6</v>
      </c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2"/>
      <c r="R198" s="68"/>
      <c r="S198" s="69"/>
    </row>
    <row r="199" spans="1:19">
      <c r="A199" s="1">
        <v>0</v>
      </c>
      <c r="B199" s="1" t="s">
        <v>211</v>
      </c>
      <c r="C199" s="39">
        <v>49</v>
      </c>
      <c r="D199" s="39">
        <v>14</v>
      </c>
      <c r="E199" s="39">
        <v>7</v>
      </c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2"/>
      <c r="R199" s="68"/>
      <c r="S199" s="69"/>
    </row>
    <row r="200" spans="1:19">
      <c r="A200" s="1">
        <v>0</v>
      </c>
      <c r="B200" s="1" t="s">
        <v>212</v>
      </c>
      <c r="C200" s="39">
        <v>39</v>
      </c>
      <c r="D200" s="39">
        <v>24</v>
      </c>
      <c r="E200" s="39">
        <v>16</v>
      </c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2"/>
      <c r="R200" s="68"/>
      <c r="S200" s="69"/>
    </row>
    <row r="201" spans="1:19">
      <c r="A201" s="1">
        <v>0</v>
      </c>
      <c r="B201" s="1" t="s">
        <v>213</v>
      </c>
      <c r="C201" s="39">
        <v>43</v>
      </c>
      <c r="D201" s="39">
        <v>9</v>
      </c>
      <c r="E201" s="39">
        <v>6</v>
      </c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2"/>
      <c r="R201" s="69"/>
      <c r="S201" s="69"/>
    </row>
    <row r="202" spans="1:19">
      <c r="A202" s="1">
        <v>0</v>
      </c>
      <c r="B202" s="1" t="s">
        <v>214</v>
      </c>
      <c r="C202" s="39">
        <v>31</v>
      </c>
      <c r="D202" s="39">
        <v>10</v>
      </c>
      <c r="E202" s="39">
        <v>5</v>
      </c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2"/>
      <c r="R202" s="69"/>
      <c r="S202" s="69"/>
    </row>
    <row r="203" spans="1:19">
      <c r="A203" s="1">
        <v>0</v>
      </c>
      <c r="B203" s="1" t="s">
        <v>215</v>
      </c>
      <c r="C203" s="39">
        <v>46</v>
      </c>
      <c r="D203" s="39">
        <v>7</v>
      </c>
      <c r="E203" s="39">
        <v>6</v>
      </c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2"/>
      <c r="R203" s="68"/>
      <c r="S203" s="69"/>
    </row>
    <row r="204" spans="1:19">
      <c r="A204" s="1">
        <v>0</v>
      </c>
      <c r="B204" s="1" t="s">
        <v>216</v>
      </c>
      <c r="C204" s="39">
        <v>44</v>
      </c>
      <c r="D204" s="39">
        <v>5</v>
      </c>
      <c r="E204" s="39">
        <v>3</v>
      </c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2"/>
      <c r="R204" s="69"/>
      <c r="S204" s="69"/>
    </row>
    <row r="205" spans="1:19">
      <c r="A205" s="1">
        <v>0</v>
      </c>
      <c r="B205" s="1" t="s">
        <v>217</v>
      </c>
      <c r="C205" s="39">
        <v>47</v>
      </c>
      <c r="D205" s="39">
        <v>16</v>
      </c>
      <c r="E205" s="39">
        <v>7</v>
      </c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2"/>
      <c r="R205" s="68"/>
      <c r="S205" s="69"/>
    </row>
    <row r="206" spans="1:19">
      <c r="A206" s="1">
        <v>0</v>
      </c>
      <c r="B206" s="1" t="s">
        <v>218</v>
      </c>
      <c r="C206" s="39">
        <v>32</v>
      </c>
      <c r="D206" s="39">
        <v>23</v>
      </c>
      <c r="E206" s="39">
        <v>13</v>
      </c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2"/>
      <c r="R206" s="68"/>
      <c r="S206" s="69"/>
    </row>
    <row r="207" spans="1:19">
      <c r="A207" s="7">
        <v>0</v>
      </c>
      <c r="B207" s="7" t="s">
        <v>219</v>
      </c>
      <c r="C207" s="63">
        <v>35</v>
      </c>
      <c r="D207" s="63">
        <v>14</v>
      </c>
      <c r="E207" s="63">
        <v>5</v>
      </c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4"/>
      <c r="R207" s="70"/>
      <c r="S207" s="71"/>
    </row>
    <row r="208" spans="1:19">
      <c r="A208" s="1">
        <v>0</v>
      </c>
      <c r="B208" s="1" t="s">
        <v>220</v>
      </c>
      <c r="C208" s="39">
        <v>33</v>
      </c>
      <c r="D208" s="39">
        <v>17</v>
      </c>
      <c r="E208" s="39">
        <v>7</v>
      </c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2"/>
      <c r="R208" s="68"/>
      <c r="S208" s="69"/>
    </row>
    <row r="209" spans="1:19">
      <c r="A209" s="1">
        <v>0</v>
      </c>
      <c r="B209" s="1" t="s">
        <v>221</v>
      </c>
      <c r="C209" s="39">
        <v>48</v>
      </c>
      <c r="D209" s="39">
        <v>10</v>
      </c>
      <c r="E209" s="39">
        <v>6</v>
      </c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2"/>
      <c r="R209" s="68"/>
      <c r="S209" s="69"/>
    </row>
    <row r="210" spans="1:19">
      <c r="A210" s="1">
        <v>0</v>
      </c>
      <c r="B210" s="1" t="s">
        <v>222</v>
      </c>
      <c r="C210" s="39">
        <v>47</v>
      </c>
      <c r="D210" s="39">
        <v>8</v>
      </c>
      <c r="E210" s="39">
        <v>5</v>
      </c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2"/>
      <c r="R210" s="68"/>
      <c r="S210" s="69"/>
    </row>
    <row r="211" spans="1:19">
      <c r="A211" s="1">
        <v>0</v>
      </c>
      <c r="B211" s="1" t="s">
        <v>223</v>
      </c>
      <c r="C211" s="39">
        <v>42</v>
      </c>
      <c r="D211" s="39">
        <v>7</v>
      </c>
      <c r="E211" s="39">
        <v>4</v>
      </c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2"/>
      <c r="R211" s="68"/>
      <c r="S211" s="69"/>
    </row>
    <row r="212" spans="1:19">
      <c r="A212" s="1">
        <v>0</v>
      </c>
      <c r="B212" s="1" t="s">
        <v>224</v>
      </c>
      <c r="C212" s="39">
        <v>30</v>
      </c>
      <c r="D212" s="39">
        <v>15</v>
      </c>
      <c r="E212" s="39">
        <v>9</v>
      </c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2"/>
      <c r="R212" s="68"/>
      <c r="S212" s="69"/>
    </row>
    <row r="213" spans="1:19">
      <c r="A213" s="1">
        <v>0</v>
      </c>
      <c r="B213" s="1" t="s">
        <v>225</v>
      </c>
      <c r="C213" s="39">
        <v>38</v>
      </c>
      <c r="D213" s="39">
        <v>19</v>
      </c>
      <c r="E213" s="39">
        <v>8</v>
      </c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2"/>
      <c r="R213" s="69"/>
      <c r="S213" s="69"/>
    </row>
    <row r="214" spans="1:19">
      <c r="A214" s="7">
        <v>0</v>
      </c>
      <c r="B214" s="7" t="s">
        <v>226</v>
      </c>
      <c r="C214" s="63">
        <v>31</v>
      </c>
      <c r="D214" s="63">
        <v>14</v>
      </c>
      <c r="E214" s="63">
        <v>4</v>
      </c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4"/>
      <c r="R214" s="70"/>
      <c r="S214" s="71"/>
    </row>
    <row r="215" spans="1:19">
      <c r="A215" s="7">
        <v>0</v>
      </c>
      <c r="B215" s="7" t="s">
        <v>227</v>
      </c>
      <c r="C215" s="63">
        <v>24</v>
      </c>
      <c r="D215" s="63">
        <v>17</v>
      </c>
      <c r="E215" s="63">
        <v>5</v>
      </c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4"/>
      <c r="R215" s="71"/>
      <c r="S215" s="71"/>
    </row>
    <row r="216" spans="1:19">
      <c r="A216" s="1">
        <v>0</v>
      </c>
      <c r="B216" s="1" t="s">
        <v>228</v>
      </c>
      <c r="C216" s="39">
        <v>54</v>
      </c>
      <c r="D216" s="39">
        <v>4</v>
      </c>
      <c r="E216" s="39">
        <v>2</v>
      </c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2"/>
      <c r="R216" s="68"/>
      <c r="S216" s="69"/>
    </row>
    <row r="217" spans="1:19">
      <c r="A217" s="7">
        <v>0</v>
      </c>
      <c r="B217" s="7" t="s">
        <v>229</v>
      </c>
      <c r="C217" s="63">
        <v>37</v>
      </c>
      <c r="D217" s="63">
        <v>26</v>
      </c>
      <c r="E217" s="63">
        <v>14</v>
      </c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4"/>
      <c r="R217" s="71"/>
      <c r="S217" s="71"/>
    </row>
    <row r="218" spans="1:19">
      <c r="A218" s="1">
        <v>0</v>
      </c>
      <c r="B218" s="1" t="s">
        <v>230</v>
      </c>
      <c r="C218" s="39">
        <v>59</v>
      </c>
      <c r="D218" s="39">
        <v>11</v>
      </c>
      <c r="E218" s="39">
        <v>9</v>
      </c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2"/>
      <c r="R218" s="68"/>
      <c r="S218" s="69"/>
    </row>
    <row r="219" spans="1:19">
      <c r="A219" s="1">
        <v>0</v>
      </c>
      <c r="B219" s="1" t="s">
        <v>231</v>
      </c>
      <c r="C219" s="39">
        <v>39</v>
      </c>
      <c r="D219" s="39">
        <v>5</v>
      </c>
      <c r="E219" s="39">
        <v>5</v>
      </c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2"/>
      <c r="R219" s="68"/>
      <c r="S219" s="69"/>
    </row>
    <row r="220" spans="1:19">
      <c r="A220" s="1">
        <v>0</v>
      </c>
      <c r="B220" s="1" t="s">
        <v>232</v>
      </c>
      <c r="C220" s="39">
        <v>48</v>
      </c>
      <c r="D220" s="39">
        <v>7</v>
      </c>
      <c r="E220" s="39">
        <v>6</v>
      </c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2"/>
      <c r="R220" s="68"/>
      <c r="S220" s="69"/>
    </row>
    <row r="221" spans="1:19">
      <c r="A221" s="1">
        <v>0</v>
      </c>
      <c r="B221" s="1" t="s">
        <v>233</v>
      </c>
      <c r="C221" s="39">
        <v>64</v>
      </c>
      <c r="D221" s="39">
        <v>14</v>
      </c>
      <c r="E221" s="39">
        <v>6</v>
      </c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2"/>
      <c r="R221" s="68"/>
      <c r="S221" s="69"/>
    </row>
    <row r="222" spans="1:19">
      <c r="A222" s="1">
        <v>0</v>
      </c>
      <c r="B222" s="1" t="s">
        <v>234</v>
      </c>
      <c r="C222" s="39">
        <v>42</v>
      </c>
      <c r="D222" s="39">
        <v>25</v>
      </c>
      <c r="E222" s="39">
        <v>13</v>
      </c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2"/>
      <c r="R222" s="68"/>
      <c r="S222" s="69"/>
    </row>
    <row r="223" spans="1:19">
      <c r="A223" s="1">
        <v>0</v>
      </c>
      <c r="B223" s="1" t="s">
        <v>235</v>
      </c>
      <c r="C223" s="39">
        <v>42</v>
      </c>
      <c r="D223" s="39">
        <v>19</v>
      </c>
      <c r="E223" s="39">
        <v>8</v>
      </c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2"/>
      <c r="R223" s="68"/>
      <c r="S223" s="69"/>
    </row>
    <row r="224" spans="1:19">
      <c r="A224" s="1">
        <v>0</v>
      </c>
      <c r="B224" s="1" t="s">
        <v>236</v>
      </c>
      <c r="C224" s="39">
        <v>43</v>
      </c>
      <c r="D224" s="39">
        <v>17</v>
      </c>
      <c r="E224" s="39">
        <v>7</v>
      </c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2"/>
      <c r="R224" s="68"/>
      <c r="S224" s="69"/>
    </row>
    <row r="225" spans="1:19">
      <c r="A225" s="1">
        <v>0</v>
      </c>
      <c r="B225" s="1" t="s">
        <v>237</v>
      </c>
      <c r="C225" s="39">
        <v>37</v>
      </c>
      <c r="D225" s="39">
        <v>18</v>
      </c>
      <c r="E225" s="39">
        <v>9</v>
      </c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2"/>
      <c r="R225" s="68"/>
      <c r="S225" s="69"/>
    </row>
    <row r="226" spans="1:19">
      <c r="A226" s="1">
        <v>0</v>
      </c>
      <c r="B226" s="1" t="s">
        <v>238</v>
      </c>
      <c r="C226" s="39">
        <v>30</v>
      </c>
      <c r="D226" s="39">
        <v>30</v>
      </c>
      <c r="E226" s="39">
        <v>16</v>
      </c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2"/>
      <c r="R226" s="69"/>
      <c r="S226" s="69"/>
    </row>
    <row r="227" spans="1:19">
      <c r="A227" s="7">
        <v>0</v>
      </c>
      <c r="B227" s="7" t="s">
        <v>239</v>
      </c>
      <c r="C227" s="63">
        <v>42</v>
      </c>
      <c r="D227" s="63">
        <v>6</v>
      </c>
      <c r="E227" s="63">
        <v>5</v>
      </c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4"/>
      <c r="R227" s="70"/>
      <c r="S227" s="71"/>
    </row>
    <row r="228" spans="1:19">
      <c r="A228" s="1">
        <v>0</v>
      </c>
      <c r="B228" s="1" t="s">
        <v>240</v>
      </c>
      <c r="C228" s="39">
        <v>67</v>
      </c>
      <c r="D228" s="39">
        <v>19</v>
      </c>
      <c r="E228" s="39">
        <v>8</v>
      </c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2"/>
      <c r="R228" s="68"/>
      <c r="S228" s="69"/>
    </row>
    <row r="229" spans="1:19">
      <c r="A229" s="1">
        <v>0</v>
      </c>
      <c r="B229" s="1" t="s">
        <v>241</v>
      </c>
      <c r="C229" s="39">
        <v>51</v>
      </c>
      <c r="D229" s="39">
        <v>8</v>
      </c>
      <c r="E229" s="39">
        <v>5</v>
      </c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2"/>
      <c r="R229" s="68"/>
      <c r="S229" s="69"/>
    </row>
    <row r="230" spans="1:19">
      <c r="A230" s="1">
        <v>0</v>
      </c>
      <c r="B230" s="1" t="s">
        <v>242</v>
      </c>
      <c r="C230" s="39">
        <v>46</v>
      </c>
      <c r="D230" s="39">
        <v>12</v>
      </c>
      <c r="E230" s="39">
        <v>5</v>
      </c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2"/>
      <c r="R230" s="68"/>
      <c r="S230" s="69"/>
    </row>
    <row r="231" spans="1:19">
      <c r="A231" s="1">
        <v>0</v>
      </c>
      <c r="B231" s="1" t="s">
        <v>243</v>
      </c>
      <c r="C231" s="39">
        <v>40</v>
      </c>
      <c r="D231" s="39">
        <v>8</v>
      </c>
      <c r="E231" s="39">
        <v>6</v>
      </c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2"/>
      <c r="R231" s="68"/>
      <c r="S231" s="69"/>
    </row>
    <row r="232" spans="1:19">
      <c r="A232" s="1">
        <v>0</v>
      </c>
      <c r="B232" s="1" t="s">
        <v>244</v>
      </c>
      <c r="C232" s="39">
        <v>49</v>
      </c>
      <c r="D232" s="39">
        <v>9</v>
      </c>
      <c r="E232" s="39">
        <v>5</v>
      </c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2"/>
      <c r="R232" s="68"/>
      <c r="S232" s="69"/>
    </row>
    <row r="233" spans="1:19">
      <c r="A233" s="1">
        <v>0</v>
      </c>
      <c r="B233" s="1" t="s">
        <v>245</v>
      </c>
      <c r="C233" s="39">
        <v>44</v>
      </c>
      <c r="D233" s="39">
        <v>11</v>
      </c>
      <c r="E233" s="39">
        <v>5</v>
      </c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2"/>
      <c r="R233" s="68"/>
      <c r="S233" s="69"/>
    </row>
    <row r="234" spans="1:19">
      <c r="A234" s="1">
        <v>1</v>
      </c>
      <c r="B234" s="1" t="s">
        <v>246</v>
      </c>
      <c r="C234" s="39">
        <v>51</v>
      </c>
      <c r="D234" s="39">
        <v>23</v>
      </c>
      <c r="E234" s="39">
        <v>9</v>
      </c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2"/>
      <c r="R234" s="69"/>
      <c r="S234" s="69"/>
    </row>
    <row r="235" spans="1:19">
      <c r="A235" s="1">
        <v>1</v>
      </c>
      <c r="B235" s="1" t="s">
        <v>247</v>
      </c>
      <c r="C235" s="39">
        <v>46</v>
      </c>
      <c r="D235" s="39">
        <v>34</v>
      </c>
      <c r="E235" s="39">
        <v>13</v>
      </c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2"/>
      <c r="R235" s="69"/>
      <c r="S235" s="69"/>
    </row>
    <row r="236" spans="1:19">
      <c r="A236" s="1">
        <v>1</v>
      </c>
      <c r="B236" s="1" t="s">
        <v>248</v>
      </c>
      <c r="C236" s="39">
        <v>40</v>
      </c>
      <c r="D236" s="39">
        <v>10</v>
      </c>
      <c r="E236" s="39">
        <v>8</v>
      </c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2"/>
      <c r="R236" s="69"/>
      <c r="S236" s="69"/>
    </row>
    <row r="237" spans="1:19">
      <c r="A237" s="1">
        <v>1</v>
      </c>
      <c r="B237" s="1" t="s">
        <v>249</v>
      </c>
      <c r="C237" s="39">
        <v>54</v>
      </c>
      <c r="D237" s="39">
        <v>19</v>
      </c>
      <c r="E237" s="39">
        <v>18</v>
      </c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2"/>
      <c r="R237" s="69"/>
      <c r="S237" s="69"/>
    </row>
    <row r="238" spans="1:19">
      <c r="A238" s="1">
        <v>1</v>
      </c>
      <c r="B238" s="1" t="s">
        <v>250</v>
      </c>
      <c r="C238" s="39">
        <v>54</v>
      </c>
      <c r="D238" s="39">
        <v>21</v>
      </c>
      <c r="E238" s="39">
        <v>15</v>
      </c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2"/>
      <c r="R238" s="69"/>
      <c r="S238" s="69"/>
    </row>
    <row r="239" spans="1:19">
      <c r="A239" s="7">
        <v>1</v>
      </c>
      <c r="B239" s="7" t="s">
        <v>251</v>
      </c>
      <c r="C239" s="63">
        <v>57</v>
      </c>
      <c r="D239" s="63">
        <v>40</v>
      </c>
      <c r="E239" s="63">
        <v>12</v>
      </c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4"/>
      <c r="R239" s="71"/>
      <c r="S239" s="71"/>
    </row>
    <row r="240" spans="1:19">
      <c r="A240" s="7">
        <v>1</v>
      </c>
      <c r="B240" s="7" t="s">
        <v>252</v>
      </c>
      <c r="C240" s="63">
        <v>39</v>
      </c>
      <c r="D240" s="63">
        <v>21</v>
      </c>
      <c r="E240" s="63">
        <v>17</v>
      </c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4"/>
      <c r="R240" s="71"/>
      <c r="S240" s="71"/>
    </row>
    <row r="241" spans="1:19">
      <c r="A241" s="1">
        <v>1</v>
      </c>
      <c r="B241" s="1" t="s">
        <v>253</v>
      </c>
      <c r="C241" s="39">
        <v>42</v>
      </c>
      <c r="D241" s="39">
        <v>29</v>
      </c>
      <c r="E241" s="39">
        <v>15</v>
      </c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2"/>
      <c r="R241" s="69"/>
      <c r="S241" s="69"/>
    </row>
    <row r="242" spans="1:19">
      <c r="A242" s="1">
        <v>1</v>
      </c>
      <c r="B242" s="1" t="s">
        <v>254</v>
      </c>
      <c r="C242" s="39">
        <v>43</v>
      </c>
      <c r="D242" s="39">
        <v>40</v>
      </c>
      <c r="E242" s="39">
        <v>14</v>
      </c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2"/>
      <c r="R242" s="69"/>
      <c r="S242" s="69"/>
    </row>
    <row r="243" spans="1:19">
      <c r="A243" s="1">
        <v>1</v>
      </c>
      <c r="B243" s="1" t="s">
        <v>255</v>
      </c>
      <c r="C243" s="39">
        <v>50</v>
      </c>
      <c r="D243" s="39">
        <v>12</v>
      </c>
      <c r="E243" s="39">
        <v>9</v>
      </c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2"/>
      <c r="R243" s="69"/>
      <c r="S243" s="69"/>
    </row>
    <row r="244" spans="1:19">
      <c r="A244" s="1">
        <v>1</v>
      </c>
      <c r="B244" s="1" t="s">
        <v>256</v>
      </c>
      <c r="C244" s="39">
        <v>36</v>
      </c>
      <c r="D244" s="39">
        <v>21</v>
      </c>
      <c r="E244" s="39">
        <v>10</v>
      </c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2"/>
      <c r="R244" s="69"/>
      <c r="S244" s="69"/>
    </row>
    <row r="245" spans="1:19">
      <c r="A245" s="1">
        <v>1</v>
      </c>
      <c r="B245" s="1" t="s">
        <v>257</v>
      </c>
      <c r="C245" s="39">
        <v>48</v>
      </c>
      <c r="D245" s="39">
        <v>19</v>
      </c>
      <c r="E245" s="39">
        <v>12</v>
      </c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2"/>
      <c r="R245" s="68"/>
      <c r="S245" s="69"/>
    </row>
    <row r="246" spans="1:19">
      <c r="A246" s="1">
        <v>1</v>
      </c>
      <c r="B246" s="1" t="s">
        <v>258</v>
      </c>
      <c r="C246" s="39">
        <v>57</v>
      </c>
      <c r="D246" s="39">
        <v>39</v>
      </c>
      <c r="E246" s="39">
        <v>11</v>
      </c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2"/>
      <c r="R246" s="69"/>
      <c r="S246" s="69"/>
    </row>
    <row r="247" spans="1:19">
      <c r="A247" s="1">
        <v>1</v>
      </c>
      <c r="B247" s="1" t="s">
        <v>259</v>
      </c>
      <c r="C247" s="39">
        <v>40</v>
      </c>
      <c r="D247" s="39">
        <v>14</v>
      </c>
      <c r="E247" s="39">
        <v>11</v>
      </c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2"/>
      <c r="R247" s="69"/>
      <c r="S247" s="69"/>
    </row>
    <row r="248" spans="1:19">
      <c r="A248" s="1">
        <v>1</v>
      </c>
      <c r="B248" s="1" t="s">
        <v>260</v>
      </c>
      <c r="C248" s="39">
        <v>35</v>
      </c>
      <c r="D248" s="39">
        <v>15</v>
      </c>
      <c r="E248" s="39">
        <v>11</v>
      </c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2"/>
      <c r="R248" s="69"/>
      <c r="S248" s="69"/>
    </row>
    <row r="249" spans="1:19">
      <c r="A249" s="1">
        <v>1</v>
      </c>
      <c r="B249" s="1" t="s">
        <v>261</v>
      </c>
      <c r="C249" s="39">
        <v>44</v>
      </c>
      <c r="D249" s="39">
        <v>13</v>
      </c>
      <c r="E249" s="39">
        <v>9</v>
      </c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2"/>
      <c r="R249" s="69"/>
      <c r="S249" s="69"/>
    </row>
    <row r="250" spans="1:19">
      <c r="A250" s="1">
        <v>1</v>
      </c>
      <c r="B250" s="1" t="s">
        <v>262</v>
      </c>
      <c r="C250" s="39">
        <v>28</v>
      </c>
      <c r="D250" s="39">
        <v>12</v>
      </c>
      <c r="E250" s="39">
        <v>7</v>
      </c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2"/>
      <c r="R250" s="69"/>
      <c r="S250" s="69"/>
    </row>
    <row r="251" spans="1:19">
      <c r="A251" s="1">
        <v>1</v>
      </c>
      <c r="B251" s="1" t="s">
        <v>263</v>
      </c>
      <c r="C251" s="39">
        <v>61</v>
      </c>
      <c r="D251" s="61" t="s">
        <v>538</v>
      </c>
      <c r="E251" s="61" t="s">
        <v>538</v>
      </c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2"/>
      <c r="R251" s="68"/>
      <c r="S251" s="69"/>
    </row>
    <row r="252" spans="1:19">
      <c r="A252" s="1">
        <v>1</v>
      </c>
      <c r="B252" s="1" t="s">
        <v>264</v>
      </c>
      <c r="C252" s="39">
        <v>45</v>
      </c>
      <c r="D252" s="39">
        <v>20</v>
      </c>
      <c r="E252" s="39">
        <v>14</v>
      </c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2"/>
      <c r="R252" s="69"/>
      <c r="S252" s="69"/>
    </row>
    <row r="253" spans="1:19">
      <c r="A253" s="1">
        <v>1</v>
      </c>
      <c r="B253" s="1" t="s">
        <v>265</v>
      </c>
      <c r="C253" s="39">
        <v>64</v>
      </c>
      <c r="D253" s="39">
        <v>19</v>
      </c>
      <c r="E253" s="39">
        <v>11</v>
      </c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2"/>
      <c r="R253" s="69"/>
      <c r="S253" s="69"/>
    </row>
    <row r="254" spans="1:19">
      <c r="A254" s="1">
        <v>1</v>
      </c>
      <c r="B254" s="1" t="s">
        <v>266</v>
      </c>
      <c r="C254" s="39">
        <v>39</v>
      </c>
      <c r="D254" s="39">
        <v>28</v>
      </c>
      <c r="E254" s="39">
        <v>14</v>
      </c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2"/>
      <c r="R254" s="68"/>
      <c r="S254" s="69"/>
    </row>
    <row r="255" spans="1:19">
      <c r="A255" s="1">
        <v>1</v>
      </c>
      <c r="B255" s="1" t="s">
        <v>267</v>
      </c>
      <c r="C255" s="39">
        <v>41</v>
      </c>
      <c r="D255" s="39">
        <v>34</v>
      </c>
      <c r="E255" s="39">
        <v>15</v>
      </c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2"/>
      <c r="R255" s="68"/>
      <c r="S255" s="69"/>
    </row>
    <row r="256" spans="1:19">
      <c r="A256" s="1">
        <v>1</v>
      </c>
      <c r="B256" s="1" t="s">
        <v>268</v>
      </c>
      <c r="C256" s="39">
        <v>64</v>
      </c>
      <c r="D256" s="39">
        <v>14</v>
      </c>
      <c r="E256" s="39">
        <v>11</v>
      </c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2"/>
      <c r="R256" s="69"/>
      <c r="S256" s="69"/>
    </row>
    <row r="257" spans="1:19">
      <c r="A257" s="1">
        <v>1</v>
      </c>
      <c r="B257" s="1" t="s">
        <v>269</v>
      </c>
      <c r="C257" s="39">
        <v>37</v>
      </c>
      <c r="D257" s="39">
        <v>23</v>
      </c>
      <c r="E257" s="39">
        <v>11</v>
      </c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2"/>
      <c r="R257" s="69"/>
      <c r="S257" s="69"/>
    </row>
    <row r="258" spans="1:19">
      <c r="A258" s="1">
        <v>1</v>
      </c>
      <c r="B258" s="1" t="s">
        <v>270</v>
      </c>
      <c r="C258" s="39">
        <v>59</v>
      </c>
      <c r="D258" s="39">
        <v>21</v>
      </c>
      <c r="E258" s="39">
        <v>15</v>
      </c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2"/>
      <c r="R258" s="69"/>
      <c r="S258" s="69"/>
    </row>
    <row r="259" spans="1:19">
      <c r="A259" s="1">
        <v>1</v>
      </c>
      <c r="B259" s="1" t="s">
        <v>271</v>
      </c>
      <c r="C259" s="39">
        <v>56</v>
      </c>
      <c r="D259" s="39">
        <v>24</v>
      </c>
      <c r="E259" s="39">
        <v>12</v>
      </c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2"/>
      <c r="R259" s="69"/>
      <c r="S259" s="69"/>
    </row>
    <row r="260" spans="1:19">
      <c r="A260" s="1">
        <v>1</v>
      </c>
      <c r="B260" s="1" t="s">
        <v>272</v>
      </c>
      <c r="C260" s="39">
        <v>54</v>
      </c>
      <c r="D260" s="39">
        <v>17</v>
      </c>
      <c r="E260" s="39">
        <v>12</v>
      </c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2"/>
      <c r="R260" s="69"/>
      <c r="S260" s="69"/>
    </row>
    <row r="261" spans="1:19">
      <c r="A261" s="1">
        <v>1</v>
      </c>
      <c r="B261" s="1" t="s">
        <v>273</v>
      </c>
      <c r="C261" s="61" t="s">
        <v>538</v>
      </c>
      <c r="D261" s="61" t="s">
        <v>538</v>
      </c>
      <c r="E261" s="39" t="s">
        <v>538</v>
      </c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2"/>
      <c r="R261" s="69"/>
      <c r="S261" s="69"/>
    </row>
    <row r="262" spans="1:19">
      <c r="A262" s="1">
        <v>1</v>
      </c>
      <c r="B262" s="1" t="s">
        <v>274</v>
      </c>
      <c r="C262" s="39">
        <v>41</v>
      </c>
      <c r="D262" s="39">
        <v>13</v>
      </c>
      <c r="E262" s="39">
        <v>8</v>
      </c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2"/>
      <c r="R262" s="69"/>
      <c r="S262" s="69"/>
    </row>
    <row r="263" spans="1:19">
      <c r="A263" s="7">
        <v>1</v>
      </c>
      <c r="B263" s="7" t="s">
        <v>275</v>
      </c>
      <c r="C263" s="63">
        <v>47</v>
      </c>
      <c r="D263" s="63">
        <v>16</v>
      </c>
      <c r="E263" s="63">
        <v>15</v>
      </c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4"/>
      <c r="R263" s="70"/>
      <c r="S263" s="71"/>
    </row>
    <row r="264" spans="1:19">
      <c r="A264" s="1">
        <v>1</v>
      </c>
      <c r="B264" s="1" t="s">
        <v>276</v>
      </c>
      <c r="C264" s="39">
        <v>42</v>
      </c>
      <c r="D264" s="39">
        <v>25</v>
      </c>
      <c r="E264" s="39">
        <v>13</v>
      </c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2"/>
      <c r="R264" s="69"/>
      <c r="S264" s="69"/>
    </row>
    <row r="265" spans="1:19">
      <c r="A265" s="1">
        <v>1</v>
      </c>
      <c r="B265" s="1" t="s">
        <v>277</v>
      </c>
      <c r="C265" s="39">
        <v>55</v>
      </c>
      <c r="D265" s="39">
        <v>16</v>
      </c>
      <c r="E265" s="39">
        <v>14</v>
      </c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2"/>
      <c r="R265" s="69"/>
      <c r="S265" s="69"/>
    </row>
    <row r="266" spans="1:19">
      <c r="A266" s="1">
        <v>1</v>
      </c>
      <c r="B266" s="1" t="s">
        <v>278</v>
      </c>
      <c r="C266" s="39">
        <v>46</v>
      </c>
      <c r="D266" s="39">
        <v>9</v>
      </c>
      <c r="E266" s="39">
        <v>4</v>
      </c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2"/>
      <c r="R266" s="69"/>
      <c r="S266" s="69"/>
    </row>
    <row r="267" spans="1:19">
      <c r="A267" s="7">
        <v>1</v>
      </c>
      <c r="B267" s="7" t="s">
        <v>279</v>
      </c>
      <c r="C267" s="63">
        <v>49</v>
      </c>
      <c r="D267" s="63">
        <v>14</v>
      </c>
      <c r="E267" s="63">
        <v>11</v>
      </c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4"/>
      <c r="R267" s="71"/>
      <c r="S267" s="71"/>
    </row>
    <row r="268" spans="1:19">
      <c r="A268" s="1">
        <v>1</v>
      </c>
      <c r="B268" s="1" t="s">
        <v>280</v>
      </c>
      <c r="C268" s="39">
        <v>53</v>
      </c>
      <c r="D268" s="39">
        <v>28</v>
      </c>
      <c r="E268" s="39">
        <v>15</v>
      </c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2"/>
      <c r="R268" s="69"/>
      <c r="S268" s="69"/>
    </row>
    <row r="269" spans="1:19">
      <c r="A269" s="1">
        <v>1</v>
      </c>
      <c r="B269" s="1" t="s">
        <v>281</v>
      </c>
      <c r="C269" s="39">
        <v>48</v>
      </c>
      <c r="D269" s="39">
        <v>28</v>
      </c>
      <c r="E269" s="39">
        <v>12</v>
      </c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2"/>
      <c r="R269" s="69"/>
      <c r="S269" s="69"/>
    </row>
    <row r="270" spans="1:19">
      <c r="A270" s="1">
        <v>1</v>
      </c>
      <c r="B270" s="1" t="s">
        <v>282</v>
      </c>
      <c r="C270" s="39">
        <v>50</v>
      </c>
      <c r="D270" s="39">
        <v>18</v>
      </c>
      <c r="E270" s="39">
        <v>8</v>
      </c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2"/>
      <c r="R270" s="69"/>
      <c r="S270" s="69"/>
    </row>
    <row r="271" spans="1:19">
      <c r="A271" s="1">
        <v>1</v>
      </c>
      <c r="B271" s="1" t="s">
        <v>283</v>
      </c>
      <c r="C271" s="39">
        <v>28</v>
      </c>
      <c r="D271" s="39">
        <v>12</v>
      </c>
      <c r="E271" s="39">
        <v>7</v>
      </c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2"/>
      <c r="R271" s="69"/>
      <c r="S271" s="69"/>
    </row>
    <row r="272" spans="1:19">
      <c r="A272" s="1">
        <v>1</v>
      </c>
      <c r="B272" s="1" t="s">
        <v>284</v>
      </c>
      <c r="C272" s="39">
        <v>51</v>
      </c>
      <c r="D272" s="39">
        <v>26</v>
      </c>
      <c r="E272" s="39">
        <v>13</v>
      </c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2"/>
      <c r="R272" s="69"/>
      <c r="S272" s="69"/>
    </row>
    <row r="273" spans="1:19">
      <c r="A273" s="1">
        <v>1</v>
      </c>
      <c r="B273" s="1" t="s">
        <v>285</v>
      </c>
      <c r="C273" s="39">
        <v>36</v>
      </c>
      <c r="D273" s="39">
        <v>35</v>
      </c>
      <c r="E273" s="39">
        <v>22</v>
      </c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2"/>
      <c r="R273" s="69"/>
      <c r="S273" s="69"/>
    </row>
    <row r="274" spans="1:19">
      <c r="A274" s="7">
        <v>1</v>
      </c>
      <c r="B274" s="7" t="s">
        <v>286</v>
      </c>
      <c r="C274" s="63">
        <v>46</v>
      </c>
      <c r="D274" s="63">
        <v>72</v>
      </c>
      <c r="E274" s="63">
        <v>25</v>
      </c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4"/>
      <c r="R274" s="71"/>
      <c r="S274" s="71"/>
    </row>
    <row r="275" spans="1:19">
      <c r="A275" s="1">
        <v>1</v>
      </c>
      <c r="B275" s="5" t="s">
        <v>287</v>
      </c>
      <c r="C275" s="39">
        <v>65</v>
      </c>
      <c r="D275" s="39">
        <v>28</v>
      </c>
      <c r="E275" s="39">
        <v>11</v>
      </c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62"/>
      <c r="R275" s="69"/>
      <c r="S275" s="69"/>
    </row>
    <row r="276" spans="1:19">
      <c r="A276" s="1">
        <v>1</v>
      </c>
      <c r="B276" s="1" t="s">
        <v>288</v>
      </c>
      <c r="C276" s="39">
        <v>52</v>
      </c>
      <c r="D276" s="39">
        <v>11</v>
      </c>
      <c r="E276" s="39">
        <v>5</v>
      </c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2"/>
      <c r="R276" s="68"/>
      <c r="S276" s="69"/>
    </row>
    <row r="277" spans="1:19">
      <c r="A277" s="1">
        <v>1</v>
      </c>
      <c r="B277" s="1" t="s">
        <v>289</v>
      </c>
      <c r="C277" s="39">
        <v>46</v>
      </c>
      <c r="D277" s="39">
        <v>11</v>
      </c>
      <c r="E277" s="39">
        <v>8</v>
      </c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2"/>
      <c r="R277" s="69"/>
      <c r="S277" s="69"/>
    </row>
    <row r="278" spans="1:19">
      <c r="A278" s="1">
        <v>1</v>
      </c>
      <c r="B278" s="1" t="s">
        <v>290</v>
      </c>
      <c r="C278" s="39">
        <v>54</v>
      </c>
      <c r="D278" s="39">
        <v>23</v>
      </c>
      <c r="E278" s="39">
        <v>10</v>
      </c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2"/>
      <c r="R278" s="69"/>
      <c r="S278" s="69"/>
    </row>
    <row r="279" spans="1:19"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2"/>
      <c r="R279" s="68"/>
      <c r="S279" s="69"/>
    </row>
    <row r="280" spans="1:19">
      <c r="A280" s="1" t="s">
        <v>291</v>
      </c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2"/>
      <c r="R280" s="68"/>
      <c r="S280" s="69"/>
    </row>
    <row r="281" spans="1:19">
      <c r="A281" s="1">
        <v>0</v>
      </c>
      <c r="B281" s="1" t="s">
        <v>292</v>
      </c>
      <c r="C281" s="39">
        <v>32</v>
      </c>
      <c r="D281" s="39">
        <v>24</v>
      </c>
      <c r="E281" s="39">
        <v>16</v>
      </c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2"/>
      <c r="R281" s="68"/>
      <c r="S281" s="69"/>
    </row>
    <row r="282" spans="1:19">
      <c r="A282" s="1">
        <v>0</v>
      </c>
      <c r="B282" s="1" t="s">
        <v>293</v>
      </c>
      <c r="C282" s="39">
        <v>39</v>
      </c>
      <c r="D282" s="39">
        <v>5</v>
      </c>
      <c r="E282" s="39">
        <v>3</v>
      </c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2"/>
      <c r="R282" s="68"/>
      <c r="S282" s="69"/>
    </row>
    <row r="283" spans="1:19">
      <c r="A283" s="1">
        <v>0</v>
      </c>
      <c r="B283" s="1" t="s">
        <v>294</v>
      </c>
      <c r="C283" s="39">
        <v>54</v>
      </c>
      <c r="D283" s="39">
        <v>5</v>
      </c>
      <c r="E283" s="39">
        <v>2</v>
      </c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2"/>
      <c r="R283" s="68"/>
      <c r="S283" s="69"/>
    </row>
    <row r="284" spans="1:19">
      <c r="A284" s="1">
        <v>0</v>
      </c>
      <c r="B284" s="1" t="s">
        <v>295</v>
      </c>
      <c r="C284" s="39">
        <v>45</v>
      </c>
      <c r="D284" s="39">
        <v>8</v>
      </c>
      <c r="E284" s="39">
        <v>5</v>
      </c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2"/>
      <c r="R284" s="68"/>
      <c r="S284" s="69"/>
    </row>
    <row r="285" spans="1:19">
      <c r="A285" s="1">
        <v>0</v>
      </c>
      <c r="B285" s="1" t="s">
        <v>296</v>
      </c>
      <c r="C285" s="39">
        <v>49</v>
      </c>
      <c r="D285" s="39">
        <v>13</v>
      </c>
      <c r="E285" s="39">
        <v>5</v>
      </c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2"/>
      <c r="R285" s="68"/>
      <c r="S285" s="69"/>
    </row>
    <row r="286" spans="1:19">
      <c r="A286" s="1">
        <v>0</v>
      </c>
      <c r="B286" s="1" t="s">
        <v>297</v>
      </c>
      <c r="C286" s="39">
        <v>41</v>
      </c>
      <c r="D286" s="39">
        <v>22</v>
      </c>
      <c r="E286" s="39">
        <v>14</v>
      </c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2"/>
      <c r="R286" s="68"/>
      <c r="S286" s="69"/>
    </row>
    <row r="287" spans="1:19">
      <c r="A287" s="1">
        <v>0</v>
      </c>
      <c r="B287" s="1" t="s">
        <v>298</v>
      </c>
      <c r="C287" s="39">
        <v>38</v>
      </c>
      <c r="D287" s="39">
        <v>13</v>
      </c>
      <c r="E287" s="39">
        <v>9</v>
      </c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2"/>
      <c r="R287" s="68"/>
      <c r="S287" s="69"/>
    </row>
    <row r="288" spans="1:19">
      <c r="A288" s="1">
        <v>0</v>
      </c>
      <c r="B288" s="1" t="s">
        <v>299</v>
      </c>
      <c r="C288" s="39">
        <v>32</v>
      </c>
      <c r="D288" s="39">
        <v>15</v>
      </c>
      <c r="E288" s="39">
        <v>9</v>
      </c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2"/>
      <c r="R288" s="68"/>
      <c r="S288" s="69"/>
    </row>
    <row r="289" spans="1:19">
      <c r="A289" s="1">
        <v>0</v>
      </c>
      <c r="B289" s="1" t="s">
        <v>300</v>
      </c>
      <c r="C289" s="39">
        <v>51</v>
      </c>
      <c r="D289" s="39">
        <v>12</v>
      </c>
      <c r="E289" s="39">
        <v>5</v>
      </c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2"/>
      <c r="R289" s="68"/>
      <c r="S289" s="69"/>
    </row>
    <row r="290" spans="1:19">
      <c r="A290" s="1">
        <v>0</v>
      </c>
      <c r="B290" s="1" t="s">
        <v>301</v>
      </c>
      <c r="C290" s="39">
        <v>69</v>
      </c>
      <c r="D290" s="39">
        <v>11</v>
      </c>
      <c r="E290" s="39">
        <v>11</v>
      </c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2"/>
      <c r="R290" s="68"/>
      <c r="S290" s="69"/>
    </row>
    <row r="291" spans="1:19">
      <c r="A291" s="1">
        <v>0</v>
      </c>
      <c r="B291" s="1" t="s">
        <v>302</v>
      </c>
      <c r="C291" s="39">
        <v>36</v>
      </c>
      <c r="D291" s="39">
        <v>16</v>
      </c>
      <c r="E291" s="39">
        <v>8</v>
      </c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2"/>
      <c r="R291" s="68"/>
      <c r="S291" s="69"/>
    </row>
    <row r="292" spans="1:19">
      <c r="A292" s="7">
        <v>0</v>
      </c>
      <c r="B292" s="7" t="s">
        <v>303</v>
      </c>
      <c r="C292" s="63">
        <v>45</v>
      </c>
      <c r="D292" s="63">
        <v>9</v>
      </c>
      <c r="E292" s="63">
        <v>6</v>
      </c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4"/>
      <c r="R292" s="71"/>
      <c r="S292" s="71"/>
    </row>
    <row r="293" spans="1:19">
      <c r="A293" s="1">
        <v>0</v>
      </c>
      <c r="B293" s="1" t="s">
        <v>304</v>
      </c>
      <c r="C293" s="39">
        <v>47</v>
      </c>
      <c r="D293" s="39">
        <v>10</v>
      </c>
      <c r="E293" s="39">
        <v>5</v>
      </c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2"/>
      <c r="R293" s="68"/>
      <c r="S293" s="69"/>
    </row>
    <row r="294" spans="1:19">
      <c r="A294" s="1">
        <v>0</v>
      </c>
      <c r="B294" s="1" t="s">
        <v>305</v>
      </c>
      <c r="C294" s="39">
        <v>55</v>
      </c>
      <c r="D294" s="39">
        <v>13</v>
      </c>
      <c r="E294" s="39">
        <v>8</v>
      </c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2"/>
      <c r="R294" s="68"/>
      <c r="S294" s="69"/>
    </row>
    <row r="295" spans="1:19">
      <c r="A295" s="1">
        <v>0</v>
      </c>
      <c r="B295" s="1" t="s">
        <v>306</v>
      </c>
      <c r="C295" s="39">
        <v>43</v>
      </c>
      <c r="D295" s="39">
        <v>9</v>
      </c>
      <c r="E295" s="39">
        <v>5</v>
      </c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2"/>
      <c r="R295" s="68"/>
      <c r="S295" s="69"/>
    </row>
    <row r="296" spans="1:19">
      <c r="A296" s="1">
        <v>0</v>
      </c>
      <c r="B296" s="1" t="s">
        <v>307</v>
      </c>
      <c r="C296" s="39">
        <v>34</v>
      </c>
      <c r="D296" s="39">
        <v>15</v>
      </c>
      <c r="E296" s="39">
        <v>10</v>
      </c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2"/>
      <c r="R296" s="68"/>
      <c r="S296" s="69"/>
    </row>
    <row r="297" spans="1:19">
      <c r="A297" s="1">
        <v>0</v>
      </c>
      <c r="B297" s="5" t="s">
        <v>308</v>
      </c>
      <c r="C297" s="39">
        <v>35</v>
      </c>
      <c r="D297" s="39">
        <v>14</v>
      </c>
      <c r="E297" s="39">
        <v>5</v>
      </c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62"/>
      <c r="R297" s="68"/>
      <c r="S297" s="69"/>
    </row>
    <row r="298" spans="1:19">
      <c r="A298" s="7">
        <v>0</v>
      </c>
      <c r="B298" s="7" t="s">
        <v>309</v>
      </c>
      <c r="C298" s="63">
        <v>70</v>
      </c>
      <c r="D298" s="63">
        <v>23</v>
      </c>
      <c r="E298" s="63">
        <v>7</v>
      </c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4"/>
      <c r="R298" s="71"/>
      <c r="S298" s="71"/>
    </row>
    <row r="299" spans="1:19">
      <c r="A299" s="1">
        <v>0</v>
      </c>
      <c r="B299" s="1" t="s">
        <v>310</v>
      </c>
      <c r="C299" s="39">
        <v>44</v>
      </c>
      <c r="D299" s="39">
        <v>7</v>
      </c>
      <c r="E299" s="39">
        <v>5</v>
      </c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2"/>
      <c r="R299" s="68"/>
      <c r="S299" s="69"/>
    </row>
    <row r="300" spans="1:19">
      <c r="A300" s="1">
        <v>0</v>
      </c>
      <c r="B300" s="1" t="s">
        <v>311</v>
      </c>
      <c r="C300" s="39">
        <v>44</v>
      </c>
      <c r="D300" s="39">
        <v>13</v>
      </c>
      <c r="E300" s="39">
        <v>4</v>
      </c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2"/>
      <c r="R300" s="68"/>
      <c r="S300" s="69"/>
    </row>
    <row r="301" spans="1:19">
      <c r="A301" s="1">
        <v>0</v>
      </c>
      <c r="B301" s="1" t="s">
        <v>312</v>
      </c>
      <c r="C301" s="39">
        <v>54</v>
      </c>
      <c r="D301" s="61" t="s">
        <v>538</v>
      </c>
      <c r="E301" s="61" t="s">
        <v>538</v>
      </c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2"/>
      <c r="R301" s="68"/>
      <c r="S301" s="69"/>
    </row>
    <row r="302" spans="1:19">
      <c r="A302" s="1">
        <v>0</v>
      </c>
      <c r="B302" s="1" t="s">
        <v>313</v>
      </c>
      <c r="C302" s="39">
        <v>48</v>
      </c>
      <c r="D302" s="39">
        <v>6</v>
      </c>
      <c r="E302" s="39">
        <v>3</v>
      </c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2"/>
      <c r="R302" s="68"/>
      <c r="S302" s="69"/>
    </row>
    <row r="303" spans="1:19">
      <c r="A303" s="1">
        <v>0</v>
      </c>
      <c r="B303" s="1" t="s">
        <v>314</v>
      </c>
      <c r="C303" s="39">
        <v>50</v>
      </c>
      <c r="D303" s="61" t="s">
        <v>538</v>
      </c>
      <c r="E303" s="61" t="s">
        <v>538</v>
      </c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2"/>
      <c r="R303" s="68"/>
      <c r="S303" s="69"/>
    </row>
    <row r="304" spans="1:19">
      <c r="A304" s="1">
        <v>0</v>
      </c>
      <c r="B304" s="1" t="s">
        <v>315</v>
      </c>
      <c r="C304" s="39">
        <v>48</v>
      </c>
      <c r="D304" s="39">
        <v>10</v>
      </c>
      <c r="E304" s="39">
        <v>2</v>
      </c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2"/>
      <c r="R304" s="68"/>
      <c r="S304" s="69"/>
    </row>
    <row r="305" spans="1:19">
      <c r="A305" s="1">
        <v>0</v>
      </c>
      <c r="B305" s="1" t="s">
        <v>316</v>
      </c>
      <c r="C305" s="39">
        <v>49</v>
      </c>
      <c r="D305" s="39">
        <v>25</v>
      </c>
      <c r="E305" s="39">
        <v>9</v>
      </c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2"/>
      <c r="R305" s="68"/>
      <c r="S305" s="69"/>
    </row>
    <row r="306" spans="1:19">
      <c r="A306" s="1">
        <v>0</v>
      </c>
      <c r="B306" s="1" t="s">
        <v>317</v>
      </c>
      <c r="C306" s="39">
        <v>51</v>
      </c>
      <c r="D306" s="39">
        <v>15</v>
      </c>
      <c r="E306" s="39">
        <v>10</v>
      </c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2"/>
      <c r="R306" s="69"/>
      <c r="S306" s="69"/>
    </row>
    <row r="307" spans="1:19">
      <c r="A307" s="1">
        <v>0</v>
      </c>
      <c r="B307" s="1" t="s">
        <v>318</v>
      </c>
      <c r="C307" s="39">
        <v>54</v>
      </c>
      <c r="D307" s="39">
        <v>16</v>
      </c>
      <c r="E307" s="39">
        <v>14</v>
      </c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2"/>
      <c r="R307" s="69"/>
      <c r="S307" s="69"/>
    </row>
    <row r="308" spans="1:19">
      <c r="A308" s="1">
        <v>0</v>
      </c>
      <c r="B308" s="1" t="s">
        <v>319</v>
      </c>
      <c r="C308" s="39">
        <v>45</v>
      </c>
      <c r="D308" s="39">
        <v>23</v>
      </c>
      <c r="E308" s="39">
        <v>10</v>
      </c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2"/>
      <c r="R308" s="68"/>
      <c r="S308" s="69"/>
    </row>
    <row r="309" spans="1:19">
      <c r="A309" s="7">
        <v>0</v>
      </c>
      <c r="B309" s="7" t="s">
        <v>320</v>
      </c>
      <c r="C309" s="63">
        <v>50</v>
      </c>
      <c r="D309" s="63">
        <v>6</v>
      </c>
      <c r="E309" s="63">
        <v>4</v>
      </c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4"/>
      <c r="R309" s="71"/>
      <c r="S309" s="71"/>
    </row>
    <row r="310" spans="1:19">
      <c r="A310" s="1">
        <v>0</v>
      </c>
      <c r="B310" s="1" t="s">
        <v>321</v>
      </c>
      <c r="C310" s="39">
        <v>53</v>
      </c>
      <c r="D310" s="39">
        <v>12</v>
      </c>
      <c r="E310" s="39">
        <v>4</v>
      </c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2"/>
      <c r="R310" s="68"/>
      <c r="S310" s="69"/>
    </row>
    <row r="311" spans="1:19">
      <c r="A311" s="1">
        <v>0</v>
      </c>
      <c r="B311" s="1" t="s">
        <v>322</v>
      </c>
      <c r="C311" s="39">
        <v>47</v>
      </c>
      <c r="D311" s="39">
        <v>13</v>
      </c>
      <c r="E311" s="39">
        <v>9</v>
      </c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2"/>
      <c r="R311" s="68"/>
      <c r="S311" s="69"/>
    </row>
    <row r="312" spans="1:19">
      <c r="A312" s="1">
        <v>0</v>
      </c>
      <c r="B312" s="1" t="s">
        <v>323</v>
      </c>
      <c r="C312" s="39">
        <v>61</v>
      </c>
      <c r="D312" s="39">
        <v>15</v>
      </c>
      <c r="E312" s="39">
        <v>8</v>
      </c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2"/>
      <c r="R312" s="68"/>
      <c r="S312" s="69"/>
    </row>
    <row r="313" spans="1:19">
      <c r="A313" s="1">
        <v>0</v>
      </c>
      <c r="B313" s="1" t="s">
        <v>324</v>
      </c>
      <c r="C313" s="39">
        <v>34</v>
      </c>
      <c r="D313" s="39">
        <v>9</v>
      </c>
      <c r="E313" s="39">
        <v>8</v>
      </c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2"/>
      <c r="R313" s="68"/>
      <c r="S313" s="69"/>
    </row>
    <row r="314" spans="1:19">
      <c r="A314" s="1">
        <v>0</v>
      </c>
      <c r="B314" s="1" t="s">
        <v>325</v>
      </c>
      <c r="C314" s="39">
        <v>43</v>
      </c>
      <c r="D314" s="39">
        <v>13</v>
      </c>
      <c r="E314" s="39">
        <v>12</v>
      </c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2"/>
      <c r="R314" s="68"/>
      <c r="S314" s="69"/>
    </row>
    <row r="315" spans="1:19">
      <c r="A315" s="1">
        <v>0</v>
      </c>
      <c r="B315" s="1" t="s">
        <v>326</v>
      </c>
      <c r="C315" s="39">
        <v>44</v>
      </c>
      <c r="D315" s="39">
        <v>8</v>
      </c>
      <c r="E315" s="39">
        <v>4</v>
      </c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2"/>
      <c r="R315" s="68"/>
      <c r="S315" s="69"/>
    </row>
    <row r="316" spans="1:19">
      <c r="A316" s="1">
        <v>0</v>
      </c>
      <c r="B316" s="1" t="s">
        <v>327</v>
      </c>
      <c r="C316" s="39">
        <v>35</v>
      </c>
      <c r="D316" s="39">
        <v>25</v>
      </c>
      <c r="E316" s="39">
        <v>15</v>
      </c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2"/>
      <c r="R316" s="68"/>
      <c r="S316" s="69"/>
    </row>
    <row r="317" spans="1:19">
      <c r="A317" s="1">
        <v>0</v>
      </c>
      <c r="B317" s="1" t="s">
        <v>328</v>
      </c>
      <c r="C317" s="39">
        <v>44</v>
      </c>
      <c r="D317" s="39">
        <v>9</v>
      </c>
      <c r="E317" s="39">
        <v>5</v>
      </c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2"/>
      <c r="R317" s="68"/>
      <c r="S317" s="69"/>
    </row>
    <row r="318" spans="1:19">
      <c r="A318" s="1">
        <v>0</v>
      </c>
      <c r="B318" s="1" t="s">
        <v>329</v>
      </c>
      <c r="C318" s="39">
        <v>42</v>
      </c>
      <c r="D318" s="39">
        <v>11</v>
      </c>
      <c r="E318" s="39">
        <v>5</v>
      </c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2"/>
      <c r="R318" s="68"/>
      <c r="S318" s="69"/>
    </row>
    <row r="319" spans="1:19">
      <c r="A319" s="1">
        <v>0</v>
      </c>
      <c r="B319" s="5" t="s">
        <v>330</v>
      </c>
      <c r="C319" s="39">
        <v>39</v>
      </c>
      <c r="D319" s="39">
        <v>4</v>
      </c>
      <c r="E319" s="39">
        <v>2</v>
      </c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62"/>
      <c r="R319" s="68"/>
      <c r="S319" s="69"/>
    </row>
    <row r="320" spans="1:19">
      <c r="A320" s="1">
        <v>0</v>
      </c>
      <c r="B320" s="1" t="s">
        <v>331</v>
      </c>
      <c r="C320" s="39">
        <v>45</v>
      </c>
      <c r="D320" s="39">
        <v>10</v>
      </c>
      <c r="E320" s="39">
        <v>5</v>
      </c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2"/>
      <c r="R320" s="68"/>
      <c r="S320" s="69"/>
    </row>
    <row r="321" spans="1:19">
      <c r="A321" s="1">
        <v>0</v>
      </c>
      <c r="B321" s="1" t="s">
        <v>332</v>
      </c>
      <c r="C321" s="39">
        <v>42</v>
      </c>
      <c r="D321" s="39">
        <v>18</v>
      </c>
      <c r="E321" s="39">
        <v>8</v>
      </c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2"/>
      <c r="R321" s="68"/>
      <c r="S321" s="69"/>
    </row>
    <row r="322" spans="1:19">
      <c r="A322" s="1">
        <v>0</v>
      </c>
      <c r="B322" s="1" t="s">
        <v>333</v>
      </c>
      <c r="C322" s="39">
        <v>59</v>
      </c>
      <c r="D322" s="39">
        <v>8</v>
      </c>
      <c r="E322" s="39">
        <v>5</v>
      </c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2"/>
      <c r="R322" s="68"/>
      <c r="S322" s="69"/>
    </row>
    <row r="323" spans="1:19">
      <c r="A323" s="1">
        <v>0</v>
      </c>
      <c r="B323" s="1" t="s">
        <v>334</v>
      </c>
      <c r="C323" s="39">
        <v>42</v>
      </c>
      <c r="D323" s="39">
        <v>7</v>
      </c>
      <c r="E323" s="39">
        <v>4</v>
      </c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2"/>
      <c r="R323" s="68"/>
      <c r="S323" s="69"/>
    </row>
    <row r="324" spans="1:19">
      <c r="A324" s="1">
        <v>1</v>
      </c>
      <c r="B324" s="1" t="s">
        <v>335</v>
      </c>
      <c r="C324" s="39">
        <v>35</v>
      </c>
      <c r="D324" s="39">
        <v>20</v>
      </c>
      <c r="E324" s="39">
        <v>13</v>
      </c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2"/>
      <c r="R324" s="69"/>
      <c r="S324" s="69"/>
    </row>
    <row r="325" spans="1:19">
      <c r="A325" s="1">
        <v>1</v>
      </c>
      <c r="B325" s="1" t="s">
        <v>336</v>
      </c>
      <c r="C325" s="39">
        <v>33</v>
      </c>
      <c r="D325" s="39">
        <v>16</v>
      </c>
      <c r="E325" s="39">
        <v>9</v>
      </c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2"/>
      <c r="R325" s="68"/>
      <c r="S325" s="69"/>
    </row>
    <row r="326" spans="1:19">
      <c r="A326" s="1">
        <v>1</v>
      </c>
      <c r="B326" s="1" t="s">
        <v>337</v>
      </c>
      <c r="C326" s="39">
        <v>51</v>
      </c>
      <c r="D326" s="39">
        <v>27</v>
      </c>
      <c r="E326" s="39">
        <v>16</v>
      </c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2"/>
      <c r="R326" s="69"/>
      <c r="S326" s="69"/>
    </row>
    <row r="327" spans="1:19">
      <c r="A327" s="1">
        <v>1</v>
      </c>
      <c r="B327" s="1" t="s">
        <v>338</v>
      </c>
      <c r="C327" s="39">
        <v>53</v>
      </c>
      <c r="D327" s="39">
        <v>19</v>
      </c>
      <c r="E327" s="39">
        <v>16</v>
      </c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2"/>
      <c r="R327" s="69"/>
      <c r="S327" s="69"/>
    </row>
    <row r="328" spans="1:19">
      <c r="A328" s="1">
        <v>1</v>
      </c>
      <c r="B328" s="1" t="s">
        <v>339</v>
      </c>
      <c r="C328" s="61" t="s">
        <v>538</v>
      </c>
      <c r="D328" s="61" t="s">
        <v>538</v>
      </c>
      <c r="E328" s="39" t="s">
        <v>538</v>
      </c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2"/>
      <c r="R328" s="69"/>
      <c r="S328" s="69"/>
    </row>
    <row r="329" spans="1:19">
      <c r="A329" s="1">
        <v>1</v>
      </c>
      <c r="B329" s="1" t="s">
        <v>340</v>
      </c>
      <c r="C329" s="39">
        <v>43</v>
      </c>
      <c r="D329" s="39">
        <v>12</v>
      </c>
      <c r="E329" s="39">
        <v>11</v>
      </c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2"/>
      <c r="R329" s="69"/>
      <c r="S329" s="69"/>
    </row>
    <row r="330" spans="1:19">
      <c r="A330" s="7">
        <v>1</v>
      </c>
      <c r="B330" s="7" t="s">
        <v>341</v>
      </c>
      <c r="C330" s="63">
        <v>43</v>
      </c>
      <c r="D330" s="63">
        <v>8</v>
      </c>
      <c r="E330" s="63">
        <v>7</v>
      </c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4"/>
      <c r="R330" s="71"/>
      <c r="S330" s="71"/>
    </row>
    <row r="331" spans="1:19">
      <c r="A331" s="1">
        <v>1</v>
      </c>
      <c r="B331" s="1" t="s">
        <v>342</v>
      </c>
      <c r="C331" s="39">
        <v>45</v>
      </c>
      <c r="D331" s="39">
        <v>38</v>
      </c>
      <c r="E331" s="39">
        <v>16</v>
      </c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2"/>
      <c r="R331" s="69"/>
      <c r="S331" s="69"/>
    </row>
    <row r="332" spans="1:19">
      <c r="A332" s="1">
        <v>1</v>
      </c>
      <c r="B332" s="1" t="s">
        <v>343</v>
      </c>
      <c r="C332" s="39">
        <v>42</v>
      </c>
      <c r="D332" s="39">
        <v>12</v>
      </c>
      <c r="E332" s="39">
        <v>8</v>
      </c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2"/>
      <c r="R332" s="69"/>
      <c r="S332" s="69"/>
    </row>
    <row r="333" spans="1:19">
      <c r="A333" s="1">
        <v>1</v>
      </c>
      <c r="B333" s="1" t="s">
        <v>344</v>
      </c>
      <c r="C333" s="39">
        <v>39</v>
      </c>
      <c r="D333" s="39">
        <v>14</v>
      </c>
      <c r="E333" s="39">
        <v>9</v>
      </c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2"/>
      <c r="R333" s="69"/>
      <c r="S333" s="69"/>
    </row>
    <row r="334" spans="1:19">
      <c r="A334" s="7">
        <v>1</v>
      </c>
      <c r="B334" s="7" t="s">
        <v>345</v>
      </c>
      <c r="C334" s="63">
        <v>48</v>
      </c>
      <c r="D334" s="63">
        <v>24</v>
      </c>
      <c r="E334" s="63">
        <v>9</v>
      </c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4"/>
      <c r="R334" s="71"/>
      <c r="S334" s="71"/>
    </row>
    <row r="335" spans="1:19">
      <c r="A335" s="1">
        <v>1</v>
      </c>
      <c r="B335" s="1" t="s">
        <v>346</v>
      </c>
      <c r="C335" s="39">
        <v>49</v>
      </c>
      <c r="D335" s="39">
        <v>27</v>
      </c>
      <c r="E335" s="39">
        <v>17</v>
      </c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2"/>
      <c r="R335" s="69"/>
      <c r="S335" s="69"/>
    </row>
    <row r="336" spans="1:19">
      <c r="A336" s="1">
        <v>1</v>
      </c>
      <c r="B336" s="1" t="s">
        <v>347</v>
      </c>
      <c r="C336" s="39">
        <v>45</v>
      </c>
      <c r="D336" s="39">
        <v>30</v>
      </c>
      <c r="E336" s="39">
        <v>21</v>
      </c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2"/>
      <c r="R336" s="69"/>
      <c r="S336" s="69"/>
    </row>
    <row r="337" spans="1:19">
      <c r="A337" s="1">
        <v>1</v>
      </c>
      <c r="B337" s="1" t="s">
        <v>348</v>
      </c>
      <c r="C337" s="39">
        <v>51</v>
      </c>
      <c r="D337" s="39">
        <v>35</v>
      </c>
      <c r="E337" s="39">
        <v>19</v>
      </c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2"/>
      <c r="R337" s="69"/>
      <c r="S337" s="69"/>
    </row>
    <row r="338" spans="1:19">
      <c r="A338" s="1">
        <v>1</v>
      </c>
      <c r="B338" s="1" t="s">
        <v>349</v>
      </c>
      <c r="C338" s="39">
        <v>40</v>
      </c>
      <c r="D338" s="39">
        <v>19</v>
      </c>
      <c r="E338" s="39">
        <v>13</v>
      </c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2"/>
      <c r="R338" s="68"/>
      <c r="S338" s="69"/>
    </row>
    <row r="339" spans="1:19">
      <c r="A339" s="1">
        <v>1</v>
      </c>
      <c r="B339" s="1" t="s">
        <v>350</v>
      </c>
      <c r="C339" s="39">
        <v>52</v>
      </c>
      <c r="D339" s="39">
        <v>15</v>
      </c>
      <c r="E339" s="39">
        <v>8</v>
      </c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2"/>
      <c r="R339" s="68"/>
      <c r="S339" s="69"/>
    </row>
    <row r="340" spans="1:19">
      <c r="A340" s="1">
        <v>1</v>
      </c>
      <c r="B340" s="1" t="s">
        <v>351</v>
      </c>
      <c r="C340" s="61">
        <v>28</v>
      </c>
      <c r="D340" s="61">
        <v>15</v>
      </c>
      <c r="E340" s="39">
        <v>9</v>
      </c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2"/>
      <c r="R340" s="69"/>
      <c r="S340" s="69"/>
    </row>
    <row r="341" spans="1:19">
      <c r="A341" s="1">
        <v>1</v>
      </c>
      <c r="B341" s="5" t="s">
        <v>352</v>
      </c>
      <c r="C341" s="39">
        <v>49</v>
      </c>
      <c r="D341" s="39">
        <v>37</v>
      </c>
      <c r="E341" s="39">
        <v>17</v>
      </c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62"/>
      <c r="R341" s="68"/>
      <c r="S341" s="69"/>
    </row>
    <row r="342" spans="1:19">
      <c r="A342" s="7">
        <v>1</v>
      </c>
      <c r="B342" s="7" t="s">
        <v>353</v>
      </c>
      <c r="C342" s="63">
        <v>38</v>
      </c>
      <c r="D342" s="63">
        <v>15</v>
      </c>
      <c r="E342" s="63">
        <v>7</v>
      </c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4"/>
      <c r="R342" s="71"/>
      <c r="S342" s="71"/>
    </row>
    <row r="343" spans="1:19">
      <c r="A343" s="1">
        <v>1</v>
      </c>
      <c r="B343" s="1" t="s">
        <v>354</v>
      </c>
      <c r="C343" s="39">
        <v>82</v>
      </c>
      <c r="D343" s="39">
        <v>30</v>
      </c>
      <c r="E343" s="39">
        <v>16</v>
      </c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2"/>
      <c r="R343" s="69"/>
      <c r="S343" s="69"/>
    </row>
    <row r="344" spans="1:19">
      <c r="A344" s="1">
        <v>1</v>
      </c>
      <c r="B344" s="1" t="s">
        <v>355</v>
      </c>
      <c r="C344" s="39">
        <v>60</v>
      </c>
      <c r="D344" s="39">
        <v>16</v>
      </c>
      <c r="E344" s="39">
        <v>15</v>
      </c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2"/>
      <c r="R344" s="69"/>
      <c r="S344" s="69"/>
    </row>
    <row r="345" spans="1:19">
      <c r="A345" s="1">
        <v>1</v>
      </c>
      <c r="B345" s="1" t="s">
        <v>356</v>
      </c>
      <c r="C345" s="39">
        <v>62</v>
      </c>
      <c r="D345" s="39">
        <v>16</v>
      </c>
      <c r="E345" s="39">
        <v>9</v>
      </c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2"/>
      <c r="R345" s="68"/>
      <c r="S345" s="69"/>
    </row>
    <row r="346" spans="1:19">
      <c r="A346" s="7">
        <v>1</v>
      </c>
      <c r="B346" s="7" t="s">
        <v>357</v>
      </c>
      <c r="C346" s="63">
        <v>45</v>
      </c>
      <c r="D346" s="63">
        <v>7</v>
      </c>
      <c r="E346" s="63">
        <v>5</v>
      </c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4"/>
      <c r="R346" s="70"/>
      <c r="S346" s="71"/>
    </row>
    <row r="347" spans="1:19">
      <c r="A347" s="1">
        <v>1</v>
      </c>
      <c r="B347" s="1" t="s">
        <v>358</v>
      </c>
      <c r="C347" s="39">
        <v>70</v>
      </c>
      <c r="D347" s="39">
        <v>10</v>
      </c>
      <c r="E347" s="39">
        <v>9</v>
      </c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2"/>
      <c r="R347" s="69"/>
      <c r="S347" s="69"/>
    </row>
    <row r="348" spans="1:19">
      <c r="A348" s="1">
        <v>1</v>
      </c>
      <c r="B348" s="1" t="s">
        <v>359</v>
      </c>
      <c r="C348" s="39">
        <v>60</v>
      </c>
      <c r="D348" s="39">
        <v>19</v>
      </c>
      <c r="E348" s="39">
        <v>13</v>
      </c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2"/>
      <c r="R348" s="69"/>
      <c r="S348" s="69"/>
    </row>
    <row r="349" spans="1:19">
      <c r="A349" s="1">
        <v>1</v>
      </c>
      <c r="B349" s="1" t="s">
        <v>360</v>
      </c>
      <c r="C349" s="39">
        <v>39</v>
      </c>
      <c r="D349" s="39">
        <v>17</v>
      </c>
      <c r="E349" s="39">
        <v>12</v>
      </c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2"/>
      <c r="R349" s="69"/>
      <c r="S349" s="69"/>
    </row>
    <row r="350" spans="1:19">
      <c r="A350" s="1">
        <v>1</v>
      </c>
      <c r="B350" s="1" t="s">
        <v>361</v>
      </c>
      <c r="C350" s="39">
        <v>50</v>
      </c>
      <c r="D350" s="39">
        <v>19</v>
      </c>
      <c r="E350" s="39">
        <v>15</v>
      </c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2"/>
      <c r="R350" s="69"/>
      <c r="S350" s="69"/>
    </row>
    <row r="351" spans="1:19">
      <c r="A351" s="1">
        <v>1</v>
      </c>
      <c r="B351" s="1" t="s">
        <v>362</v>
      </c>
      <c r="C351" s="39">
        <v>47</v>
      </c>
      <c r="D351" s="39">
        <v>47</v>
      </c>
      <c r="E351" s="39">
        <v>27</v>
      </c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2"/>
      <c r="R351" s="69"/>
      <c r="S351" s="69"/>
    </row>
    <row r="352" spans="1:19">
      <c r="A352" s="1">
        <v>1</v>
      </c>
      <c r="B352" s="1" t="s">
        <v>363</v>
      </c>
      <c r="C352" s="39">
        <v>46</v>
      </c>
      <c r="D352" s="39">
        <v>9</v>
      </c>
      <c r="E352" s="39">
        <v>4</v>
      </c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2"/>
      <c r="R352" s="68"/>
      <c r="S352" s="69"/>
    </row>
    <row r="353" spans="1:19">
      <c r="A353" s="1">
        <v>1</v>
      </c>
      <c r="B353" s="1" t="s">
        <v>364</v>
      </c>
      <c r="C353" s="39">
        <v>41</v>
      </c>
      <c r="D353" s="39">
        <v>14</v>
      </c>
      <c r="E353" s="39">
        <v>9</v>
      </c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2"/>
      <c r="R353" s="69"/>
      <c r="S353" s="69"/>
    </row>
    <row r="354" spans="1:19">
      <c r="A354" s="1">
        <v>1</v>
      </c>
      <c r="B354" s="1" t="s">
        <v>365</v>
      </c>
      <c r="C354" s="39">
        <v>48</v>
      </c>
      <c r="D354" s="39">
        <v>10</v>
      </c>
      <c r="E354" s="39">
        <v>7</v>
      </c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2"/>
      <c r="R354" s="69"/>
      <c r="S354" s="69"/>
    </row>
    <row r="355" spans="1:19">
      <c r="A355" s="1">
        <v>1</v>
      </c>
      <c r="B355" s="1" t="s">
        <v>366</v>
      </c>
      <c r="C355" s="39">
        <v>45</v>
      </c>
      <c r="D355" s="39">
        <v>19</v>
      </c>
      <c r="E355" s="39">
        <v>13</v>
      </c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2"/>
      <c r="R355" s="69"/>
      <c r="S355" s="69"/>
    </row>
    <row r="356" spans="1:19">
      <c r="A356" s="1">
        <v>1</v>
      </c>
      <c r="B356" s="1" t="s">
        <v>367</v>
      </c>
      <c r="C356" s="39">
        <v>49</v>
      </c>
      <c r="D356" s="39">
        <v>25</v>
      </c>
      <c r="E356" s="39">
        <v>18</v>
      </c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2"/>
      <c r="R356" s="69"/>
      <c r="S356" s="69"/>
    </row>
    <row r="357" spans="1:19">
      <c r="A357" s="1">
        <v>1</v>
      </c>
      <c r="B357" s="1" t="s">
        <v>368</v>
      </c>
      <c r="C357" s="39">
        <v>59</v>
      </c>
      <c r="D357" s="39">
        <v>15</v>
      </c>
      <c r="E357" s="39">
        <v>10</v>
      </c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2"/>
      <c r="R357" s="69"/>
      <c r="S357" s="69"/>
    </row>
    <row r="358" spans="1:19">
      <c r="A358" s="1">
        <v>1</v>
      </c>
      <c r="B358" s="1" t="s">
        <v>369</v>
      </c>
      <c r="C358" s="39">
        <v>59</v>
      </c>
      <c r="D358" s="39">
        <v>41</v>
      </c>
      <c r="E358" s="39">
        <v>26</v>
      </c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2"/>
      <c r="R358" s="69"/>
      <c r="S358" s="69"/>
    </row>
    <row r="359" spans="1:19">
      <c r="A359" s="1">
        <v>1</v>
      </c>
      <c r="B359" s="1" t="s">
        <v>370</v>
      </c>
      <c r="C359" s="39">
        <v>68</v>
      </c>
      <c r="D359" s="39">
        <v>14</v>
      </c>
      <c r="E359" s="39">
        <v>9</v>
      </c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2"/>
      <c r="R359" s="69"/>
      <c r="S359" s="69"/>
    </row>
    <row r="360" spans="1:19">
      <c r="A360" s="1">
        <v>1</v>
      </c>
      <c r="B360" s="1" t="s">
        <v>371</v>
      </c>
      <c r="C360" s="61" t="s">
        <v>538</v>
      </c>
      <c r="D360" s="61" t="s">
        <v>538</v>
      </c>
      <c r="E360" s="39" t="s">
        <v>538</v>
      </c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2"/>
      <c r="R360" s="69"/>
      <c r="S360" s="69"/>
    </row>
    <row r="361" spans="1:19">
      <c r="A361" s="1">
        <v>1</v>
      </c>
      <c r="B361" s="1" t="s">
        <v>372</v>
      </c>
      <c r="C361" s="39">
        <v>45</v>
      </c>
      <c r="D361" s="39">
        <v>13</v>
      </c>
      <c r="E361" s="39">
        <v>9</v>
      </c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2"/>
      <c r="R361" s="68"/>
      <c r="S361" s="69"/>
    </row>
    <row r="362" spans="1:19">
      <c r="A362" s="1">
        <v>1</v>
      </c>
      <c r="B362" s="1" t="s">
        <v>373</v>
      </c>
      <c r="C362" s="61" t="s">
        <v>538</v>
      </c>
      <c r="D362" s="61" t="s">
        <v>538</v>
      </c>
      <c r="E362" s="39" t="s">
        <v>538</v>
      </c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2"/>
      <c r="R362" s="69"/>
      <c r="S362" s="69"/>
    </row>
    <row r="363" spans="1:19">
      <c r="A363" s="1">
        <v>1</v>
      </c>
      <c r="B363" s="1" t="s">
        <v>374</v>
      </c>
      <c r="C363" s="39">
        <v>68</v>
      </c>
      <c r="D363" s="39">
        <v>18</v>
      </c>
      <c r="E363" s="39">
        <v>12</v>
      </c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2"/>
      <c r="R363" s="69"/>
      <c r="S363" s="69"/>
    </row>
    <row r="364" spans="1:19">
      <c r="A364" s="1">
        <v>1</v>
      </c>
      <c r="B364" s="1" t="s">
        <v>375</v>
      </c>
      <c r="C364" s="39">
        <v>52</v>
      </c>
      <c r="D364" s="39">
        <v>29</v>
      </c>
      <c r="E364" s="39">
        <v>9</v>
      </c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2"/>
      <c r="R364" s="68"/>
      <c r="S364" s="69"/>
    </row>
    <row r="365" spans="1:19">
      <c r="A365" s="1">
        <v>1</v>
      </c>
      <c r="B365" s="1" t="s">
        <v>376</v>
      </c>
      <c r="C365" s="39">
        <v>43</v>
      </c>
      <c r="D365" s="39">
        <v>43</v>
      </c>
      <c r="E365" s="39">
        <v>16</v>
      </c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2"/>
      <c r="R365" s="69"/>
      <c r="S365" s="69"/>
    </row>
    <row r="366" spans="1:19">
      <c r="A366" s="1">
        <v>1</v>
      </c>
      <c r="B366" s="1" t="s">
        <v>377</v>
      </c>
      <c r="C366" s="39">
        <v>43</v>
      </c>
      <c r="D366" s="39">
        <v>15</v>
      </c>
      <c r="E366" s="39">
        <v>10</v>
      </c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2"/>
      <c r="R366" s="69"/>
      <c r="S366" s="69"/>
    </row>
    <row r="367" spans="1:19">
      <c r="A367" s="1">
        <v>1</v>
      </c>
      <c r="B367" s="1" t="s">
        <v>378</v>
      </c>
      <c r="C367" s="39">
        <v>66</v>
      </c>
      <c r="D367" s="39">
        <v>22</v>
      </c>
      <c r="E367" s="39">
        <v>12</v>
      </c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2"/>
      <c r="R367" s="69"/>
      <c r="S367" s="69"/>
    </row>
    <row r="368" spans="1:19">
      <c r="A368" s="1">
        <v>1</v>
      </c>
      <c r="B368" s="1" t="s">
        <v>379</v>
      </c>
      <c r="C368" s="39">
        <v>46</v>
      </c>
      <c r="D368" s="39">
        <v>17</v>
      </c>
      <c r="E368" s="39">
        <v>11</v>
      </c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2"/>
      <c r="R368" s="68"/>
      <c r="S368" s="69"/>
    </row>
    <row r="369" spans="1:19">
      <c r="A369" s="1">
        <v>1</v>
      </c>
      <c r="B369" s="1" t="s">
        <v>380</v>
      </c>
      <c r="C369" s="39">
        <v>57</v>
      </c>
      <c r="D369" s="39">
        <v>63</v>
      </c>
      <c r="E369" s="39">
        <v>43</v>
      </c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2"/>
      <c r="R369" s="69"/>
      <c r="S369" s="69"/>
    </row>
    <row r="370" spans="1:19"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2"/>
      <c r="R370" s="68"/>
      <c r="S370" s="69"/>
    </row>
    <row r="371" spans="1:19">
      <c r="A371" s="1" t="s">
        <v>381</v>
      </c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2"/>
      <c r="R371" s="69"/>
      <c r="S371" s="69"/>
    </row>
    <row r="372" spans="1:19">
      <c r="A372" s="1">
        <v>0</v>
      </c>
      <c r="B372" s="1" t="s">
        <v>382</v>
      </c>
      <c r="C372" s="39">
        <v>36</v>
      </c>
      <c r="D372" s="39">
        <v>17</v>
      </c>
      <c r="E372" s="39">
        <v>9</v>
      </c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2"/>
      <c r="R372" s="68"/>
      <c r="S372" s="69"/>
    </row>
    <row r="373" spans="1:19">
      <c r="A373" s="1">
        <v>0</v>
      </c>
      <c r="B373" s="1" t="s">
        <v>383</v>
      </c>
      <c r="C373" s="39">
        <v>35</v>
      </c>
      <c r="D373" s="39">
        <v>20</v>
      </c>
      <c r="E373" s="39">
        <v>8</v>
      </c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2"/>
      <c r="R373" s="68"/>
      <c r="S373" s="69"/>
    </row>
    <row r="374" spans="1:19">
      <c r="A374" s="1">
        <v>0</v>
      </c>
      <c r="B374" s="1" t="s">
        <v>384</v>
      </c>
      <c r="C374" s="39">
        <v>36</v>
      </c>
      <c r="D374" s="39">
        <v>17</v>
      </c>
      <c r="E374" s="39">
        <v>11</v>
      </c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2"/>
      <c r="R374" s="69"/>
      <c r="S374" s="69"/>
    </row>
    <row r="375" spans="1:19">
      <c r="A375" s="1">
        <v>0</v>
      </c>
      <c r="B375" s="1" t="s">
        <v>385</v>
      </c>
      <c r="C375" s="39">
        <v>49</v>
      </c>
      <c r="D375" s="39">
        <v>8</v>
      </c>
      <c r="E375" s="39">
        <v>7</v>
      </c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2"/>
      <c r="R375" s="68"/>
      <c r="S375" s="69"/>
    </row>
    <row r="376" spans="1:19">
      <c r="A376" s="1">
        <v>0</v>
      </c>
      <c r="B376" s="1" t="s">
        <v>386</v>
      </c>
      <c r="C376" s="39">
        <v>57</v>
      </c>
      <c r="D376" s="39">
        <v>16</v>
      </c>
      <c r="E376" s="39">
        <v>14</v>
      </c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2"/>
      <c r="R376" s="69"/>
      <c r="S376" s="69"/>
    </row>
    <row r="377" spans="1:19">
      <c r="A377" s="1">
        <v>0</v>
      </c>
      <c r="B377" s="1" t="s">
        <v>387</v>
      </c>
      <c r="C377" s="39">
        <v>30</v>
      </c>
      <c r="D377" s="39">
        <v>11</v>
      </c>
      <c r="E377" s="39">
        <v>6</v>
      </c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2"/>
      <c r="R377" s="68"/>
      <c r="S377" s="69"/>
    </row>
    <row r="378" spans="1:19">
      <c r="A378" s="1">
        <v>0</v>
      </c>
      <c r="B378" s="1" t="s">
        <v>388</v>
      </c>
      <c r="C378" s="39">
        <v>42</v>
      </c>
      <c r="D378" s="61" t="s">
        <v>538</v>
      </c>
      <c r="E378" s="61" t="s">
        <v>538</v>
      </c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2"/>
      <c r="R378" s="68"/>
      <c r="S378" s="69"/>
    </row>
    <row r="379" spans="1:19">
      <c r="A379" s="1">
        <v>0</v>
      </c>
      <c r="B379" s="1" t="s">
        <v>389</v>
      </c>
      <c r="C379" s="39">
        <v>49</v>
      </c>
      <c r="D379" s="39">
        <v>14</v>
      </c>
      <c r="E379" s="39">
        <v>7</v>
      </c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2"/>
      <c r="R379" s="68"/>
      <c r="S379" s="69"/>
    </row>
    <row r="380" spans="1:19">
      <c r="A380" s="1">
        <v>0</v>
      </c>
      <c r="B380" s="1" t="s">
        <v>390</v>
      </c>
      <c r="C380" s="39">
        <v>51</v>
      </c>
      <c r="D380" s="39">
        <v>7</v>
      </c>
      <c r="E380" s="39">
        <v>3</v>
      </c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2"/>
      <c r="R380" s="68"/>
      <c r="S380" s="69"/>
    </row>
    <row r="381" spans="1:19">
      <c r="A381" s="1">
        <v>0</v>
      </c>
      <c r="B381" s="1" t="s">
        <v>391</v>
      </c>
      <c r="C381" s="39">
        <v>48</v>
      </c>
      <c r="D381" s="39">
        <v>7</v>
      </c>
      <c r="E381" s="39">
        <v>5</v>
      </c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2"/>
      <c r="R381" s="68"/>
      <c r="S381" s="69"/>
    </row>
    <row r="382" spans="1:19">
      <c r="A382" s="1">
        <v>0</v>
      </c>
      <c r="B382" s="1" t="s">
        <v>392</v>
      </c>
      <c r="C382" s="39">
        <v>42</v>
      </c>
      <c r="D382" s="61" t="s">
        <v>538</v>
      </c>
      <c r="E382" s="61" t="s">
        <v>538</v>
      </c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2"/>
      <c r="R382" s="68"/>
      <c r="S382" s="69"/>
    </row>
    <row r="383" spans="1:19">
      <c r="A383" s="1">
        <v>0</v>
      </c>
      <c r="B383" s="1" t="s">
        <v>393</v>
      </c>
      <c r="C383" s="39">
        <v>39</v>
      </c>
      <c r="D383" s="39">
        <v>11</v>
      </c>
      <c r="E383" s="39">
        <v>8</v>
      </c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2"/>
      <c r="R383" s="68"/>
      <c r="S383" s="69"/>
    </row>
    <row r="384" spans="1:19">
      <c r="A384" s="7">
        <v>0</v>
      </c>
      <c r="B384" s="7" t="s">
        <v>394</v>
      </c>
      <c r="C384" s="63">
        <v>43</v>
      </c>
      <c r="D384" s="63">
        <v>14</v>
      </c>
      <c r="E384" s="63">
        <v>8</v>
      </c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4"/>
      <c r="R384" s="70"/>
      <c r="S384" s="71"/>
    </row>
    <row r="385" spans="1:19">
      <c r="A385" s="1">
        <v>0</v>
      </c>
      <c r="B385" s="1" t="s">
        <v>395</v>
      </c>
      <c r="C385" s="39">
        <v>43</v>
      </c>
      <c r="D385" s="39">
        <v>18</v>
      </c>
      <c r="E385" s="39">
        <v>7</v>
      </c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2"/>
      <c r="R385" s="69"/>
      <c r="S385" s="69"/>
    </row>
    <row r="386" spans="1:19">
      <c r="A386" s="1">
        <v>0</v>
      </c>
      <c r="B386" s="1" t="s">
        <v>396</v>
      </c>
      <c r="C386" s="39">
        <v>50</v>
      </c>
      <c r="D386" s="39">
        <v>18</v>
      </c>
      <c r="E386" s="39">
        <v>8</v>
      </c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2"/>
      <c r="R386" s="68"/>
      <c r="S386" s="69"/>
    </row>
    <row r="387" spans="1:19">
      <c r="A387" s="1">
        <v>0</v>
      </c>
      <c r="B387" s="1" t="s">
        <v>397</v>
      </c>
      <c r="C387" s="39">
        <v>51</v>
      </c>
      <c r="D387" s="39">
        <v>11</v>
      </c>
      <c r="E387" s="39">
        <v>4</v>
      </c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2"/>
      <c r="R387" s="68"/>
      <c r="S387" s="69"/>
    </row>
    <row r="388" spans="1:19">
      <c r="A388" s="1">
        <v>0</v>
      </c>
      <c r="B388" s="1" t="s">
        <v>398</v>
      </c>
      <c r="C388" s="39">
        <v>41</v>
      </c>
      <c r="D388" s="39">
        <v>6</v>
      </c>
      <c r="E388" s="39">
        <v>5</v>
      </c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2"/>
      <c r="R388" s="68"/>
      <c r="S388" s="69"/>
    </row>
    <row r="389" spans="1:19">
      <c r="A389" s="1">
        <v>0</v>
      </c>
      <c r="B389" s="1" t="s">
        <v>399</v>
      </c>
      <c r="C389" s="39">
        <v>41</v>
      </c>
      <c r="D389" s="39">
        <v>7</v>
      </c>
      <c r="E389" s="39">
        <v>3</v>
      </c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2"/>
      <c r="R389" s="68"/>
      <c r="S389" s="69"/>
    </row>
    <row r="390" spans="1:19">
      <c r="A390" s="1">
        <v>0</v>
      </c>
      <c r="B390" s="1" t="s">
        <v>400</v>
      </c>
      <c r="C390" s="39">
        <v>43</v>
      </c>
      <c r="D390" s="39">
        <v>11</v>
      </c>
      <c r="E390" s="39">
        <v>7</v>
      </c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2"/>
      <c r="R390" s="68"/>
      <c r="S390" s="69"/>
    </row>
    <row r="391" spans="1:19">
      <c r="A391" s="1">
        <v>0</v>
      </c>
      <c r="B391" s="1" t="s">
        <v>401</v>
      </c>
      <c r="C391" s="39">
        <v>51</v>
      </c>
      <c r="D391" s="39">
        <v>9</v>
      </c>
      <c r="E391" s="39">
        <v>5</v>
      </c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2"/>
      <c r="R391" s="68"/>
      <c r="S391" s="69"/>
    </row>
    <row r="392" spans="1:19">
      <c r="A392" s="1">
        <v>0</v>
      </c>
      <c r="B392" s="1" t="s">
        <v>402</v>
      </c>
      <c r="C392" s="39">
        <v>69</v>
      </c>
      <c r="D392" s="39">
        <v>11</v>
      </c>
      <c r="E392" s="39">
        <v>11</v>
      </c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2"/>
      <c r="R392" s="68"/>
      <c r="S392" s="69"/>
    </row>
    <row r="393" spans="1:19">
      <c r="A393" s="1">
        <v>0</v>
      </c>
      <c r="B393" s="1" t="s">
        <v>403</v>
      </c>
      <c r="C393" s="39">
        <v>49</v>
      </c>
      <c r="D393" s="39">
        <v>26</v>
      </c>
      <c r="E393" s="39">
        <v>10</v>
      </c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2"/>
      <c r="R393" s="68"/>
      <c r="S393" s="69"/>
    </row>
    <row r="394" spans="1:19">
      <c r="A394" s="1">
        <v>0</v>
      </c>
      <c r="B394" s="1" t="s">
        <v>404</v>
      </c>
      <c r="C394" s="39">
        <v>37</v>
      </c>
      <c r="D394" s="39">
        <v>11</v>
      </c>
      <c r="E394" s="39">
        <v>7</v>
      </c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2"/>
      <c r="R394" s="68"/>
      <c r="S394" s="69"/>
    </row>
    <row r="395" spans="1:19">
      <c r="A395" s="1">
        <v>0</v>
      </c>
      <c r="B395" s="1" t="s">
        <v>405</v>
      </c>
      <c r="C395" s="39">
        <v>32</v>
      </c>
      <c r="D395" s="39">
        <v>14</v>
      </c>
      <c r="E395" s="39">
        <v>8</v>
      </c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2"/>
      <c r="R395" s="69"/>
      <c r="S395" s="69"/>
    </row>
    <row r="396" spans="1:19">
      <c r="A396" s="1">
        <v>0</v>
      </c>
      <c r="B396" s="1" t="s">
        <v>406</v>
      </c>
      <c r="C396" s="39">
        <v>57</v>
      </c>
      <c r="D396" s="39">
        <v>8</v>
      </c>
      <c r="E396" s="39">
        <v>5</v>
      </c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2"/>
      <c r="R396" s="68"/>
      <c r="S396" s="69"/>
    </row>
    <row r="397" spans="1:19">
      <c r="A397" s="1">
        <v>0</v>
      </c>
      <c r="B397" s="1" t="s">
        <v>407</v>
      </c>
      <c r="C397" s="39">
        <v>32</v>
      </c>
      <c r="D397" s="39">
        <v>10</v>
      </c>
      <c r="E397" s="39">
        <v>4</v>
      </c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2"/>
      <c r="R397" s="68"/>
      <c r="S397" s="69"/>
    </row>
    <row r="398" spans="1:19">
      <c r="A398" s="1">
        <v>0</v>
      </c>
      <c r="B398" s="1" t="s">
        <v>408</v>
      </c>
      <c r="C398" s="39">
        <v>49</v>
      </c>
      <c r="D398" s="39">
        <v>9</v>
      </c>
      <c r="E398" s="39">
        <v>5</v>
      </c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2"/>
      <c r="R398" s="68"/>
      <c r="S398" s="69"/>
    </row>
    <row r="399" spans="1:19">
      <c r="A399" s="1">
        <v>0</v>
      </c>
      <c r="B399" s="1" t="s">
        <v>409</v>
      </c>
      <c r="C399" s="39">
        <v>44</v>
      </c>
      <c r="D399" s="39">
        <v>15</v>
      </c>
      <c r="E399" s="39">
        <v>9</v>
      </c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2"/>
      <c r="R399" s="68"/>
      <c r="S399" s="69"/>
    </row>
    <row r="400" spans="1:19">
      <c r="A400" s="1">
        <v>0</v>
      </c>
      <c r="B400" s="1" t="s">
        <v>410</v>
      </c>
      <c r="C400" s="39">
        <v>53</v>
      </c>
      <c r="D400" s="39">
        <v>27</v>
      </c>
      <c r="E400" s="39">
        <v>13</v>
      </c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2"/>
      <c r="R400" s="68"/>
      <c r="S400" s="69"/>
    </row>
    <row r="401" spans="1:19">
      <c r="A401" s="1">
        <v>0</v>
      </c>
      <c r="B401" s="1" t="s">
        <v>411</v>
      </c>
      <c r="C401" s="39">
        <v>41</v>
      </c>
      <c r="D401" s="39">
        <v>16</v>
      </c>
      <c r="E401" s="39">
        <v>12</v>
      </c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2"/>
      <c r="R401" s="68"/>
      <c r="S401" s="69"/>
    </row>
    <row r="402" spans="1:19">
      <c r="A402" s="1">
        <v>0</v>
      </c>
      <c r="B402" s="1" t="s">
        <v>412</v>
      </c>
      <c r="C402" s="39">
        <v>34</v>
      </c>
      <c r="D402" s="39">
        <v>24</v>
      </c>
      <c r="E402" s="39">
        <v>13</v>
      </c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2"/>
      <c r="R402" s="69"/>
      <c r="S402" s="69"/>
    </row>
    <row r="403" spans="1:19">
      <c r="A403" s="1">
        <v>0</v>
      </c>
      <c r="B403" s="1" t="s">
        <v>413</v>
      </c>
      <c r="C403" s="39">
        <v>46</v>
      </c>
      <c r="D403" s="39">
        <v>10</v>
      </c>
      <c r="E403" s="39">
        <v>7</v>
      </c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2"/>
      <c r="R403" s="69"/>
      <c r="S403" s="69"/>
    </row>
    <row r="404" spans="1:19">
      <c r="A404" s="1">
        <v>0</v>
      </c>
      <c r="B404" s="1" t="s">
        <v>414</v>
      </c>
      <c r="C404" s="39">
        <v>44</v>
      </c>
      <c r="D404" s="39">
        <v>24</v>
      </c>
      <c r="E404" s="39">
        <v>11</v>
      </c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2"/>
      <c r="R404" s="68"/>
      <c r="S404" s="69"/>
    </row>
    <row r="405" spans="1:19">
      <c r="A405" s="1">
        <v>0</v>
      </c>
      <c r="B405" s="1" t="s">
        <v>415</v>
      </c>
      <c r="C405" s="39">
        <v>44</v>
      </c>
      <c r="D405" s="39">
        <v>10</v>
      </c>
      <c r="E405" s="39">
        <v>3</v>
      </c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2"/>
      <c r="R405" s="68"/>
      <c r="S405" s="69"/>
    </row>
    <row r="406" spans="1:19">
      <c r="A406" s="1">
        <v>0</v>
      </c>
      <c r="B406" s="1" t="s">
        <v>416</v>
      </c>
      <c r="C406" s="39">
        <v>44</v>
      </c>
      <c r="D406" s="39">
        <v>3</v>
      </c>
      <c r="E406" s="39">
        <v>2</v>
      </c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2"/>
      <c r="R406" s="68"/>
      <c r="S406" s="69"/>
    </row>
    <row r="407" spans="1:19">
      <c r="A407" s="1">
        <v>0</v>
      </c>
      <c r="B407" s="1" t="s">
        <v>417</v>
      </c>
      <c r="C407" s="39">
        <v>47</v>
      </c>
      <c r="D407" s="39">
        <v>5</v>
      </c>
      <c r="E407" s="39">
        <v>4</v>
      </c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2"/>
      <c r="R407" s="68"/>
      <c r="S407" s="69"/>
    </row>
    <row r="408" spans="1:19">
      <c r="A408" s="1">
        <v>0</v>
      </c>
      <c r="B408" s="1" t="s">
        <v>418</v>
      </c>
      <c r="C408" s="39">
        <v>47</v>
      </c>
      <c r="D408" s="39">
        <v>7</v>
      </c>
      <c r="E408" s="39">
        <v>4</v>
      </c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2"/>
      <c r="R408" s="68"/>
      <c r="S408" s="69"/>
    </row>
    <row r="409" spans="1:19">
      <c r="A409" s="1">
        <v>0</v>
      </c>
      <c r="B409" s="1" t="s">
        <v>419</v>
      </c>
      <c r="C409" s="39">
        <v>44</v>
      </c>
      <c r="D409" s="39">
        <v>23</v>
      </c>
      <c r="E409" s="39">
        <v>12</v>
      </c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2"/>
      <c r="R409" s="68"/>
      <c r="S409" s="69"/>
    </row>
    <row r="410" spans="1:19">
      <c r="A410" s="1">
        <v>0</v>
      </c>
      <c r="B410" s="1" t="s">
        <v>420</v>
      </c>
      <c r="C410" s="39">
        <v>47</v>
      </c>
      <c r="D410" s="39">
        <v>8</v>
      </c>
      <c r="E410" s="39">
        <v>4</v>
      </c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2"/>
      <c r="R410" s="68"/>
      <c r="S410" s="69"/>
    </row>
    <row r="411" spans="1:19">
      <c r="A411" s="1">
        <v>0</v>
      </c>
      <c r="B411" s="1" t="s">
        <v>421</v>
      </c>
      <c r="C411" s="39">
        <v>45</v>
      </c>
      <c r="D411" s="39">
        <v>7</v>
      </c>
      <c r="E411" s="39">
        <v>5</v>
      </c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2"/>
      <c r="R411" s="68"/>
      <c r="S411" s="69"/>
    </row>
    <row r="412" spans="1:19">
      <c r="A412" s="1">
        <v>0</v>
      </c>
      <c r="B412" s="1" t="s">
        <v>422</v>
      </c>
      <c r="C412" s="39">
        <v>52</v>
      </c>
      <c r="D412" s="39">
        <v>8</v>
      </c>
      <c r="E412" s="39">
        <v>5</v>
      </c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2"/>
      <c r="R412" s="68"/>
      <c r="S412" s="69"/>
    </row>
    <row r="413" spans="1:19">
      <c r="A413" s="1">
        <v>0</v>
      </c>
      <c r="B413" s="1" t="s">
        <v>423</v>
      </c>
      <c r="C413" s="39">
        <v>41</v>
      </c>
      <c r="D413" s="39">
        <v>11</v>
      </c>
      <c r="E413" s="39">
        <v>3</v>
      </c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2"/>
      <c r="R413" s="68"/>
      <c r="S413" s="69"/>
    </row>
    <row r="414" spans="1:19">
      <c r="A414" s="1">
        <v>0</v>
      </c>
      <c r="B414" s="1" t="s">
        <v>424</v>
      </c>
      <c r="C414" s="39">
        <v>52</v>
      </c>
      <c r="D414" s="39">
        <v>8</v>
      </c>
      <c r="E414" s="39">
        <v>8</v>
      </c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2"/>
      <c r="R414" s="68"/>
      <c r="S414" s="69"/>
    </row>
    <row r="415" spans="1:19">
      <c r="A415" s="1">
        <v>1</v>
      </c>
      <c r="B415" s="1" t="s">
        <v>425</v>
      </c>
      <c r="C415" s="39">
        <v>47</v>
      </c>
      <c r="D415" s="39">
        <v>19</v>
      </c>
      <c r="E415" s="39">
        <v>14</v>
      </c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2"/>
      <c r="R415" s="69"/>
      <c r="S415" s="69"/>
    </row>
    <row r="416" spans="1:19">
      <c r="A416" s="1">
        <v>1</v>
      </c>
      <c r="B416" s="1" t="s">
        <v>426</v>
      </c>
      <c r="C416" s="39">
        <v>55</v>
      </c>
      <c r="D416" s="39">
        <v>22</v>
      </c>
      <c r="E416" s="39">
        <v>13</v>
      </c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2"/>
      <c r="R416" s="69"/>
      <c r="S416" s="69"/>
    </row>
    <row r="417" spans="1:19">
      <c r="A417" s="1">
        <v>1</v>
      </c>
      <c r="B417" s="1" t="s">
        <v>427</v>
      </c>
      <c r="C417" s="39">
        <v>64</v>
      </c>
      <c r="D417" s="39">
        <v>21</v>
      </c>
      <c r="E417" s="39">
        <v>11</v>
      </c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2"/>
      <c r="R417" s="69"/>
      <c r="S417" s="69"/>
    </row>
    <row r="418" spans="1:19">
      <c r="A418" s="1">
        <v>1</v>
      </c>
      <c r="B418" s="1" t="s">
        <v>428</v>
      </c>
      <c r="C418" s="39">
        <v>51</v>
      </c>
      <c r="D418" s="39">
        <v>18</v>
      </c>
      <c r="E418" s="39">
        <v>7</v>
      </c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2"/>
      <c r="R418" s="69"/>
      <c r="S418" s="69"/>
    </row>
    <row r="419" spans="1:19">
      <c r="A419" s="1">
        <v>1</v>
      </c>
      <c r="B419" s="1" t="s">
        <v>429</v>
      </c>
      <c r="C419" s="39">
        <v>46</v>
      </c>
      <c r="D419" s="39">
        <v>28</v>
      </c>
      <c r="E419" s="39">
        <v>17</v>
      </c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2"/>
      <c r="R419" s="69"/>
      <c r="S419" s="69"/>
    </row>
    <row r="420" spans="1:19">
      <c r="A420" s="1">
        <v>1</v>
      </c>
      <c r="B420" s="1" t="s">
        <v>430</v>
      </c>
      <c r="C420" s="39">
        <v>57</v>
      </c>
      <c r="D420" s="39">
        <v>35</v>
      </c>
      <c r="E420" s="39">
        <v>20</v>
      </c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2"/>
      <c r="R420" s="69"/>
      <c r="S420" s="69"/>
    </row>
    <row r="421" spans="1:19">
      <c r="A421" s="1">
        <v>1</v>
      </c>
      <c r="B421" s="1" t="s">
        <v>431</v>
      </c>
      <c r="C421" s="39">
        <v>47</v>
      </c>
      <c r="D421" s="39">
        <v>40</v>
      </c>
      <c r="E421" s="39">
        <v>17</v>
      </c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2"/>
      <c r="R421" s="69"/>
      <c r="S421" s="69"/>
    </row>
    <row r="422" spans="1:19">
      <c r="A422" s="1">
        <v>1</v>
      </c>
      <c r="B422" s="1" t="s">
        <v>432</v>
      </c>
      <c r="C422" s="39">
        <v>42</v>
      </c>
      <c r="D422" s="39">
        <v>15</v>
      </c>
      <c r="E422" s="39">
        <v>11</v>
      </c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2"/>
      <c r="R422" s="69"/>
      <c r="S422" s="69"/>
    </row>
    <row r="423" spans="1:19">
      <c r="A423" s="1">
        <v>1</v>
      </c>
      <c r="B423" s="1" t="s">
        <v>433</v>
      </c>
      <c r="C423" s="39">
        <v>51</v>
      </c>
      <c r="D423" s="39">
        <v>21</v>
      </c>
      <c r="E423" s="39">
        <v>15</v>
      </c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2"/>
      <c r="R423" s="69"/>
      <c r="S423" s="69"/>
    </row>
    <row r="424" spans="1:19">
      <c r="A424" s="1">
        <v>1</v>
      </c>
      <c r="B424" s="1" t="s">
        <v>434</v>
      </c>
      <c r="C424" s="39">
        <v>45</v>
      </c>
      <c r="D424" s="39">
        <v>13</v>
      </c>
      <c r="E424" s="39">
        <v>7</v>
      </c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2"/>
      <c r="R424" s="69"/>
      <c r="S424" s="69"/>
    </row>
    <row r="425" spans="1:19">
      <c r="A425" s="1">
        <v>1</v>
      </c>
      <c r="B425" s="1" t="s">
        <v>435</v>
      </c>
      <c r="C425" s="39">
        <v>51</v>
      </c>
      <c r="D425" s="39">
        <v>20</v>
      </c>
      <c r="E425" s="39">
        <v>12</v>
      </c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2"/>
      <c r="R425" s="69"/>
      <c r="S425" s="69"/>
    </row>
    <row r="426" spans="1:19">
      <c r="A426" s="1">
        <v>1</v>
      </c>
      <c r="B426" s="1" t="s">
        <v>436</v>
      </c>
      <c r="C426" s="39">
        <v>61</v>
      </c>
      <c r="D426" s="39">
        <v>30</v>
      </c>
      <c r="E426" s="39">
        <v>14</v>
      </c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2"/>
      <c r="R426" s="69"/>
      <c r="S426" s="69"/>
    </row>
    <row r="427" spans="1:19">
      <c r="A427" s="7">
        <v>1</v>
      </c>
      <c r="B427" s="7" t="s">
        <v>437</v>
      </c>
      <c r="C427" s="63">
        <v>40</v>
      </c>
      <c r="D427" s="63">
        <v>4</v>
      </c>
      <c r="E427" s="63">
        <v>2</v>
      </c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4"/>
      <c r="R427" s="71"/>
      <c r="S427" s="71"/>
    </row>
    <row r="428" spans="1:19">
      <c r="A428" s="1">
        <v>1</v>
      </c>
      <c r="B428" s="1" t="s">
        <v>438</v>
      </c>
      <c r="C428" s="39">
        <v>53</v>
      </c>
      <c r="D428" s="39">
        <v>24</v>
      </c>
      <c r="E428" s="39">
        <v>12</v>
      </c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2"/>
      <c r="R428" s="69"/>
      <c r="S428" s="69"/>
    </row>
    <row r="429" spans="1:19">
      <c r="A429" s="7">
        <v>1</v>
      </c>
      <c r="B429" s="7" t="s">
        <v>439</v>
      </c>
      <c r="C429" s="63">
        <v>50</v>
      </c>
      <c r="D429" s="63">
        <v>29</v>
      </c>
      <c r="E429" s="63">
        <v>13</v>
      </c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4"/>
      <c r="R429" s="71"/>
      <c r="S429" s="71"/>
    </row>
    <row r="430" spans="1:19">
      <c r="A430" s="1">
        <v>1</v>
      </c>
      <c r="B430" s="1" t="s">
        <v>440</v>
      </c>
      <c r="C430" s="39">
        <v>48</v>
      </c>
      <c r="D430" s="39">
        <v>21</v>
      </c>
      <c r="E430" s="39">
        <v>11</v>
      </c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2"/>
      <c r="R430" s="69"/>
      <c r="S430" s="69"/>
    </row>
    <row r="431" spans="1:19">
      <c r="A431" s="1">
        <v>1</v>
      </c>
      <c r="B431" s="1" t="s">
        <v>441</v>
      </c>
      <c r="C431" s="39">
        <v>61</v>
      </c>
      <c r="D431" s="39">
        <v>25</v>
      </c>
      <c r="E431" s="39">
        <v>21</v>
      </c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2"/>
      <c r="R431" s="69"/>
      <c r="S431" s="69"/>
    </row>
    <row r="432" spans="1:19">
      <c r="A432" s="7">
        <v>1</v>
      </c>
      <c r="B432" s="7" t="s">
        <v>442</v>
      </c>
      <c r="C432" s="63">
        <v>48</v>
      </c>
      <c r="D432" s="63">
        <v>27</v>
      </c>
      <c r="E432" s="63">
        <v>11</v>
      </c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4"/>
      <c r="R432" s="65"/>
      <c r="S432" s="64"/>
    </row>
    <row r="433" spans="1:19">
      <c r="A433" s="1">
        <v>1</v>
      </c>
      <c r="B433" s="1" t="s">
        <v>443</v>
      </c>
      <c r="C433" s="39">
        <v>45</v>
      </c>
      <c r="D433" s="39">
        <v>37</v>
      </c>
      <c r="E433" s="39">
        <v>21</v>
      </c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2"/>
      <c r="R433" s="69"/>
      <c r="S433" s="69"/>
    </row>
    <row r="434" spans="1:19">
      <c r="A434" s="1">
        <v>1</v>
      </c>
      <c r="B434" s="1" t="s">
        <v>444</v>
      </c>
      <c r="C434" s="39">
        <v>27</v>
      </c>
      <c r="D434" s="39">
        <v>9</v>
      </c>
      <c r="E434" s="39">
        <v>8</v>
      </c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2"/>
      <c r="R434" s="69"/>
      <c r="S434" s="69"/>
    </row>
    <row r="435" spans="1:19">
      <c r="A435" s="1">
        <v>1</v>
      </c>
      <c r="B435" s="1" t="s">
        <v>445</v>
      </c>
      <c r="C435" s="39">
        <v>30</v>
      </c>
      <c r="D435" s="39">
        <v>26</v>
      </c>
      <c r="E435" s="39">
        <v>16</v>
      </c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2"/>
      <c r="R435" s="68"/>
      <c r="S435" s="69"/>
    </row>
    <row r="436" spans="1:19">
      <c r="A436" s="1">
        <v>1</v>
      </c>
      <c r="B436" s="1" t="s">
        <v>446</v>
      </c>
      <c r="C436" s="39">
        <v>58</v>
      </c>
      <c r="D436" s="39">
        <v>45</v>
      </c>
      <c r="E436" s="39">
        <v>35</v>
      </c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2"/>
      <c r="R436" s="69"/>
      <c r="S436" s="69"/>
    </row>
    <row r="437" spans="1:19">
      <c r="A437" s="7">
        <v>1</v>
      </c>
      <c r="B437" s="7" t="s">
        <v>447</v>
      </c>
      <c r="C437" s="63">
        <v>57</v>
      </c>
      <c r="D437" s="63">
        <v>23</v>
      </c>
      <c r="E437" s="63">
        <v>12</v>
      </c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4"/>
      <c r="R437" s="71"/>
      <c r="S437" s="71"/>
    </row>
    <row r="438" spans="1:19">
      <c r="A438" s="1">
        <v>1</v>
      </c>
      <c r="B438" s="1" t="s">
        <v>448</v>
      </c>
      <c r="C438" s="39">
        <v>47</v>
      </c>
      <c r="D438" s="39">
        <v>13</v>
      </c>
      <c r="E438" s="39">
        <v>9</v>
      </c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2"/>
      <c r="R438" s="68"/>
      <c r="S438" s="69"/>
    </row>
    <row r="439" spans="1:19">
      <c r="A439" s="1">
        <v>1</v>
      </c>
      <c r="B439" s="1" t="s">
        <v>449</v>
      </c>
      <c r="C439" s="39">
        <v>48</v>
      </c>
      <c r="D439" s="39">
        <v>19</v>
      </c>
      <c r="E439" s="39">
        <v>12</v>
      </c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2"/>
      <c r="R439" s="68"/>
      <c r="S439" s="69"/>
    </row>
    <row r="440" spans="1:19">
      <c r="A440" s="1">
        <v>1</v>
      </c>
      <c r="B440" s="1" t="s">
        <v>450</v>
      </c>
      <c r="C440" s="39">
        <v>36</v>
      </c>
      <c r="D440" s="39">
        <v>15</v>
      </c>
      <c r="E440" s="39">
        <v>9</v>
      </c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2"/>
      <c r="R440" s="69"/>
      <c r="S440" s="69"/>
    </row>
    <row r="441" spans="1:19">
      <c r="A441" s="1">
        <v>1</v>
      </c>
      <c r="B441" s="1" t="s">
        <v>451</v>
      </c>
      <c r="C441" s="39">
        <v>52</v>
      </c>
      <c r="D441" s="39">
        <v>30</v>
      </c>
      <c r="E441" s="39">
        <v>12</v>
      </c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2"/>
      <c r="R441" s="69"/>
      <c r="S441" s="69"/>
    </row>
    <row r="442" spans="1:19">
      <c r="A442" s="1">
        <v>1</v>
      </c>
      <c r="B442" s="1" t="s">
        <v>452</v>
      </c>
      <c r="C442" s="39">
        <v>51</v>
      </c>
      <c r="D442" s="39">
        <v>25</v>
      </c>
      <c r="E442" s="39">
        <v>20</v>
      </c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2"/>
      <c r="R442" s="69"/>
      <c r="S442" s="69"/>
    </row>
    <row r="443" spans="1:19">
      <c r="A443" s="1">
        <v>1</v>
      </c>
      <c r="B443" s="1" t="s">
        <v>453</v>
      </c>
      <c r="C443" s="39">
        <v>40</v>
      </c>
      <c r="D443" s="39">
        <v>24</v>
      </c>
      <c r="E443" s="39">
        <v>19</v>
      </c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2"/>
      <c r="R443" s="69"/>
      <c r="S443" s="69"/>
    </row>
    <row r="444" spans="1:19">
      <c r="A444" s="1">
        <v>1</v>
      </c>
      <c r="B444" s="1" t="s">
        <v>454</v>
      </c>
      <c r="C444" s="39">
        <v>61</v>
      </c>
      <c r="D444" s="39">
        <v>21</v>
      </c>
      <c r="E444" s="39">
        <v>13</v>
      </c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2"/>
      <c r="R444" s="69"/>
      <c r="S444" s="69"/>
    </row>
    <row r="445" spans="1:19">
      <c r="A445" s="1">
        <v>1</v>
      </c>
      <c r="B445" s="1" t="s">
        <v>455</v>
      </c>
      <c r="C445" s="39">
        <v>48</v>
      </c>
      <c r="D445" s="39">
        <v>17</v>
      </c>
      <c r="E445" s="39">
        <v>10</v>
      </c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2"/>
      <c r="R445" s="69"/>
      <c r="S445" s="69"/>
    </row>
    <row r="446" spans="1:19">
      <c r="A446" s="1">
        <v>1</v>
      </c>
      <c r="B446" s="1" t="s">
        <v>456</v>
      </c>
      <c r="C446" s="39">
        <v>58</v>
      </c>
      <c r="D446" s="39">
        <v>23</v>
      </c>
      <c r="E446" s="39">
        <v>22</v>
      </c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2"/>
      <c r="R446" s="69"/>
      <c r="S446" s="69"/>
    </row>
    <row r="447" spans="1:19">
      <c r="A447" s="1">
        <v>1</v>
      </c>
      <c r="B447" s="1" t="s">
        <v>457</v>
      </c>
      <c r="C447" s="39">
        <v>69</v>
      </c>
      <c r="D447" s="39">
        <v>18</v>
      </c>
      <c r="E447" s="39">
        <v>10</v>
      </c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2"/>
      <c r="R447" s="69"/>
      <c r="S447" s="69"/>
    </row>
    <row r="448" spans="1:19">
      <c r="A448" s="1">
        <v>1</v>
      </c>
      <c r="B448" s="1" t="s">
        <v>458</v>
      </c>
      <c r="C448" s="39">
        <v>38</v>
      </c>
      <c r="D448" s="39">
        <v>25</v>
      </c>
      <c r="E448" s="39">
        <v>13</v>
      </c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2"/>
      <c r="R448" s="68"/>
      <c r="S448" s="69"/>
    </row>
    <row r="449" spans="1:19">
      <c r="A449" s="1">
        <v>1</v>
      </c>
      <c r="B449" s="1" t="s">
        <v>459</v>
      </c>
      <c r="C449" s="39">
        <v>46</v>
      </c>
      <c r="D449" s="39">
        <v>36</v>
      </c>
      <c r="E449" s="39">
        <v>18</v>
      </c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2"/>
      <c r="R449" s="69"/>
      <c r="S449" s="69"/>
    </row>
    <row r="450" spans="1:19">
      <c r="A450" s="1">
        <v>1</v>
      </c>
      <c r="B450" s="1" t="s">
        <v>460</v>
      </c>
      <c r="C450" s="39">
        <v>39</v>
      </c>
      <c r="D450" s="39">
        <v>29</v>
      </c>
      <c r="E450" s="39">
        <v>18</v>
      </c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2"/>
      <c r="R450" s="68"/>
      <c r="S450" s="69"/>
    </row>
    <row r="451" spans="1:19">
      <c r="A451" s="1">
        <v>1</v>
      </c>
      <c r="B451" s="1" t="s">
        <v>461</v>
      </c>
      <c r="C451" s="39">
        <v>51</v>
      </c>
      <c r="D451" s="39">
        <v>17</v>
      </c>
      <c r="E451" s="39">
        <v>9</v>
      </c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2"/>
      <c r="R451" s="69"/>
      <c r="S451" s="69"/>
    </row>
    <row r="452" spans="1:19">
      <c r="A452" s="1">
        <v>1</v>
      </c>
      <c r="B452" s="1" t="s">
        <v>462</v>
      </c>
      <c r="C452" s="39">
        <v>55</v>
      </c>
      <c r="D452" s="39">
        <v>38</v>
      </c>
      <c r="E452" s="39">
        <v>20</v>
      </c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2"/>
      <c r="R452" s="69"/>
      <c r="S452" s="69"/>
    </row>
    <row r="453" spans="1:19">
      <c r="A453" s="1">
        <v>1</v>
      </c>
      <c r="B453" s="1" t="s">
        <v>463</v>
      </c>
      <c r="C453" s="39">
        <v>45</v>
      </c>
      <c r="D453" s="39">
        <v>18</v>
      </c>
      <c r="E453" s="39">
        <v>9</v>
      </c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2"/>
      <c r="R453" s="69"/>
      <c r="S453" s="69"/>
    </row>
    <row r="454" spans="1:19">
      <c r="A454" s="1">
        <v>1</v>
      </c>
      <c r="B454" s="1" t="s">
        <v>464</v>
      </c>
      <c r="C454" s="39">
        <v>75</v>
      </c>
      <c r="D454" s="39">
        <v>18</v>
      </c>
      <c r="E454" s="39">
        <v>15</v>
      </c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2"/>
      <c r="R454" s="69"/>
      <c r="S454" s="69"/>
    </row>
    <row r="455" spans="1:19">
      <c r="A455" s="1">
        <v>1</v>
      </c>
      <c r="B455" s="1" t="s">
        <v>465</v>
      </c>
      <c r="C455" s="39">
        <v>47</v>
      </c>
      <c r="D455" s="39">
        <v>20</v>
      </c>
      <c r="E455" s="39">
        <v>13</v>
      </c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2"/>
      <c r="R455" s="69"/>
      <c r="S455" s="69"/>
    </row>
    <row r="456" spans="1:19">
      <c r="A456" s="1">
        <v>1</v>
      </c>
      <c r="B456" s="1" t="s">
        <v>466</v>
      </c>
      <c r="C456" s="61">
        <v>61</v>
      </c>
      <c r="D456" s="39">
        <v>43</v>
      </c>
      <c r="E456" s="39">
        <v>13</v>
      </c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2"/>
      <c r="R456" s="69"/>
      <c r="S456" s="69"/>
    </row>
    <row r="457" spans="1:19">
      <c r="A457" s="1">
        <v>1</v>
      </c>
      <c r="B457" s="1" t="s">
        <v>467</v>
      </c>
      <c r="C457" s="39">
        <v>52</v>
      </c>
      <c r="D457" s="39">
        <v>21</v>
      </c>
      <c r="E457" s="39">
        <v>15</v>
      </c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2"/>
      <c r="R457" s="69"/>
      <c r="S457" s="69"/>
    </row>
    <row r="458" spans="1:19">
      <c r="A458" s="1">
        <v>1</v>
      </c>
      <c r="B458" s="1" t="s">
        <v>468</v>
      </c>
      <c r="C458" s="39">
        <v>44</v>
      </c>
      <c r="D458" s="39">
        <v>35</v>
      </c>
      <c r="E458" s="39">
        <v>12</v>
      </c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2"/>
      <c r="R458" s="69"/>
      <c r="S458" s="69"/>
    </row>
    <row r="459" spans="1:19">
      <c r="A459" s="1">
        <v>1</v>
      </c>
      <c r="B459" s="1" t="s">
        <v>469</v>
      </c>
      <c r="C459" s="39">
        <v>49</v>
      </c>
      <c r="D459" s="39">
        <v>10</v>
      </c>
      <c r="E459" s="39">
        <v>9</v>
      </c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2"/>
      <c r="R459" s="68"/>
      <c r="S459" s="6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9"/>
  <sheetViews>
    <sheetView workbookViewId="0">
      <selection activeCell="A4" sqref="A4"/>
    </sheetView>
  </sheetViews>
  <sheetFormatPr defaultColWidth="7.453125" defaultRowHeight="17"/>
  <cols>
    <col min="1" max="1" width="12.36328125" style="1" customWidth="1"/>
    <col min="2" max="2" width="33.90625" style="1" bestFit="1" customWidth="1"/>
    <col min="3" max="3" width="25.08984375" style="1" bestFit="1" customWidth="1"/>
    <col min="4" max="4" width="14.90625" style="1" bestFit="1" customWidth="1"/>
    <col min="5" max="6" width="10.90625" style="1" bestFit="1" customWidth="1"/>
    <col min="7" max="8" width="7.453125" style="1"/>
    <col min="9" max="9" width="10" style="1" bestFit="1" customWidth="1"/>
    <col min="10" max="10" width="7.453125" style="1"/>
    <col min="11" max="11" width="10" style="1" bestFit="1" customWidth="1"/>
    <col min="12" max="12" width="7.453125" style="1"/>
    <col min="13" max="13" width="8.6328125" style="1" bestFit="1" customWidth="1"/>
    <col min="14" max="14" width="7.453125" style="1"/>
    <col min="15" max="15" width="11" style="1" bestFit="1" customWidth="1"/>
    <col min="16" max="16384" width="7.453125" style="1"/>
  </cols>
  <sheetData>
    <row r="1" spans="1:19">
      <c r="B1" s="2" t="s">
        <v>0</v>
      </c>
      <c r="C1" s="3" t="s">
        <v>1</v>
      </c>
      <c r="D1" s="3" t="s">
        <v>2</v>
      </c>
    </row>
    <row r="2" spans="1:19">
      <c r="A2" s="1">
        <v>1</v>
      </c>
      <c r="B2" s="1" t="s">
        <v>3</v>
      </c>
      <c r="C2" s="1">
        <v>0.50504680000000002</v>
      </c>
      <c r="D2" s="1">
        <v>0.57327410000000001</v>
      </c>
      <c r="E2" s="1">
        <v>0.29012315999999999</v>
      </c>
      <c r="F2" s="1">
        <v>0.75436853999999998</v>
      </c>
      <c r="G2" s="1">
        <v>0.19668081000000001</v>
      </c>
      <c r="H2" s="1">
        <v>0.80331916000000003</v>
      </c>
      <c r="I2" s="1">
        <v>0.57564740000000003</v>
      </c>
      <c r="J2" s="1">
        <v>0.42435262000000001</v>
      </c>
      <c r="K2" s="1">
        <v>0.16617193999999999</v>
      </c>
      <c r="L2" s="1">
        <v>0.12508211999999999</v>
      </c>
      <c r="M2" s="1">
        <v>0.72280352999999997</v>
      </c>
      <c r="N2" s="1">
        <v>0.27719643999999999</v>
      </c>
      <c r="O2" s="1">
        <v>0.92269409999999996</v>
      </c>
      <c r="P2" s="1">
        <v>7.7305905999999994E-2</v>
      </c>
      <c r="R2" s="4" t="s">
        <v>4</v>
      </c>
    </row>
    <row r="3" spans="1:19">
      <c r="A3" s="1" t="s">
        <v>5</v>
      </c>
      <c r="B3" s="1" t="s">
        <v>6</v>
      </c>
      <c r="C3" s="1">
        <v>0.25455477999999998</v>
      </c>
      <c r="D3" s="1">
        <v>0.77015659999999997</v>
      </c>
      <c r="E3" s="1">
        <v>4.7584724000000002E-2</v>
      </c>
      <c r="F3" s="1">
        <v>0.78442590000000001</v>
      </c>
      <c r="G3" s="1">
        <v>1.3558812E-2</v>
      </c>
      <c r="H3" s="1">
        <v>0.98644120000000002</v>
      </c>
      <c r="I3" s="1">
        <v>1.4139561E-2</v>
      </c>
      <c r="J3" s="1">
        <v>0.98586046999999999</v>
      </c>
      <c r="K3" s="1">
        <v>0.12469679</v>
      </c>
      <c r="L3" s="1">
        <v>0.46619250000000001</v>
      </c>
      <c r="M3" s="1">
        <v>0.47942066</v>
      </c>
      <c r="N3" s="1">
        <v>0.52057933999999995</v>
      </c>
      <c r="O3" s="1">
        <v>0.33339685000000002</v>
      </c>
      <c r="P3" s="1">
        <v>0.66660319999999995</v>
      </c>
      <c r="R3" s="4" t="s">
        <v>7</v>
      </c>
    </row>
    <row r="4" spans="1:19">
      <c r="R4" s="4" t="s">
        <v>8</v>
      </c>
    </row>
    <row r="5" spans="1:19">
      <c r="B5" s="5"/>
      <c r="C5" s="5"/>
    </row>
    <row r="6" spans="1:19">
      <c r="A6" s="1" t="s">
        <v>9</v>
      </c>
      <c r="C6" s="1" t="s">
        <v>10</v>
      </c>
      <c r="D6" s="1" t="s">
        <v>11</v>
      </c>
    </row>
    <row r="7" spans="1:19">
      <c r="C7" s="1" t="s">
        <v>12</v>
      </c>
      <c r="E7" s="1" t="s">
        <v>13</v>
      </c>
      <c r="G7" s="1" t="s">
        <v>14</v>
      </c>
      <c r="I7" s="1" t="s">
        <v>15</v>
      </c>
      <c r="K7" s="1" t="s">
        <v>16</v>
      </c>
      <c r="M7" s="1" t="s">
        <v>17</v>
      </c>
      <c r="O7" s="1" t="s">
        <v>18</v>
      </c>
      <c r="Q7" s="1" t="s">
        <v>19</v>
      </c>
      <c r="R7" s="1" t="s">
        <v>20</v>
      </c>
      <c r="S7" s="1" t="s">
        <v>21</v>
      </c>
    </row>
    <row r="8" spans="1:19">
      <c r="A8" s="1">
        <v>0</v>
      </c>
      <c r="B8" s="1" t="s">
        <v>22</v>
      </c>
      <c r="C8" s="1">
        <v>0.59509860000000003</v>
      </c>
      <c r="D8" s="1">
        <v>0.63452120000000001</v>
      </c>
      <c r="E8" s="1">
        <v>0.23557927000000001</v>
      </c>
      <c r="F8" s="1">
        <v>0.77432420000000002</v>
      </c>
      <c r="G8" s="1">
        <v>5.1326062999999998E-2</v>
      </c>
      <c r="H8" s="1">
        <v>0.94867396000000004</v>
      </c>
      <c r="I8" s="1">
        <v>0.31814366999999999</v>
      </c>
      <c r="J8" s="1">
        <v>0.68185633000000001</v>
      </c>
      <c r="K8" s="1">
        <v>0.28444162000000001</v>
      </c>
      <c r="L8" s="1">
        <v>0.36560425000000002</v>
      </c>
      <c r="M8" s="1">
        <v>0.37383675999999999</v>
      </c>
      <c r="N8" s="1">
        <v>0.62616324000000001</v>
      </c>
      <c r="O8" s="1">
        <v>0.63317290000000004</v>
      </c>
      <c r="P8" s="1">
        <v>0.36682703999999999</v>
      </c>
      <c r="Q8" s="4">
        <v>0</v>
      </c>
      <c r="R8" s="6">
        <v>0</v>
      </c>
      <c r="S8" s="6">
        <v>0</v>
      </c>
    </row>
    <row r="9" spans="1:19">
      <c r="A9" s="7">
        <v>0</v>
      </c>
      <c r="B9" s="7" t="s">
        <v>23</v>
      </c>
      <c r="C9" s="7">
        <v>0.78867719999999997</v>
      </c>
      <c r="D9" s="7">
        <v>0.11375894</v>
      </c>
      <c r="E9" s="7">
        <v>0.77126470000000003</v>
      </c>
      <c r="F9" s="7">
        <v>0.25091255000000001</v>
      </c>
      <c r="G9" s="7">
        <v>0.89928410000000003</v>
      </c>
      <c r="H9" s="7">
        <v>0.10071581</v>
      </c>
      <c r="I9" s="7">
        <v>0.98756929999999998</v>
      </c>
      <c r="J9" s="7">
        <v>1.2430750000000001E-2</v>
      </c>
      <c r="K9" s="7">
        <v>4.6493622999999998E-2</v>
      </c>
      <c r="L9" s="7">
        <v>0.45047772000000003</v>
      </c>
      <c r="M9" s="7">
        <v>0.13131778</v>
      </c>
      <c r="N9" s="7">
        <v>0.86868219999999996</v>
      </c>
      <c r="O9" s="7">
        <v>0.15787013999999999</v>
      </c>
      <c r="P9" s="7">
        <v>0.84212989999999999</v>
      </c>
      <c r="Q9" s="8">
        <v>0</v>
      </c>
      <c r="R9" s="9">
        <v>0</v>
      </c>
      <c r="S9" s="10">
        <v>0</v>
      </c>
    </row>
    <row r="10" spans="1:19">
      <c r="A10" s="1">
        <v>0</v>
      </c>
      <c r="B10" s="1" t="s">
        <v>24</v>
      </c>
      <c r="C10" s="1">
        <v>0.80502366999999997</v>
      </c>
      <c r="D10" s="1">
        <v>0.10061915</v>
      </c>
      <c r="E10" s="1">
        <v>0.77487689999999998</v>
      </c>
      <c r="F10" s="1">
        <v>0.33407360000000003</v>
      </c>
      <c r="G10" s="1">
        <v>0.86321175000000006</v>
      </c>
      <c r="H10" s="1">
        <v>0.13678825</v>
      </c>
      <c r="I10" s="1">
        <v>0.54027400000000003</v>
      </c>
      <c r="J10" s="1">
        <v>0.45972594999999999</v>
      </c>
      <c r="K10" s="1">
        <v>0.32538234999999999</v>
      </c>
      <c r="L10" s="1">
        <v>0.15590951</v>
      </c>
      <c r="M10" s="1">
        <v>0.57119379999999997</v>
      </c>
      <c r="N10" s="1">
        <v>0.42880620000000003</v>
      </c>
      <c r="O10" s="1">
        <v>0.82879174</v>
      </c>
      <c r="P10" s="1">
        <v>0.17120825000000001</v>
      </c>
      <c r="Q10" s="4">
        <v>0</v>
      </c>
      <c r="R10" s="11">
        <v>0</v>
      </c>
      <c r="S10" s="6">
        <v>0</v>
      </c>
    </row>
    <row r="11" spans="1:19">
      <c r="A11" s="1">
        <v>0</v>
      </c>
      <c r="B11" s="1" t="s">
        <v>25</v>
      </c>
      <c r="C11" s="1">
        <v>0.31316125</v>
      </c>
      <c r="D11" s="1">
        <v>0.72640459999999996</v>
      </c>
      <c r="E11" s="1">
        <v>0.62609130000000002</v>
      </c>
      <c r="F11" s="1">
        <v>0.62168840000000003</v>
      </c>
      <c r="G11" s="1">
        <v>0.63247220000000004</v>
      </c>
      <c r="H11" s="1">
        <v>0.36752774999999999</v>
      </c>
      <c r="I11" s="1">
        <v>0.10459913999999999</v>
      </c>
      <c r="J11" s="1">
        <v>0.89540090000000006</v>
      </c>
      <c r="K11" s="1">
        <v>4.4195600000000002E-2</v>
      </c>
      <c r="L11" s="1">
        <v>0.46990374000000001</v>
      </c>
      <c r="M11" s="1">
        <v>7.1045129999999998E-2</v>
      </c>
      <c r="N11" s="1">
        <v>0.92895483999999995</v>
      </c>
      <c r="O11" s="1">
        <v>0.24568129</v>
      </c>
      <c r="P11" s="1">
        <v>0.75431870000000001</v>
      </c>
      <c r="Q11" s="4">
        <v>0</v>
      </c>
      <c r="R11" s="11">
        <v>0</v>
      </c>
      <c r="S11" s="6">
        <v>0</v>
      </c>
    </row>
    <row r="12" spans="1:19">
      <c r="A12" s="1">
        <v>0</v>
      </c>
      <c r="B12" s="1" t="s">
        <v>26</v>
      </c>
      <c r="C12" s="1">
        <v>0.82279199999999997</v>
      </c>
      <c r="D12" s="1">
        <v>3.5618852999999999E-2</v>
      </c>
      <c r="E12" s="1">
        <v>0.78580030000000001</v>
      </c>
      <c r="F12" s="1">
        <v>6.3632750000000002E-2</v>
      </c>
      <c r="G12" s="1">
        <v>0.99308819999999998</v>
      </c>
      <c r="H12" s="1">
        <v>6.9117709999999997E-3</v>
      </c>
      <c r="I12" s="1">
        <v>0.99745779999999995</v>
      </c>
      <c r="J12" s="1">
        <v>2.5421965000000002E-3</v>
      </c>
      <c r="K12" s="1">
        <v>0.34291836999999997</v>
      </c>
      <c r="L12" s="1">
        <v>2.4503144000000001E-2</v>
      </c>
      <c r="M12" s="1">
        <v>0.70365040000000001</v>
      </c>
      <c r="N12" s="1">
        <v>0.29634956000000001</v>
      </c>
      <c r="O12" s="1">
        <v>0.36693779999999998</v>
      </c>
      <c r="P12" s="1">
        <v>0.63306220000000002</v>
      </c>
      <c r="Q12" s="4">
        <v>0</v>
      </c>
      <c r="R12" s="11">
        <v>0</v>
      </c>
      <c r="S12" s="6">
        <v>0</v>
      </c>
    </row>
    <row r="13" spans="1:19">
      <c r="A13" s="1">
        <v>0</v>
      </c>
      <c r="B13" s="1" t="s">
        <v>27</v>
      </c>
      <c r="C13" s="1">
        <v>0.78923600000000005</v>
      </c>
      <c r="D13" s="1">
        <v>0.14400217000000001</v>
      </c>
      <c r="E13" s="1">
        <v>0.69622653999999995</v>
      </c>
      <c r="F13" s="1">
        <v>0.52185570000000003</v>
      </c>
      <c r="G13" s="1">
        <v>0.72425320000000004</v>
      </c>
      <c r="H13" s="1">
        <v>0.27574682</v>
      </c>
      <c r="I13" s="1">
        <v>0.80842172999999995</v>
      </c>
      <c r="J13" s="1">
        <v>0.19157832999999999</v>
      </c>
      <c r="K13" s="1">
        <v>0.45806098000000001</v>
      </c>
      <c r="L13" s="1">
        <v>0.13654036999999999</v>
      </c>
      <c r="M13" s="1">
        <v>0.62224970000000002</v>
      </c>
      <c r="N13" s="1">
        <v>0.37775034000000002</v>
      </c>
      <c r="O13" s="1">
        <v>0.66066634999999996</v>
      </c>
      <c r="P13" s="1">
        <v>0.33933364999999999</v>
      </c>
      <c r="Q13" s="4">
        <v>0</v>
      </c>
      <c r="R13" s="11">
        <v>0</v>
      </c>
      <c r="S13" s="6">
        <v>0</v>
      </c>
    </row>
    <row r="14" spans="1:19">
      <c r="A14" s="1">
        <v>0</v>
      </c>
      <c r="B14" s="1" t="s">
        <v>28</v>
      </c>
      <c r="C14" s="1">
        <v>0.73830079999999998</v>
      </c>
      <c r="D14" s="1">
        <v>0.30703765</v>
      </c>
      <c r="E14" s="1">
        <v>0.71486799999999995</v>
      </c>
      <c r="F14" s="1">
        <v>0.41340598000000001</v>
      </c>
      <c r="G14" s="1">
        <v>0.73344109999999996</v>
      </c>
      <c r="H14" s="1">
        <v>0.26655889999999999</v>
      </c>
      <c r="I14" s="1">
        <v>0.44769387999999999</v>
      </c>
      <c r="J14" s="1">
        <v>0.55230606000000004</v>
      </c>
      <c r="K14" s="1">
        <v>0.38149690000000003</v>
      </c>
      <c r="L14" s="1">
        <v>0.13384032000000001</v>
      </c>
      <c r="M14" s="1">
        <v>0.62734849999999998</v>
      </c>
      <c r="N14" s="1">
        <v>0.37265152000000001</v>
      </c>
      <c r="O14" s="1">
        <v>0.71054702999999997</v>
      </c>
      <c r="P14" s="1">
        <v>0.28945296999999998</v>
      </c>
      <c r="Q14" s="4">
        <v>0</v>
      </c>
      <c r="R14" s="11">
        <v>0</v>
      </c>
      <c r="S14" s="6">
        <v>0</v>
      </c>
    </row>
    <row r="15" spans="1:19">
      <c r="A15" s="1">
        <v>0</v>
      </c>
      <c r="B15" s="1" t="s">
        <v>29</v>
      </c>
      <c r="C15" s="1">
        <v>0.8211041</v>
      </c>
      <c r="D15" s="1">
        <v>1.0415821E-2</v>
      </c>
      <c r="E15" s="1">
        <v>0.79436432999999995</v>
      </c>
      <c r="F15" s="1">
        <v>0.11710234</v>
      </c>
      <c r="G15" s="1">
        <v>0.9862687</v>
      </c>
      <c r="H15" s="1">
        <v>1.3731247E-2</v>
      </c>
      <c r="I15" s="1">
        <v>0.99446020000000002</v>
      </c>
      <c r="J15" s="1">
        <v>5.5397833E-3</v>
      </c>
      <c r="K15" s="1">
        <v>0.26148825999999997</v>
      </c>
      <c r="L15" s="1">
        <v>6.7099053000000001E-3</v>
      </c>
      <c r="M15" s="1">
        <v>0.81885505000000003</v>
      </c>
      <c r="N15" s="1">
        <v>0.18114494</v>
      </c>
      <c r="O15" s="1">
        <v>0.91537159999999995</v>
      </c>
      <c r="P15" s="1">
        <v>8.4628380000000003E-2</v>
      </c>
      <c r="Q15" s="4">
        <v>0</v>
      </c>
      <c r="R15" s="11">
        <v>0</v>
      </c>
      <c r="S15" s="6">
        <v>0</v>
      </c>
    </row>
    <row r="16" spans="1:19">
      <c r="A16" s="1">
        <v>0</v>
      </c>
      <c r="B16" s="1" t="s">
        <v>30</v>
      </c>
      <c r="C16" s="1">
        <v>0.69611113999999996</v>
      </c>
      <c r="D16" s="1">
        <v>0.39652680000000001</v>
      </c>
      <c r="E16" s="1">
        <v>0.69697659999999995</v>
      </c>
      <c r="F16" s="1">
        <v>0.46790549999999997</v>
      </c>
      <c r="G16" s="1">
        <v>0.75361140000000004</v>
      </c>
      <c r="H16" s="1">
        <v>0.24638860000000001</v>
      </c>
      <c r="I16" s="1">
        <v>0.65036090000000002</v>
      </c>
      <c r="J16" s="1">
        <v>0.34963909999999998</v>
      </c>
      <c r="K16" s="1">
        <v>0.28168579999999999</v>
      </c>
      <c r="L16" s="1">
        <v>0.20907756999999999</v>
      </c>
      <c r="M16" s="1">
        <v>0.57247329999999996</v>
      </c>
      <c r="N16" s="1">
        <v>0.42752667999999999</v>
      </c>
      <c r="O16" s="1">
        <v>0.47459837999999999</v>
      </c>
      <c r="P16" s="1">
        <v>0.52540160000000002</v>
      </c>
      <c r="Q16" s="4">
        <v>0</v>
      </c>
      <c r="R16" s="11">
        <v>0</v>
      </c>
      <c r="S16" s="6">
        <v>0</v>
      </c>
    </row>
    <row r="17" spans="1:19">
      <c r="A17" s="1">
        <v>0</v>
      </c>
      <c r="B17" s="1" t="s">
        <v>31</v>
      </c>
      <c r="C17" s="1">
        <v>0.41989650000000001</v>
      </c>
      <c r="D17" s="1">
        <v>0.67975395999999999</v>
      </c>
      <c r="E17" s="1">
        <v>0.39726588000000002</v>
      </c>
      <c r="F17" s="1">
        <v>0.73446584000000004</v>
      </c>
      <c r="G17" s="1">
        <v>9.7974000000000006E-2</v>
      </c>
      <c r="H17" s="1">
        <v>0.90202599999999999</v>
      </c>
      <c r="I17" s="1">
        <v>0.22168868999999999</v>
      </c>
      <c r="J17" s="1">
        <v>0.77831130000000004</v>
      </c>
      <c r="K17" s="1">
        <v>0.28111723</v>
      </c>
      <c r="L17" s="1">
        <v>0.28373431999999998</v>
      </c>
      <c r="M17" s="1">
        <v>0.35034460000000001</v>
      </c>
      <c r="N17" s="1">
        <v>0.64965539999999999</v>
      </c>
      <c r="O17" s="1">
        <v>0.53749924999999998</v>
      </c>
      <c r="P17" s="1">
        <v>0.46250075000000002</v>
      </c>
      <c r="Q17" s="4">
        <v>0</v>
      </c>
      <c r="R17" s="11">
        <v>0</v>
      </c>
      <c r="S17" s="6">
        <v>0</v>
      </c>
    </row>
    <row r="18" spans="1:19">
      <c r="A18" s="1">
        <v>0</v>
      </c>
      <c r="B18" s="1" t="s">
        <v>32</v>
      </c>
      <c r="C18" s="1">
        <v>0.53409046000000004</v>
      </c>
      <c r="D18" s="1">
        <v>0.67596080000000003</v>
      </c>
      <c r="E18" s="1">
        <v>0.62602376999999998</v>
      </c>
      <c r="F18" s="1">
        <v>0.60115397000000004</v>
      </c>
      <c r="G18" s="1">
        <v>0.23379388000000001</v>
      </c>
      <c r="H18" s="1">
        <v>0.7662061</v>
      </c>
      <c r="I18" s="1">
        <v>0.22109050999999999</v>
      </c>
      <c r="J18" s="1">
        <v>0.77890943999999995</v>
      </c>
      <c r="K18" s="1">
        <v>0.24607518</v>
      </c>
      <c r="L18" s="1">
        <v>0.20879401</v>
      </c>
      <c r="M18" s="1">
        <v>0.5291768</v>
      </c>
      <c r="N18" s="1">
        <v>0.4708232</v>
      </c>
      <c r="O18" s="1">
        <v>0.58213519999999996</v>
      </c>
      <c r="P18" s="1">
        <v>0.41786474000000001</v>
      </c>
      <c r="Q18" s="4">
        <v>0</v>
      </c>
      <c r="R18" s="11">
        <v>0</v>
      </c>
      <c r="S18" s="6">
        <v>0</v>
      </c>
    </row>
    <row r="19" spans="1:19">
      <c r="A19" s="1">
        <v>0</v>
      </c>
      <c r="B19" s="1" t="s">
        <v>33</v>
      </c>
      <c r="C19" s="1">
        <v>0.81870350000000003</v>
      </c>
      <c r="D19" s="1">
        <v>2.6247744E-2</v>
      </c>
      <c r="E19" s="1">
        <v>0.78953993</v>
      </c>
      <c r="F19" s="1">
        <v>5.9641949999999999E-2</v>
      </c>
      <c r="G19" s="1">
        <v>0.99506490000000003</v>
      </c>
      <c r="H19" s="1">
        <v>4.9351183999999998E-3</v>
      </c>
      <c r="I19" s="1">
        <v>0.99808059999999998</v>
      </c>
      <c r="J19" s="1">
        <v>1.9193635000000001E-3</v>
      </c>
      <c r="K19" s="1">
        <v>0.21075927999999999</v>
      </c>
      <c r="L19" s="1">
        <v>8.5733140000000003E-3</v>
      </c>
      <c r="M19" s="1">
        <v>0.75063270000000004</v>
      </c>
      <c r="N19" s="1">
        <v>0.24936727</v>
      </c>
      <c r="O19" s="1">
        <v>0.76408166</v>
      </c>
      <c r="P19" s="1">
        <v>0.23591836999999999</v>
      </c>
      <c r="Q19" s="4">
        <v>0</v>
      </c>
      <c r="R19" s="11">
        <v>0</v>
      </c>
      <c r="S19" s="6">
        <v>1</v>
      </c>
    </row>
    <row r="20" spans="1:19">
      <c r="A20" s="1">
        <v>0</v>
      </c>
      <c r="B20" s="1" t="s">
        <v>34</v>
      </c>
      <c r="C20" s="1">
        <v>0.75325319999999996</v>
      </c>
      <c r="D20" s="1">
        <v>0.23573261000000001</v>
      </c>
      <c r="E20" s="1">
        <v>0.72559154000000003</v>
      </c>
      <c r="F20" s="1">
        <v>0.27931866</v>
      </c>
      <c r="G20" s="1">
        <v>0.92727559999999998</v>
      </c>
      <c r="H20" s="1">
        <v>7.2724410000000003E-2</v>
      </c>
      <c r="I20" s="1">
        <v>0.88741404000000002</v>
      </c>
      <c r="J20" s="1">
        <v>0.11258589500000001</v>
      </c>
      <c r="K20" s="1">
        <v>0.21130699999999999</v>
      </c>
      <c r="L20" s="1">
        <v>0.32143675999999999</v>
      </c>
      <c r="M20" s="1">
        <v>0.59440565000000001</v>
      </c>
      <c r="N20" s="1">
        <v>0.40559432000000001</v>
      </c>
      <c r="O20" s="1">
        <v>0.89423560000000002</v>
      </c>
      <c r="P20" s="1">
        <v>0.10576441</v>
      </c>
      <c r="Q20" s="4">
        <v>0</v>
      </c>
      <c r="R20" s="11">
        <v>0</v>
      </c>
      <c r="S20" s="6">
        <v>0</v>
      </c>
    </row>
    <row r="21" spans="1:19">
      <c r="A21" s="1">
        <v>0</v>
      </c>
      <c r="B21" s="1" t="s">
        <v>35</v>
      </c>
      <c r="C21" s="1">
        <v>0.52157575</v>
      </c>
      <c r="D21" s="1">
        <v>0.6439918</v>
      </c>
      <c r="E21" s="1">
        <v>0.43002289999999999</v>
      </c>
      <c r="F21" s="1">
        <v>0.74473730000000005</v>
      </c>
      <c r="G21" s="1">
        <v>0.17673886</v>
      </c>
      <c r="H21" s="1">
        <v>0.82326113999999995</v>
      </c>
      <c r="I21" s="1">
        <v>0.14856802</v>
      </c>
      <c r="J21" s="1">
        <v>0.85143199999999997</v>
      </c>
      <c r="K21" s="1">
        <v>0.12909799999999999</v>
      </c>
      <c r="L21" s="1">
        <v>0.34496622999999998</v>
      </c>
      <c r="M21" s="1">
        <v>0.35937068</v>
      </c>
      <c r="N21" s="1">
        <v>0.64062934999999999</v>
      </c>
      <c r="O21" s="1">
        <v>0.64915276</v>
      </c>
      <c r="P21" s="1">
        <v>0.35084720000000003</v>
      </c>
      <c r="Q21" s="4">
        <v>0</v>
      </c>
      <c r="R21" s="11">
        <v>0</v>
      </c>
      <c r="S21" s="6">
        <v>0</v>
      </c>
    </row>
    <row r="22" spans="1:19">
      <c r="A22" s="1">
        <v>0</v>
      </c>
      <c r="B22" s="1" t="s">
        <v>36</v>
      </c>
      <c r="C22" s="1">
        <v>0.78987609999999997</v>
      </c>
      <c r="D22" s="1">
        <v>4.1224065999999997E-2</v>
      </c>
      <c r="E22" s="1">
        <v>0.79066409999999998</v>
      </c>
      <c r="F22" s="1">
        <v>0.13928309</v>
      </c>
      <c r="G22" s="1">
        <v>0.9638196</v>
      </c>
      <c r="H22" s="1">
        <v>3.6180414000000001E-2</v>
      </c>
      <c r="I22" s="1">
        <v>0.94104739999999998</v>
      </c>
      <c r="J22" s="1">
        <v>5.8952606999999997E-2</v>
      </c>
      <c r="K22" s="1">
        <v>0.19735642</v>
      </c>
      <c r="L22" s="1">
        <v>0.14454955999999999</v>
      </c>
      <c r="M22" s="1">
        <v>0.63197979999999998</v>
      </c>
      <c r="N22" s="1">
        <v>0.36802024</v>
      </c>
      <c r="O22" s="1">
        <v>0.66604509999999995</v>
      </c>
      <c r="P22" s="1">
        <v>0.33395483999999998</v>
      </c>
      <c r="Q22" s="4">
        <v>0</v>
      </c>
      <c r="R22" s="11">
        <v>0</v>
      </c>
      <c r="S22" s="6">
        <v>0</v>
      </c>
    </row>
    <row r="23" spans="1:19">
      <c r="A23" s="1">
        <v>0</v>
      </c>
      <c r="B23" s="1" t="s">
        <v>37</v>
      </c>
      <c r="C23" s="1">
        <v>0.69184330000000005</v>
      </c>
      <c r="D23" s="1">
        <v>0.46117174999999999</v>
      </c>
      <c r="E23" s="1">
        <v>0.75928010000000001</v>
      </c>
      <c r="F23" s="1">
        <v>0.37275887000000002</v>
      </c>
      <c r="G23" s="1">
        <v>0.76573869999999999</v>
      </c>
      <c r="H23" s="1">
        <v>0.23426122999999999</v>
      </c>
      <c r="I23" s="1">
        <v>0.54349309999999995</v>
      </c>
      <c r="J23" s="1">
        <v>0.45650697000000001</v>
      </c>
      <c r="K23" s="1">
        <v>0.19537243000000001</v>
      </c>
      <c r="L23" s="1">
        <v>0.19014275</v>
      </c>
      <c r="M23" s="1">
        <v>0.45460662000000002</v>
      </c>
      <c r="N23" s="1">
        <v>0.54539335</v>
      </c>
      <c r="O23" s="1">
        <v>0.32942979999999999</v>
      </c>
      <c r="P23" s="1">
        <v>0.67057020000000001</v>
      </c>
      <c r="Q23" s="4">
        <v>0</v>
      </c>
      <c r="R23" s="11">
        <v>0</v>
      </c>
      <c r="S23" s="6">
        <v>0</v>
      </c>
    </row>
    <row r="24" spans="1:19">
      <c r="A24" s="1">
        <v>0</v>
      </c>
      <c r="B24" s="1" t="s">
        <v>38</v>
      </c>
      <c r="C24" s="1">
        <v>0.46645838000000001</v>
      </c>
      <c r="D24" s="1">
        <v>0.70513840000000005</v>
      </c>
      <c r="E24" s="1">
        <v>0.693191</v>
      </c>
      <c r="F24" s="1">
        <v>0.60547499999999999</v>
      </c>
      <c r="G24" s="1">
        <v>0.61315620000000004</v>
      </c>
      <c r="H24" s="1">
        <v>0.38684385999999998</v>
      </c>
      <c r="I24" s="1">
        <v>0.36107869999999997</v>
      </c>
      <c r="J24" s="1">
        <v>0.63892130000000003</v>
      </c>
      <c r="K24" s="1">
        <v>0.32271230000000001</v>
      </c>
      <c r="L24" s="1">
        <v>0.26611210000000002</v>
      </c>
      <c r="M24" s="1">
        <v>0.31159483999999998</v>
      </c>
      <c r="N24" s="1">
        <v>0.68840515999999996</v>
      </c>
      <c r="O24" s="1">
        <v>0.63202840000000005</v>
      </c>
      <c r="P24" s="1">
        <v>0.36797165999999998</v>
      </c>
      <c r="Q24" s="4">
        <v>0</v>
      </c>
      <c r="R24" s="11">
        <v>0</v>
      </c>
      <c r="S24" s="6">
        <v>0</v>
      </c>
    </row>
    <row r="25" spans="1:19">
      <c r="A25" s="1">
        <v>0</v>
      </c>
      <c r="B25" s="1" t="s">
        <v>39</v>
      </c>
      <c r="C25" s="1">
        <v>0.70000739999999995</v>
      </c>
      <c r="D25" s="1">
        <v>0.4439611</v>
      </c>
      <c r="E25" s="1">
        <v>0.78183020000000003</v>
      </c>
      <c r="F25" s="1">
        <v>0.12225402</v>
      </c>
      <c r="G25" s="1">
        <v>0.8648228</v>
      </c>
      <c r="H25" s="1">
        <v>0.13517718000000001</v>
      </c>
      <c r="I25" s="1">
        <v>0.67964089999999999</v>
      </c>
      <c r="J25" s="1">
        <v>0.32035913999999999</v>
      </c>
      <c r="K25" s="1">
        <v>0.264046</v>
      </c>
      <c r="L25" s="1">
        <v>4.2483409999999999E-2</v>
      </c>
      <c r="M25" s="1">
        <v>0.57431215000000002</v>
      </c>
      <c r="N25" s="1">
        <v>0.42568781999999999</v>
      </c>
      <c r="O25" s="1">
        <v>0.60590429999999995</v>
      </c>
      <c r="P25" s="1">
        <v>0.39409575000000002</v>
      </c>
      <c r="Q25" s="4">
        <v>0</v>
      </c>
      <c r="R25" s="11">
        <v>0</v>
      </c>
      <c r="S25" s="6">
        <v>0</v>
      </c>
    </row>
    <row r="26" spans="1:19">
      <c r="A26" s="7">
        <v>0</v>
      </c>
      <c r="B26" s="7" t="s">
        <v>40</v>
      </c>
      <c r="C26" s="7">
        <v>0.76738220000000001</v>
      </c>
      <c r="D26" s="7">
        <v>0.23086089000000001</v>
      </c>
      <c r="E26" s="7">
        <v>0.77780729999999998</v>
      </c>
      <c r="F26" s="7">
        <v>0.18406954</v>
      </c>
      <c r="G26" s="7">
        <v>0.97236763999999998</v>
      </c>
      <c r="H26" s="7">
        <v>2.7632380000000002E-2</v>
      </c>
      <c r="I26" s="7">
        <v>0.95907335999999999</v>
      </c>
      <c r="J26" s="7">
        <v>4.0926654E-2</v>
      </c>
      <c r="K26" s="7">
        <v>0.16777278000000001</v>
      </c>
      <c r="L26" s="7">
        <v>0.33952253999999998</v>
      </c>
      <c r="M26" s="7">
        <v>0.54319790000000001</v>
      </c>
      <c r="N26" s="7">
        <v>0.45680212999999997</v>
      </c>
      <c r="O26" s="7">
        <v>0.31779416999999999</v>
      </c>
      <c r="P26" s="7">
        <v>0.68220579999999997</v>
      </c>
      <c r="Q26" s="8">
        <v>1</v>
      </c>
      <c r="R26" s="9">
        <v>0</v>
      </c>
      <c r="S26" s="10">
        <v>0</v>
      </c>
    </row>
    <row r="27" spans="1:19">
      <c r="A27" s="1">
        <v>0</v>
      </c>
      <c r="B27" s="1" t="s">
        <v>41</v>
      </c>
      <c r="C27" s="1">
        <v>0.70444167000000002</v>
      </c>
      <c r="D27" s="1">
        <v>0.27472612000000002</v>
      </c>
      <c r="E27" s="1">
        <v>0.73624146000000001</v>
      </c>
      <c r="F27" s="1">
        <v>0.39967686000000002</v>
      </c>
      <c r="G27" s="1">
        <v>0.89612985000000001</v>
      </c>
      <c r="H27" s="1">
        <v>0.10387017599999999</v>
      </c>
      <c r="I27" s="1">
        <v>0.60413413999999999</v>
      </c>
      <c r="J27" s="1">
        <v>0.39586582999999997</v>
      </c>
      <c r="K27" s="1">
        <v>0.11920518400000001</v>
      </c>
      <c r="L27" s="1">
        <v>0.37604423999999997</v>
      </c>
      <c r="M27" s="1">
        <v>0.22308840999999999</v>
      </c>
      <c r="N27" s="1">
        <v>0.77691155999999995</v>
      </c>
      <c r="O27" s="1">
        <v>0.1146692</v>
      </c>
      <c r="P27" s="1">
        <v>0.88533074</v>
      </c>
      <c r="Q27" s="4">
        <v>0</v>
      </c>
      <c r="R27" s="6">
        <v>1</v>
      </c>
      <c r="S27" s="6">
        <v>1</v>
      </c>
    </row>
    <row r="28" spans="1:19">
      <c r="A28" s="1">
        <v>0</v>
      </c>
      <c r="B28" s="1" t="s">
        <v>42</v>
      </c>
      <c r="C28" s="1">
        <v>0.69670679999999996</v>
      </c>
      <c r="D28" s="1">
        <v>0.44106334000000003</v>
      </c>
      <c r="E28" s="1">
        <v>0.62867445</v>
      </c>
      <c r="F28" s="1">
        <v>0.66077684999999997</v>
      </c>
      <c r="G28" s="1">
        <v>0.58470940000000005</v>
      </c>
      <c r="H28" s="1">
        <v>0.41529055999999998</v>
      </c>
      <c r="I28" s="1">
        <v>0.73449326000000004</v>
      </c>
      <c r="J28" s="1">
        <v>0.26550667999999999</v>
      </c>
      <c r="K28" s="1">
        <v>0.10148284</v>
      </c>
      <c r="L28" s="1">
        <v>0.34644738000000003</v>
      </c>
      <c r="M28" s="1">
        <v>0.28959026999999998</v>
      </c>
      <c r="N28" s="1">
        <v>0.71040976</v>
      </c>
      <c r="O28" s="1">
        <v>0.56372359999999999</v>
      </c>
      <c r="P28" s="1">
        <v>0.43627640000000001</v>
      </c>
      <c r="Q28" s="4">
        <v>1</v>
      </c>
      <c r="R28" s="6">
        <v>1</v>
      </c>
      <c r="S28" s="6">
        <v>0</v>
      </c>
    </row>
    <row r="29" spans="1:19">
      <c r="A29" s="1">
        <v>0</v>
      </c>
      <c r="B29" s="1" t="s">
        <v>43</v>
      </c>
      <c r="C29" s="1">
        <v>0.72616667000000001</v>
      </c>
      <c r="D29" s="1">
        <v>0.27436769999999999</v>
      </c>
      <c r="E29" s="1">
        <v>0.67148699999999995</v>
      </c>
      <c r="F29" s="1">
        <v>0.45171951999999999</v>
      </c>
      <c r="G29" s="1">
        <v>0.80274075</v>
      </c>
      <c r="H29" s="1">
        <v>0.19725925999999999</v>
      </c>
      <c r="I29" s="1">
        <v>0.73062115999999999</v>
      </c>
      <c r="J29" s="1">
        <v>0.26937886999999999</v>
      </c>
      <c r="K29" s="1">
        <v>0.29535860000000003</v>
      </c>
      <c r="L29" s="1">
        <v>5.7651437999999999E-2</v>
      </c>
      <c r="M29" s="1">
        <v>0.68949760000000004</v>
      </c>
      <c r="N29" s="1">
        <v>0.31050246999999997</v>
      </c>
      <c r="O29" s="1">
        <v>0.77593140000000005</v>
      </c>
      <c r="P29" s="1">
        <v>0.22406855000000001</v>
      </c>
      <c r="Q29" s="4">
        <v>0</v>
      </c>
      <c r="R29" s="11">
        <v>0</v>
      </c>
      <c r="S29" s="6">
        <v>0</v>
      </c>
    </row>
    <row r="30" spans="1:19">
      <c r="A30" s="1">
        <v>0</v>
      </c>
      <c r="B30" s="1" t="s">
        <v>44</v>
      </c>
      <c r="C30" s="1">
        <v>0.67974679999999998</v>
      </c>
      <c r="D30" s="1">
        <v>0.48632962000000002</v>
      </c>
      <c r="E30" s="1">
        <v>0.63879450000000004</v>
      </c>
      <c r="F30" s="1">
        <v>0.59779789999999999</v>
      </c>
      <c r="G30" s="1">
        <v>0.40293705000000002</v>
      </c>
      <c r="H30" s="1">
        <v>0.59706294999999998</v>
      </c>
      <c r="I30" s="1">
        <v>0.41643061999999997</v>
      </c>
      <c r="J30" s="1">
        <v>0.58356940000000002</v>
      </c>
      <c r="K30" s="1">
        <v>0.49762343999999997</v>
      </c>
      <c r="L30" s="1">
        <v>2.4996849000000002E-2</v>
      </c>
      <c r="M30" s="1">
        <v>0.79188499999999995</v>
      </c>
      <c r="N30" s="1">
        <v>0.20811500999999999</v>
      </c>
      <c r="O30" s="1">
        <v>0.78632020000000002</v>
      </c>
      <c r="P30" s="1">
        <v>0.21367978000000001</v>
      </c>
      <c r="Q30" s="4">
        <v>0</v>
      </c>
      <c r="R30" s="11">
        <v>0</v>
      </c>
      <c r="S30" s="6">
        <v>0</v>
      </c>
    </row>
    <row r="31" spans="1:19">
      <c r="A31" s="1">
        <v>0</v>
      </c>
      <c r="B31" s="1" t="s">
        <v>45</v>
      </c>
      <c r="C31" s="1">
        <v>0.69448430000000005</v>
      </c>
      <c r="D31" s="1">
        <v>0.33445217999999999</v>
      </c>
      <c r="E31" s="1">
        <v>0.69621014999999997</v>
      </c>
      <c r="F31" s="1">
        <v>0.32843446999999998</v>
      </c>
      <c r="G31" s="1">
        <v>0.85841730000000005</v>
      </c>
      <c r="H31" s="1">
        <v>0.14158274000000001</v>
      </c>
      <c r="I31" s="1">
        <v>0.8109499</v>
      </c>
      <c r="J31" s="1">
        <v>0.18905005999999999</v>
      </c>
      <c r="K31" s="1">
        <v>0.18443403</v>
      </c>
      <c r="L31" s="1">
        <v>0.2378596</v>
      </c>
      <c r="M31" s="1">
        <v>0.60869896000000001</v>
      </c>
      <c r="N31" s="1">
        <v>0.39130110000000001</v>
      </c>
      <c r="O31" s="1">
        <v>0.57676965000000002</v>
      </c>
      <c r="P31" s="1">
        <v>0.42323034999999998</v>
      </c>
      <c r="Q31" s="4">
        <v>1</v>
      </c>
      <c r="R31" s="11">
        <v>0</v>
      </c>
      <c r="S31" s="6">
        <v>0</v>
      </c>
    </row>
    <row r="32" spans="1:19">
      <c r="A32" s="1">
        <v>0</v>
      </c>
      <c r="B32" s="1" t="s">
        <v>46</v>
      </c>
      <c r="C32" s="1">
        <v>0.81515384000000002</v>
      </c>
      <c r="D32" s="1">
        <v>2.1627527000000001E-2</v>
      </c>
      <c r="E32" s="1">
        <v>0.78371363999999999</v>
      </c>
      <c r="F32" s="1">
        <v>7.9175830000000003E-2</v>
      </c>
      <c r="G32" s="1">
        <v>0.98194870000000001</v>
      </c>
      <c r="H32" s="1">
        <v>1.8051269000000002E-2</v>
      </c>
      <c r="I32" s="1">
        <v>0.93635665999999995</v>
      </c>
      <c r="J32" s="1">
        <v>6.3643320000000003E-2</v>
      </c>
      <c r="K32" s="1">
        <v>0.11563412000000001</v>
      </c>
      <c r="L32" s="1">
        <v>9.6082255000000005E-2</v>
      </c>
      <c r="M32" s="1">
        <v>0.76239449999999997</v>
      </c>
      <c r="N32" s="1">
        <v>0.23760555999999999</v>
      </c>
      <c r="O32" s="1">
        <v>0.96013510000000002</v>
      </c>
      <c r="P32" s="1">
        <v>3.9864924000000003E-2</v>
      </c>
      <c r="Q32" s="4">
        <v>0</v>
      </c>
      <c r="R32" s="11">
        <v>0</v>
      </c>
      <c r="S32" s="6">
        <v>0</v>
      </c>
    </row>
    <row r="33" spans="1:19">
      <c r="A33" s="1">
        <v>0</v>
      </c>
      <c r="B33" s="1" t="s">
        <v>47</v>
      </c>
      <c r="C33" s="1">
        <v>0.77296869999999995</v>
      </c>
      <c r="D33" s="1">
        <v>5.4592660000000001E-2</v>
      </c>
      <c r="E33" s="1">
        <v>0.71914089999999997</v>
      </c>
      <c r="F33" s="1">
        <v>0.20033719</v>
      </c>
      <c r="G33" s="1">
        <v>0.91243154000000004</v>
      </c>
      <c r="H33" s="1">
        <v>8.7568469999999995E-2</v>
      </c>
      <c r="I33" s="1">
        <v>0.95338429999999996</v>
      </c>
      <c r="J33" s="1">
        <v>4.6615669999999998E-2</v>
      </c>
      <c r="K33" s="1">
        <v>0.31921396000000002</v>
      </c>
      <c r="L33" s="1">
        <v>0.12314474</v>
      </c>
      <c r="M33" s="1">
        <v>0.69153019999999998</v>
      </c>
      <c r="N33" s="1">
        <v>0.30846976999999998</v>
      </c>
      <c r="O33" s="1">
        <v>0.87667799999999996</v>
      </c>
      <c r="P33" s="1">
        <v>0.12332199000000001</v>
      </c>
      <c r="Q33" s="4">
        <v>0</v>
      </c>
      <c r="R33" s="11">
        <v>0</v>
      </c>
      <c r="S33" s="6">
        <v>0</v>
      </c>
    </row>
    <row r="34" spans="1:19">
      <c r="A34" s="1">
        <v>0</v>
      </c>
      <c r="B34" s="1" t="s">
        <v>48</v>
      </c>
      <c r="C34" s="1">
        <v>0.77718633000000004</v>
      </c>
      <c r="D34" s="1">
        <v>0.22280607999999999</v>
      </c>
      <c r="E34" s="1">
        <v>0.73206329999999997</v>
      </c>
      <c r="F34" s="1">
        <v>0.48589164000000001</v>
      </c>
      <c r="G34" s="1">
        <v>0.93408769999999997</v>
      </c>
      <c r="H34" s="1">
        <v>6.5912336000000002E-2</v>
      </c>
      <c r="I34" s="1">
        <v>0.79829070000000002</v>
      </c>
      <c r="J34" s="1">
        <v>0.20170927</v>
      </c>
      <c r="K34" s="1">
        <v>0.34091169999999998</v>
      </c>
      <c r="L34" s="1">
        <v>0.14183472</v>
      </c>
      <c r="M34" s="1">
        <v>0.61751884000000001</v>
      </c>
      <c r="N34" s="1">
        <v>0.38248113</v>
      </c>
      <c r="O34" s="1">
        <v>0.4129873</v>
      </c>
      <c r="P34" s="1">
        <v>0.58701270000000005</v>
      </c>
      <c r="Q34" s="4">
        <v>1</v>
      </c>
      <c r="R34" s="11">
        <v>0</v>
      </c>
      <c r="S34" s="6">
        <v>0</v>
      </c>
    </row>
    <row r="35" spans="1:19">
      <c r="A35" s="1">
        <v>0</v>
      </c>
      <c r="B35" s="1" t="s">
        <v>49</v>
      </c>
      <c r="C35" s="1">
        <v>0.25825485999999997</v>
      </c>
      <c r="D35" s="1">
        <v>0.73650389999999999</v>
      </c>
      <c r="E35" s="1">
        <v>0.58087844</v>
      </c>
      <c r="F35" s="1">
        <v>0.64132385999999997</v>
      </c>
      <c r="G35" s="1">
        <v>0.12888694000000001</v>
      </c>
      <c r="H35" s="1">
        <v>0.87111305999999999</v>
      </c>
      <c r="I35" s="1">
        <v>4.7345478000000003E-2</v>
      </c>
      <c r="J35" s="1">
        <v>0.95265454000000005</v>
      </c>
      <c r="K35" s="1">
        <v>5.7627957E-2</v>
      </c>
      <c r="L35" s="1">
        <v>0.48218460000000002</v>
      </c>
      <c r="M35" s="1">
        <v>4.9691423999999998E-2</v>
      </c>
      <c r="N35" s="1">
        <v>0.95030859999999995</v>
      </c>
      <c r="O35" s="1">
        <v>6.8159410000000004E-2</v>
      </c>
      <c r="P35" s="1">
        <v>0.93184060000000002</v>
      </c>
      <c r="Q35" s="4">
        <v>0</v>
      </c>
      <c r="R35" s="11">
        <v>0</v>
      </c>
      <c r="S35" s="6">
        <v>0</v>
      </c>
    </row>
    <row r="36" spans="1:19">
      <c r="A36" s="1">
        <v>0</v>
      </c>
      <c r="B36" s="1" t="s">
        <v>50</v>
      </c>
      <c r="C36" s="1">
        <v>0.80234910000000004</v>
      </c>
      <c r="D36" s="1">
        <v>6.4659060000000004E-2</v>
      </c>
      <c r="E36" s="1">
        <v>0.65533273999999997</v>
      </c>
      <c r="F36" s="1">
        <v>0.5887983</v>
      </c>
      <c r="G36" s="1">
        <v>0.68330013999999994</v>
      </c>
      <c r="H36" s="1">
        <v>0.31669983000000002</v>
      </c>
      <c r="I36" s="1">
        <v>0.79650019999999999</v>
      </c>
      <c r="J36" s="1">
        <v>0.20349980000000001</v>
      </c>
      <c r="K36" s="1">
        <v>0.28890490000000002</v>
      </c>
      <c r="L36" s="1">
        <v>5.2995044999999998E-2</v>
      </c>
      <c r="M36" s="1">
        <v>0.77868753999999996</v>
      </c>
      <c r="N36" s="1">
        <v>0.22131239</v>
      </c>
      <c r="O36" s="1">
        <v>0.95793130000000004</v>
      </c>
      <c r="P36" s="1">
        <v>4.2068756999999998E-2</v>
      </c>
      <c r="Q36" s="4">
        <v>0</v>
      </c>
      <c r="R36" s="11">
        <v>0</v>
      </c>
      <c r="S36" s="6">
        <v>0</v>
      </c>
    </row>
    <row r="37" spans="1:19">
      <c r="A37" s="1">
        <v>0</v>
      </c>
      <c r="B37" s="1" t="s">
        <v>51</v>
      </c>
      <c r="C37" s="1">
        <v>0.78646859999999996</v>
      </c>
      <c r="D37" s="1">
        <v>0.12992181999999999</v>
      </c>
      <c r="E37" s="1">
        <v>0.73310339999999996</v>
      </c>
      <c r="F37" s="1">
        <v>0.33284363</v>
      </c>
      <c r="G37" s="1">
        <v>0.86142373000000005</v>
      </c>
      <c r="H37" s="1">
        <v>0.13857633</v>
      </c>
      <c r="I37" s="1">
        <v>0.41402450000000002</v>
      </c>
      <c r="J37" s="1">
        <v>0.58597549999999998</v>
      </c>
      <c r="K37" s="1">
        <v>0.29819574999999998</v>
      </c>
      <c r="L37" s="1">
        <v>0.17004693000000001</v>
      </c>
      <c r="M37" s="1">
        <v>0.35182479999999999</v>
      </c>
      <c r="N37" s="1">
        <v>0.64817519999999995</v>
      </c>
      <c r="O37" s="1">
        <v>0.46333953999999999</v>
      </c>
      <c r="P37" s="1">
        <v>0.53666042999999997</v>
      </c>
      <c r="Q37" s="4">
        <v>0</v>
      </c>
      <c r="R37" s="11">
        <v>0</v>
      </c>
      <c r="S37" s="6">
        <v>0</v>
      </c>
    </row>
    <row r="38" spans="1:19">
      <c r="A38" s="1">
        <v>0</v>
      </c>
      <c r="B38" s="1" t="s">
        <v>52</v>
      </c>
      <c r="C38" s="1">
        <v>0.8186177</v>
      </c>
      <c r="D38" s="1">
        <v>1.9178707E-2</v>
      </c>
      <c r="E38" s="1">
        <v>0.79401250000000001</v>
      </c>
      <c r="F38" s="1">
        <v>8.9354320000000001E-2</v>
      </c>
      <c r="G38" s="1">
        <v>0.98093680000000005</v>
      </c>
      <c r="H38" s="1">
        <v>1.9063205999999999E-2</v>
      </c>
      <c r="I38" s="1">
        <v>0.94196519999999995</v>
      </c>
      <c r="J38" s="1">
        <v>5.8034766000000002E-2</v>
      </c>
      <c r="K38" s="1">
        <v>0.37754747</v>
      </c>
      <c r="L38" s="1">
        <v>0.10603612</v>
      </c>
      <c r="M38" s="1">
        <v>0.74593399999999999</v>
      </c>
      <c r="N38" s="1">
        <v>0.25406595999999998</v>
      </c>
      <c r="O38" s="1">
        <v>0.80716650000000001</v>
      </c>
      <c r="P38" s="1">
        <v>0.19283344999999999</v>
      </c>
      <c r="Q38" s="4">
        <v>0</v>
      </c>
      <c r="R38" s="11">
        <v>0</v>
      </c>
      <c r="S38" s="6">
        <v>0</v>
      </c>
    </row>
    <row r="39" spans="1:19">
      <c r="A39" s="1">
        <v>0</v>
      </c>
      <c r="B39" s="1" t="s">
        <v>53</v>
      </c>
      <c r="C39" s="1">
        <v>0.78660649999999999</v>
      </c>
      <c r="D39" s="1">
        <v>0.12256103</v>
      </c>
      <c r="E39" s="1">
        <v>0.78801209999999999</v>
      </c>
      <c r="F39" s="1">
        <v>7.8021989999999999E-2</v>
      </c>
      <c r="G39" s="1">
        <v>0.97531800000000002</v>
      </c>
      <c r="H39" s="1">
        <v>2.4682017000000001E-2</v>
      </c>
      <c r="I39" s="1">
        <v>0.89931035000000004</v>
      </c>
      <c r="J39" s="1">
        <v>0.10068964</v>
      </c>
      <c r="K39" s="1">
        <v>0.15857940000000001</v>
      </c>
      <c r="L39" s="1">
        <v>0.17919948999999999</v>
      </c>
      <c r="M39" s="1">
        <v>0.62665340000000003</v>
      </c>
      <c r="N39" s="1">
        <v>0.37334663000000001</v>
      </c>
      <c r="O39" s="1">
        <v>0.67815449999999999</v>
      </c>
      <c r="P39" s="1">
        <v>0.32184547000000002</v>
      </c>
      <c r="Q39" s="4">
        <v>0</v>
      </c>
      <c r="R39" s="11">
        <v>0</v>
      </c>
      <c r="S39" s="6">
        <v>0</v>
      </c>
    </row>
    <row r="40" spans="1:19">
      <c r="A40" s="1">
        <v>0</v>
      </c>
      <c r="B40" s="1" t="s">
        <v>54</v>
      </c>
      <c r="C40" s="1">
        <v>0.76465815000000004</v>
      </c>
      <c r="D40" s="1">
        <v>0.26188982</v>
      </c>
      <c r="E40" s="1">
        <v>0.76413476000000002</v>
      </c>
      <c r="F40" s="1">
        <v>0.36291233000000001</v>
      </c>
      <c r="G40" s="1">
        <v>0.87775546000000004</v>
      </c>
      <c r="H40" s="1">
        <v>0.12224458000000001</v>
      </c>
      <c r="I40" s="1">
        <v>0.72829509999999997</v>
      </c>
      <c r="J40" s="1">
        <v>0.27170485</v>
      </c>
      <c r="K40" s="1">
        <v>0.24265322</v>
      </c>
      <c r="L40" s="1">
        <v>3.2668132E-3</v>
      </c>
      <c r="M40" s="1">
        <v>0.84216199999999997</v>
      </c>
      <c r="N40" s="1">
        <v>0.15783800000000001</v>
      </c>
      <c r="O40" s="1">
        <v>0.83081870000000002</v>
      </c>
      <c r="P40" s="1">
        <v>0.16918130000000001</v>
      </c>
      <c r="Q40" s="4">
        <v>0</v>
      </c>
      <c r="R40" s="11">
        <v>0</v>
      </c>
      <c r="S40" s="6">
        <v>0</v>
      </c>
    </row>
    <row r="41" spans="1:19">
      <c r="A41" s="1">
        <v>0</v>
      </c>
      <c r="B41" s="1" t="s">
        <v>55</v>
      </c>
      <c r="C41" s="1">
        <v>0.63826232999999999</v>
      </c>
      <c r="D41" s="1">
        <v>0.59897727000000001</v>
      </c>
      <c r="E41" s="1">
        <v>0.74939876999999999</v>
      </c>
      <c r="F41" s="1">
        <v>0.43669614000000001</v>
      </c>
      <c r="G41" s="1">
        <v>0.68764389999999997</v>
      </c>
      <c r="H41" s="1">
        <v>0.31235614</v>
      </c>
      <c r="I41" s="1">
        <v>0.121374674</v>
      </c>
      <c r="J41" s="1">
        <v>0.87862530000000005</v>
      </c>
      <c r="K41" s="1">
        <v>0.16900288999999999</v>
      </c>
      <c r="L41" s="1">
        <v>0.32860847999999998</v>
      </c>
      <c r="M41" s="1">
        <v>0.23222733000000001</v>
      </c>
      <c r="N41" s="1">
        <v>0.76777269999999997</v>
      </c>
      <c r="O41" s="1">
        <v>0.57032466000000004</v>
      </c>
      <c r="P41" s="1">
        <v>0.42967529999999998</v>
      </c>
      <c r="Q41" s="4">
        <v>0</v>
      </c>
      <c r="R41" s="11">
        <v>0</v>
      </c>
      <c r="S41" s="6">
        <v>1</v>
      </c>
    </row>
    <row r="42" spans="1:19">
      <c r="A42" s="1">
        <v>0</v>
      </c>
      <c r="B42" s="1" t="s">
        <v>56</v>
      </c>
      <c r="C42" s="1">
        <v>0.70402450000000005</v>
      </c>
      <c r="D42" s="1">
        <v>0.42578515</v>
      </c>
      <c r="E42" s="1">
        <v>0.72259669999999998</v>
      </c>
      <c r="F42" s="1">
        <v>0.44561457999999998</v>
      </c>
      <c r="G42" s="1">
        <v>0.75762384999999999</v>
      </c>
      <c r="H42" s="1">
        <v>0.24237613</v>
      </c>
      <c r="I42" s="1">
        <v>0.81119969999999997</v>
      </c>
      <c r="J42" s="1">
        <v>0.18880031999999999</v>
      </c>
      <c r="K42" s="1">
        <v>0.24392553</v>
      </c>
      <c r="L42" s="1">
        <v>0.13206283999999999</v>
      </c>
      <c r="M42" s="1">
        <v>0.74432737000000004</v>
      </c>
      <c r="N42" s="1">
        <v>0.25567266</v>
      </c>
      <c r="O42" s="1">
        <v>0.89729804000000002</v>
      </c>
      <c r="P42" s="1">
        <v>0.10270197</v>
      </c>
      <c r="Q42" s="4">
        <v>0</v>
      </c>
      <c r="R42" s="11">
        <v>0</v>
      </c>
      <c r="S42" s="6">
        <v>0</v>
      </c>
    </row>
    <row r="43" spans="1:19">
      <c r="A43" s="1">
        <v>0</v>
      </c>
      <c r="B43" s="1" t="s">
        <v>57</v>
      </c>
      <c r="C43" s="1">
        <v>0.43430832000000003</v>
      </c>
      <c r="D43" s="1">
        <v>0.68863149999999995</v>
      </c>
      <c r="E43" s="1">
        <v>0.47954799999999997</v>
      </c>
      <c r="F43" s="1">
        <v>0.67305910000000002</v>
      </c>
      <c r="G43" s="1">
        <v>9.9624500000000005E-2</v>
      </c>
      <c r="H43" s="1">
        <v>0.90037555000000002</v>
      </c>
      <c r="I43" s="1">
        <v>3.2763686E-2</v>
      </c>
      <c r="J43" s="1">
        <v>0.96723630000000005</v>
      </c>
      <c r="K43" s="1">
        <v>0.11853494000000001</v>
      </c>
      <c r="L43" s="1">
        <v>0.26616087999999999</v>
      </c>
      <c r="M43" s="1">
        <v>0.27960204999999999</v>
      </c>
      <c r="N43" s="1">
        <v>0.72039790000000004</v>
      </c>
      <c r="O43" s="1">
        <v>0.25567742999999998</v>
      </c>
      <c r="P43" s="1">
        <v>0.74432259999999995</v>
      </c>
      <c r="Q43" s="4">
        <v>0</v>
      </c>
      <c r="R43" s="11">
        <v>0</v>
      </c>
      <c r="S43" s="6">
        <v>0</v>
      </c>
    </row>
    <row r="44" spans="1:19">
      <c r="A44" s="1">
        <v>0</v>
      </c>
      <c r="B44" s="1" t="s">
        <v>58</v>
      </c>
      <c r="C44" s="1">
        <v>0.8096527</v>
      </c>
      <c r="D44" s="1">
        <v>1.8734831E-2</v>
      </c>
      <c r="E44" s="1">
        <v>0.80174769999999995</v>
      </c>
      <c r="F44" s="1">
        <v>4.4690977999999999E-2</v>
      </c>
      <c r="G44" s="1">
        <v>0.97840923000000002</v>
      </c>
      <c r="H44" s="1">
        <v>2.1590740000000001E-2</v>
      </c>
      <c r="I44" s="1">
        <v>0.9866066</v>
      </c>
      <c r="J44" s="1">
        <v>1.3393403E-2</v>
      </c>
      <c r="K44" s="1">
        <v>0.41866088000000001</v>
      </c>
      <c r="L44" s="1">
        <v>1.7914189000000001E-2</v>
      </c>
      <c r="M44" s="1">
        <v>0.87209190000000003</v>
      </c>
      <c r="N44" s="1">
        <v>0.12790815999999999</v>
      </c>
      <c r="O44" s="1">
        <v>0.80588263000000004</v>
      </c>
      <c r="P44" s="1">
        <v>0.19411737000000001</v>
      </c>
      <c r="Q44" s="4">
        <v>0</v>
      </c>
      <c r="R44" s="11">
        <v>0</v>
      </c>
      <c r="S44" s="6">
        <v>0</v>
      </c>
    </row>
    <row r="45" spans="1:19">
      <c r="A45" s="1">
        <v>0</v>
      </c>
      <c r="B45" s="1" t="s">
        <v>59</v>
      </c>
      <c r="C45" s="1">
        <v>0.76031820000000006</v>
      </c>
      <c r="D45" s="1">
        <v>0.29831043000000002</v>
      </c>
      <c r="E45" s="1">
        <v>0.76921919999999999</v>
      </c>
      <c r="F45" s="1">
        <v>0.31510472</v>
      </c>
      <c r="G45" s="1">
        <v>0.76134449999999998</v>
      </c>
      <c r="H45" s="1">
        <v>0.23865550999999999</v>
      </c>
      <c r="I45" s="1">
        <v>0.54851985000000003</v>
      </c>
      <c r="J45" s="1">
        <v>0.45148015000000002</v>
      </c>
      <c r="K45" s="1">
        <v>0.26751173</v>
      </c>
      <c r="L45" s="1">
        <v>7.9346680000000003E-2</v>
      </c>
      <c r="M45" s="1">
        <v>0.36734285999999999</v>
      </c>
      <c r="N45" s="1">
        <v>0.63265709999999997</v>
      </c>
      <c r="O45" s="1">
        <v>0.5877694</v>
      </c>
      <c r="P45" s="1">
        <v>0.41223063999999998</v>
      </c>
      <c r="Q45" s="4">
        <v>0</v>
      </c>
      <c r="R45" s="11">
        <v>0</v>
      </c>
      <c r="S45" s="6">
        <v>0</v>
      </c>
    </row>
    <row r="46" spans="1:19">
      <c r="A46" s="1">
        <v>0</v>
      </c>
      <c r="B46" s="1" t="s">
        <v>60</v>
      </c>
      <c r="C46" s="1">
        <v>0.80786360000000002</v>
      </c>
      <c r="D46" s="1">
        <v>8.0240320000000004E-3</v>
      </c>
      <c r="E46" s="1">
        <v>0.72395354999999995</v>
      </c>
      <c r="F46" s="1">
        <v>0.31218364999999998</v>
      </c>
      <c r="G46" s="1">
        <v>0.89547860000000001</v>
      </c>
      <c r="H46" s="1">
        <v>0.10452135999999999</v>
      </c>
      <c r="I46" s="1">
        <v>0.92539614000000003</v>
      </c>
      <c r="J46" s="1">
        <v>7.4603825999999998E-2</v>
      </c>
      <c r="K46" s="1">
        <v>0.27487335000000002</v>
      </c>
      <c r="L46" s="1">
        <v>0.25593589999999999</v>
      </c>
      <c r="M46" s="1">
        <v>0.72364439999999997</v>
      </c>
      <c r="N46" s="1">
        <v>0.27635562000000002</v>
      </c>
      <c r="O46" s="1">
        <v>0.81805510000000004</v>
      </c>
      <c r="P46" s="1">
        <v>0.18194489999999999</v>
      </c>
      <c r="Q46" s="4">
        <v>0</v>
      </c>
      <c r="R46" s="11">
        <v>0</v>
      </c>
      <c r="S46" s="6">
        <v>0</v>
      </c>
    </row>
    <row r="47" spans="1:19">
      <c r="A47" s="1">
        <v>0</v>
      </c>
      <c r="B47" s="1" t="s">
        <v>61</v>
      </c>
      <c r="C47" s="1">
        <v>0.75204289999999996</v>
      </c>
      <c r="D47" s="1">
        <v>0.30849406000000001</v>
      </c>
      <c r="E47" s="1">
        <v>0.75781929999999997</v>
      </c>
      <c r="F47" s="1">
        <v>0.31245645999999999</v>
      </c>
      <c r="G47" s="1">
        <v>0.92381084000000002</v>
      </c>
      <c r="H47" s="1">
        <v>7.6189145E-2</v>
      </c>
      <c r="I47" s="1">
        <v>0.3188935</v>
      </c>
      <c r="J47" s="1">
        <v>0.68110649999999995</v>
      </c>
      <c r="K47" s="1">
        <v>0.18396804</v>
      </c>
      <c r="L47" s="1">
        <v>0.14723233999999999</v>
      </c>
      <c r="M47" s="1">
        <v>0.31370039999999999</v>
      </c>
      <c r="N47" s="1">
        <v>0.68629960000000001</v>
      </c>
      <c r="O47" s="1">
        <v>0.70786559999999998</v>
      </c>
      <c r="P47" s="1">
        <v>0.29213433999999999</v>
      </c>
      <c r="Q47" s="4">
        <v>0</v>
      </c>
      <c r="R47" s="11">
        <v>0</v>
      </c>
      <c r="S47" s="6">
        <v>0</v>
      </c>
    </row>
    <row r="48" spans="1:19">
      <c r="A48" s="1">
        <v>0</v>
      </c>
      <c r="B48" s="1" t="s">
        <v>62</v>
      </c>
      <c r="C48" s="1">
        <v>0.78118829999999995</v>
      </c>
      <c r="D48" s="1">
        <v>0.1108666</v>
      </c>
      <c r="E48" s="1">
        <v>0.79150940000000003</v>
      </c>
      <c r="F48" s="1">
        <v>0.22056907000000001</v>
      </c>
      <c r="G48" s="1">
        <v>0.96691126000000005</v>
      </c>
      <c r="H48" s="1">
        <v>3.3088699999999999E-2</v>
      </c>
      <c r="I48" s="1">
        <v>0.78378736999999998</v>
      </c>
      <c r="J48" s="1">
        <v>0.21621261999999999</v>
      </c>
      <c r="K48" s="1">
        <v>0.32625957999999999</v>
      </c>
      <c r="L48" s="1">
        <v>0.23747494999999999</v>
      </c>
      <c r="M48" s="1">
        <v>0.47676550000000001</v>
      </c>
      <c r="N48" s="1">
        <v>0.52323450000000005</v>
      </c>
      <c r="O48" s="1">
        <v>0.63584280000000004</v>
      </c>
      <c r="P48" s="1">
        <v>0.36415716999999997</v>
      </c>
      <c r="Q48" s="4">
        <v>0</v>
      </c>
      <c r="R48" s="11">
        <v>0</v>
      </c>
      <c r="S48" s="6">
        <v>0</v>
      </c>
    </row>
    <row r="49" spans="1:19">
      <c r="A49" s="1">
        <v>0</v>
      </c>
      <c r="B49" s="1" t="s">
        <v>63</v>
      </c>
      <c r="C49" s="1">
        <v>0.8109362</v>
      </c>
      <c r="D49" s="1">
        <v>1.1014405E-2</v>
      </c>
      <c r="E49" s="1">
        <v>0.791875</v>
      </c>
      <c r="F49" s="1">
        <v>0.16358069</v>
      </c>
      <c r="G49" s="1">
        <v>0.97198019999999996</v>
      </c>
      <c r="H49" s="1">
        <v>2.8019763999999999E-2</v>
      </c>
      <c r="I49" s="1">
        <v>0.96946149999999998</v>
      </c>
      <c r="J49" s="1">
        <v>3.0538497000000001E-2</v>
      </c>
      <c r="K49" s="1">
        <v>0.41871417</v>
      </c>
      <c r="L49" s="1">
        <v>6.1972085000000003E-2</v>
      </c>
      <c r="M49" s="1">
        <v>0.68623610000000002</v>
      </c>
      <c r="N49" s="1">
        <v>0.31376395000000001</v>
      </c>
      <c r="O49" s="1">
        <v>0.87419194</v>
      </c>
      <c r="P49" s="1">
        <v>0.12580802999999999</v>
      </c>
      <c r="Q49" s="4">
        <v>0</v>
      </c>
      <c r="R49" s="11">
        <v>0</v>
      </c>
      <c r="S49" s="6">
        <v>0</v>
      </c>
    </row>
    <row r="50" spans="1:19">
      <c r="A50" s="1">
        <v>0</v>
      </c>
      <c r="B50" s="1" t="s">
        <v>64</v>
      </c>
      <c r="C50" s="1">
        <v>0.74666624999999998</v>
      </c>
      <c r="D50" s="1">
        <v>0.21649756000000001</v>
      </c>
      <c r="E50" s="1">
        <v>0.74754845999999997</v>
      </c>
      <c r="F50" s="1">
        <v>0.36983660000000002</v>
      </c>
      <c r="G50" s="1">
        <v>0.89572436</v>
      </c>
      <c r="H50" s="1">
        <v>0.10427566000000001</v>
      </c>
      <c r="I50" s="1">
        <v>0.57055239999999996</v>
      </c>
      <c r="J50" s="1">
        <v>0.42944765000000001</v>
      </c>
      <c r="K50" s="1">
        <v>9.9131994000000001E-2</v>
      </c>
      <c r="L50" s="1">
        <v>0.19522576</v>
      </c>
      <c r="M50" s="1">
        <v>0.58708139999999998</v>
      </c>
      <c r="N50" s="1">
        <v>0.41291863000000001</v>
      </c>
      <c r="O50" s="1">
        <v>0.57601009999999997</v>
      </c>
      <c r="P50" s="1">
        <v>0.42398986</v>
      </c>
      <c r="Q50" s="4">
        <v>0</v>
      </c>
      <c r="R50" s="11">
        <v>0</v>
      </c>
      <c r="S50" s="6">
        <v>0</v>
      </c>
    </row>
    <row r="51" spans="1:19">
      <c r="A51" s="1">
        <v>0</v>
      </c>
      <c r="B51" s="1" t="s">
        <v>65</v>
      </c>
      <c r="C51" s="1">
        <v>0.82461479999999998</v>
      </c>
      <c r="D51" s="1">
        <v>6.3468550000000002E-3</v>
      </c>
      <c r="E51" s="1">
        <v>0.79907289999999997</v>
      </c>
      <c r="F51" s="1">
        <v>0.10240871</v>
      </c>
      <c r="G51" s="1">
        <v>0.98586905000000002</v>
      </c>
      <c r="H51" s="1">
        <v>1.4130927E-2</v>
      </c>
      <c r="I51" s="1">
        <v>0.96150069999999999</v>
      </c>
      <c r="J51" s="1">
        <v>3.8499343999999998E-2</v>
      </c>
      <c r="K51" s="1">
        <v>0.30803216</v>
      </c>
      <c r="L51" s="1">
        <v>0.23136470000000001</v>
      </c>
      <c r="M51" s="1">
        <v>0.54240710000000003</v>
      </c>
      <c r="N51" s="1">
        <v>0.45759293000000001</v>
      </c>
      <c r="O51" s="1">
        <v>0.68099034000000003</v>
      </c>
      <c r="P51" s="1">
        <v>0.31900965999999997</v>
      </c>
      <c r="Q51" s="4">
        <v>0</v>
      </c>
      <c r="R51" s="11">
        <v>0</v>
      </c>
      <c r="S51" s="6">
        <v>0</v>
      </c>
    </row>
    <row r="52" spans="1:19">
      <c r="A52" s="7">
        <v>1</v>
      </c>
      <c r="B52" s="7" t="s">
        <v>66</v>
      </c>
      <c r="C52" s="7">
        <v>0.18897083000000001</v>
      </c>
      <c r="D52" s="7">
        <v>0.82090735000000004</v>
      </c>
      <c r="E52" s="7">
        <v>7.8382649999999998E-2</v>
      </c>
      <c r="F52" s="7">
        <v>0.78033799999999998</v>
      </c>
      <c r="G52" s="7">
        <v>1.0104919E-2</v>
      </c>
      <c r="H52" s="7">
        <v>0.98989505</v>
      </c>
      <c r="I52" s="12">
        <v>9.5326424000000002E-5</v>
      </c>
      <c r="J52" s="7">
        <v>0.99990462999999996</v>
      </c>
      <c r="K52" s="7">
        <v>0.13336666999999999</v>
      </c>
      <c r="L52" s="7">
        <v>0.15163428000000001</v>
      </c>
      <c r="M52" s="7">
        <v>4.7593478000000002E-2</v>
      </c>
      <c r="N52" s="7">
        <v>0.95240650000000004</v>
      </c>
      <c r="O52" s="7">
        <v>0.10235039</v>
      </c>
      <c r="P52" s="7">
        <v>0.89764960000000005</v>
      </c>
      <c r="Q52" s="8">
        <v>1</v>
      </c>
      <c r="R52" s="10">
        <v>1</v>
      </c>
      <c r="S52" s="10">
        <v>1</v>
      </c>
    </row>
    <row r="53" spans="1:19">
      <c r="A53" s="1">
        <v>1</v>
      </c>
      <c r="B53" s="1" t="s">
        <v>67</v>
      </c>
      <c r="C53" s="1">
        <v>0.36842063000000003</v>
      </c>
      <c r="D53" s="1">
        <v>0.66697483999999996</v>
      </c>
      <c r="E53" s="1">
        <v>0.67098164999999999</v>
      </c>
      <c r="F53" s="1">
        <v>0.47930790000000001</v>
      </c>
      <c r="G53" s="1">
        <v>0.74930059999999998</v>
      </c>
      <c r="H53" s="1">
        <v>0.25069945999999999</v>
      </c>
      <c r="I53" s="1">
        <v>0.19295118999999999</v>
      </c>
      <c r="J53" s="1">
        <v>0.80704880000000001</v>
      </c>
      <c r="K53" s="1">
        <v>5.3948179999999998E-2</v>
      </c>
      <c r="L53" s="1">
        <v>0.39391088000000002</v>
      </c>
      <c r="M53" s="1">
        <v>6.8801570000000006E-2</v>
      </c>
      <c r="N53" s="1">
        <v>0.93119839999999998</v>
      </c>
      <c r="O53" s="1">
        <v>4.4958475999999997E-2</v>
      </c>
      <c r="P53" s="1">
        <v>0.95504149999999999</v>
      </c>
      <c r="Q53" s="4">
        <v>1</v>
      </c>
      <c r="R53" s="6">
        <v>1</v>
      </c>
      <c r="S53" s="6">
        <v>1</v>
      </c>
    </row>
    <row r="54" spans="1:19">
      <c r="A54" s="7">
        <v>1</v>
      </c>
      <c r="B54" s="7" t="s">
        <v>68</v>
      </c>
      <c r="C54" s="7">
        <v>0.67458147000000002</v>
      </c>
      <c r="D54" s="7">
        <v>0.51876849999999997</v>
      </c>
      <c r="E54" s="7">
        <v>0.47852837999999998</v>
      </c>
      <c r="F54" s="7">
        <v>0.73060840000000005</v>
      </c>
      <c r="G54" s="7">
        <v>0.81574106000000002</v>
      </c>
      <c r="H54" s="7">
        <v>0.18425897999999999</v>
      </c>
      <c r="I54" s="7">
        <v>0.35635351999999998</v>
      </c>
      <c r="J54" s="7">
        <v>0.64364639999999995</v>
      </c>
      <c r="K54" s="7">
        <v>0.19971428999999999</v>
      </c>
      <c r="L54" s="7">
        <v>0.37859147999999998</v>
      </c>
      <c r="M54" s="7">
        <v>0.34735992999999998</v>
      </c>
      <c r="N54" s="7">
        <v>0.65264003999999998</v>
      </c>
      <c r="O54" s="7">
        <v>0.15350907999999999</v>
      </c>
      <c r="P54" s="7">
        <v>0.84649090000000005</v>
      </c>
      <c r="Q54" s="8">
        <v>1</v>
      </c>
      <c r="R54" s="10">
        <v>1</v>
      </c>
      <c r="S54" s="10">
        <v>1</v>
      </c>
    </row>
    <row r="55" spans="1:19">
      <c r="A55" s="1">
        <v>1</v>
      </c>
      <c r="B55" s="1" t="s">
        <v>69</v>
      </c>
      <c r="C55" s="1">
        <v>0.65234479999999995</v>
      </c>
      <c r="D55" s="1">
        <v>0.60694559999999997</v>
      </c>
      <c r="E55" s="1">
        <v>0.63265424999999997</v>
      </c>
      <c r="F55" s="1">
        <v>0.63275015000000001</v>
      </c>
      <c r="G55" s="1">
        <v>0.60658884000000002</v>
      </c>
      <c r="H55" s="1">
        <v>0.39341120000000002</v>
      </c>
      <c r="I55" s="1">
        <v>0.1745554</v>
      </c>
      <c r="J55" s="1">
        <v>0.82544459999999997</v>
      </c>
      <c r="K55" s="1">
        <v>0.25310644999999998</v>
      </c>
      <c r="L55" s="1">
        <v>0.28949624000000002</v>
      </c>
      <c r="M55" s="1">
        <v>0.45481575000000002</v>
      </c>
      <c r="N55" s="1">
        <v>0.54518425000000004</v>
      </c>
      <c r="O55" s="1">
        <v>0.83687012999999999</v>
      </c>
      <c r="P55" s="1">
        <v>0.16312984999999999</v>
      </c>
      <c r="Q55" s="4">
        <v>0</v>
      </c>
      <c r="R55" s="11">
        <v>1</v>
      </c>
      <c r="S55" s="6">
        <v>1</v>
      </c>
    </row>
    <row r="56" spans="1:19">
      <c r="A56" s="1">
        <v>1</v>
      </c>
      <c r="B56" s="1" t="s">
        <v>70</v>
      </c>
      <c r="C56" s="1">
        <v>0.52953260000000002</v>
      </c>
      <c r="D56" s="1">
        <v>0.59682230000000003</v>
      </c>
      <c r="E56" s="1">
        <v>0.68343394999999996</v>
      </c>
      <c r="F56" s="1">
        <v>0.49982437000000002</v>
      </c>
      <c r="G56" s="1">
        <v>0.66443600000000003</v>
      </c>
      <c r="H56" s="1">
        <v>0.33556405</v>
      </c>
      <c r="I56" s="1">
        <v>0.114763305</v>
      </c>
      <c r="J56" s="1">
        <v>0.88523669999999999</v>
      </c>
      <c r="K56" s="1">
        <v>0.25683945000000002</v>
      </c>
      <c r="L56" s="1">
        <v>0.26524225000000001</v>
      </c>
      <c r="M56" s="1">
        <v>0.16838771</v>
      </c>
      <c r="N56" s="1">
        <v>0.83161229999999997</v>
      </c>
      <c r="O56" s="1">
        <v>0.20549777</v>
      </c>
      <c r="P56" s="1">
        <v>0.79450226000000002</v>
      </c>
      <c r="Q56" s="4">
        <v>1</v>
      </c>
      <c r="R56" s="6">
        <v>1</v>
      </c>
      <c r="S56" s="6">
        <v>1</v>
      </c>
    </row>
    <row r="57" spans="1:19">
      <c r="A57" s="1">
        <v>1</v>
      </c>
      <c r="B57" s="1" t="s">
        <v>71</v>
      </c>
      <c r="C57" s="1">
        <v>0.34804269999999998</v>
      </c>
      <c r="D57" s="1">
        <v>0.63400595999999998</v>
      </c>
      <c r="E57" s="1">
        <v>0.49639654</v>
      </c>
      <c r="F57" s="1">
        <v>0.60617829999999995</v>
      </c>
      <c r="G57" s="1">
        <v>0.19260740000000001</v>
      </c>
      <c r="H57" s="1">
        <v>0.80739260000000002</v>
      </c>
      <c r="I57" s="1">
        <v>9.0000970000000003E-3</v>
      </c>
      <c r="J57" s="1">
        <v>0.99099990000000004</v>
      </c>
      <c r="K57" s="1">
        <v>5.7398073000000001E-2</v>
      </c>
      <c r="L57" s="1">
        <v>0.34700942000000001</v>
      </c>
      <c r="M57" s="1">
        <v>6.0191492999999999E-2</v>
      </c>
      <c r="N57" s="1">
        <v>0.93980854999999996</v>
      </c>
      <c r="O57" s="1">
        <v>7.2413989999999998E-2</v>
      </c>
      <c r="P57" s="1">
        <v>0.92758596000000004</v>
      </c>
      <c r="Q57" s="4">
        <v>1</v>
      </c>
      <c r="R57" s="6">
        <v>1</v>
      </c>
      <c r="S57" s="6">
        <v>1</v>
      </c>
    </row>
    <row r="58" spans="1:19">
      <c r="A58" s="1">
        <v>1</v>
      </c>
      <c r="B58" s="1" t="s">
        <v>72</v>
      </c>
      <c r="C58" s="1">
        <v>1.8249938E-2</v>
      </c>
      <c r="D58" s="1">
        <v>0.80326120000000001</v>
      </c>
      <c r="E58" s="1">
        <v>0.29253509999999999</v>
      </c>
      <c r="F58" s="1">
        <v>0.75590544999999998</v>
      </c>
      <c r="G58" s="1">
        <v>0.21187260999999999</v>
      </c>
      <c r="H58" s="1">
        <v>0.78812736000000005</v>
      </c>
      <c r="I58" s="1">
        <v>1.5642421E-3</v>
      </c>
      <c r="J58" s="1">
        <v>0.99843579999999998</v>
      </c>
      <c r="K58" s="1">
        <v>1.0833208E-2</v>
      </c>
      <c r="L58" s="1">
        <v>0.42062836999999997</v>
      </c>
      <c r="M58" s="1">
        <v>2.0878233E-2</v>
      </c>
      <c r="N58" s="1">
        <v>0.97912173999999996</v>
      </c>
      <c r="O58" s="1">
        <v>2.7817806E-2</v>
      </c>
      <c r="P58" s="1">
        <v>0.97218214999999997</v>
      </c>
      <c r="Q58" s="4">
        <v>1</v>
      </c>
      <c r="R58" s="6">
        <v>1</v>
      </c>
      <c r="S58" s="6">
        <v>1</v>
      </c>
    </row>
    <row r="59" spans="1:19">
      <c r="A59" s="1">
        <v>1</v>
      </c>
      <c r="B59" s="1" t="s">
        <v>73</v>
      </c>
      <c r="C59" s="1">
        <v>1.8471708999999999E-2</v>
      </c>
      <c r="D59" s="1">
        <v>0.78745480000000001</v>
      </c>
      <c r="E59" s="1">
        <v>0.24591125999999999</v>
      </c>
      <c r="F59" s="1">
        <v>0.74641716000000002</v>
      </c>
      <c r="G59" s="1">
        <v>1.3212454E-2</v>
      </c>
      <c r="H59" s="1">
        <v>0.98678756000000001</v>
      </c>
      <c r="I59" s="1">
        <v>2.6690870000000001E-3</v>
      </c>
      <c r="J59" s="1">
        <v>0.99733090000000002</v>
      </c>
      <c r="K59" s="1">
        <v>0.17126176000000001</v>
      </c>
      <c r="L59" s="1">
        <v>0.36113469999999998</v>
      </c>
      <c r="M59" s="1">
        <v>3.9233148000000002E-2</v>
      </c>
      <c r="N59" s="1">
        <v>0.96076684999999995</v>
      </c>
      <c r="O59" s="1">
        <v>2.1001484000000001E-2</v>
      </c>
      <c r="P59" s="1">
        <v>0.97899853999999997</v>
      </c>
      <c r="Q59" s="4">
        <v>1</v>
      </c>
      <c r="R59" s="6">
        <v>1</v>
      </c>
      <c r="S59" s="6">
        <v>1</v>
      </c>
    </row>
    <row r="60" spans="1:19">
      <c r="A60" s="7">
        <v>1</v>
      </c>
      <c r="B60" s="7" t="s">
        <v>74</v>
      </c>
      <c r="C60" s="7">
        <v>0.3277292</v>
      </c>
      <c r="D60" s="7">
        <v>0.70663980000000004</v>
      </c>
      <c r="E60" s="7">
        <v>0.67266475999999997</v>
      </c>
      <c r="F60" s="7">
        <v>0.51418370000000002</v>
      </c>
      <c r="G60" s="7">
        <v>0.8364009</v>
      </c>
      <c r="H60" s="7">
        <v>0.1635991</v>
      </c>
      <c r="I60" s="7">
        <v>8.7724170000000004E-2</v>
      </c>
      <c r="J60" s="7">
        <v>0.91227585</v>
      </c>
      <c r="K60" s="7">
        <v>8.0142140000000004E-3</v>
      </c>
      <c r="L60" s="7">
        <v>0.41078869000000001</v>
      </c>
      <c r="M60" s="7">
        <v>6.5350329999999998E-2</v>
      </c>
      <c r="N60" s="7">
        <v>0.93464970000000003</v>
      </c>
      <c r="O60" s="7">
        <v>0.1036233</v>
      </c>
      <c r="P60" s="7">
        <v>0.89637670000000003</v>
      </c>
      <c r="Q60" s="8">
        <v>1</v>
      </c>
      <c r="R60" s="10">
        <v>1</v>
      </c>
      <c r="S60" s="10">
        <v>1</v>
      </c>
    </row>
    <row r="61" spans="1:19">
      <c r="A61" s="1">
        <v>1</v>
      </c>
      <c r="B61" s="1" t="s">
        <v>75</v>
      </c>
      <c r="C61" s="1">
        <v>7.3385954000000003E-2</v>
      </c>
      <c r="D61" s="1">
        <v>0.77597329999999998</v>
      </c>
      <c r="E61" s="1">
        <v>0.10463740000000001</v>
      </c>
      <c r="F61" s="1">
        <v>0.77418529999999997</v>
      </c>
      <c r="G61" s="1">
        <v>2.3788428E-2</v>
      </c>
      <c r="H61" s="1">
        <v>0.97621159999999996</v>
      </c>
      <c r="I61" s="1">
        <v>2.064537E-2</v>
      </c>
      <c r="J61" s="1">
        <v>0.97935459999999996</v>
      </c>
      <c r="K61" s="1">
        <v>0.25953971999999997</v>
      </c>
      <c r="L61" s="1">
        <v>0.22198000000000001</v>
      </c>
      <c r="M61" s="1">
        <v>0.24536686999999999</v>
      </c>
      <c r="N61" s="1">
        <v>0.7546332</v>
      </c>
      <c r="O61" s="1">
        <v>0.47352919999999998</v>
      </c>
      <c r="P61" s="1">
        <v>0.52647084</v>
      </c>
      <c r="Q61" s="4">
        <v>1</v>
      </c>
      <c r="R61" s="11">
        <v>1</v>
      </c>
      <c r="S61" s="6">
        <v>1</v>
      </c>
    </row>
    <row r="62" spans="1:19">
      <c r="A62" s="1">
        <v>1</v>
      </c>
      <c r="B62" s="1" t="s">
        <v>76</v>
      </c>
      <c r="C62" s="1">
        <v>0.54913115999999995</v>
      </c>
      <c r="D62" s="1">
        <v>0.58276340000000004</v>
      </c>
      <c r="E62" s="1">
        <v>0.64840883000000005</v>
      </c>
      <c r="F62" s="1">
        <v>0.58033299999999999</v>
      </c>
      <c r="G62" s="1">
        <v>0.56369345999999998</v>
      </c>
      <c r="H62" s="1">
        <v>0.43630654000000002</v>
      </c>
      <c r="I62" s="1">
        <v>0.18689421000000001</v>
      </c>
      <c r="J62" s="1">
        <v>0.81310579999999999</v>
      </c>
      <c r="K62" s="1">
        <v>9.4488785000000006E-2</v>
      </c>
      <c r="L62" s="1">
        <v>0.27211636</v>
      </c>
      <c r="M62" s="1">
        <v>0.18405655000000001</v>
      </c>
      <c r="N62" s="1">
        <v>0.81594350000000004</v>
      </c>
      <c r="O62" s="1">
        <v>9.5583680000000004E-2</v>
      </c>
      <c r="P62" s="1">
        <v>0.90441629999999995</v>
      </c>
      <c r="Q62" s="4">
        <v>1</v>
      </c>
      <c r="R62" s="6">
        <v>1</v>
      </c>
      <c r="S62" s="6">
        <v>1</v>
      </c>
    </row>
    <row r="63" spans="1:19">
      <c r="A63" s="1">
        <v>1</v>
      </c>
      <c r="B63" s="1" t="s">
        <v>77</v>
      </c>
      <c r="C63" s="1">
        <v>0.20236796000000001</v>
      </c>
      <c r="D63" s="1">
        <v>0.8188976</v>
      </c>
      <c r="E63" s="1">
        <v>2.6296594E-3</v>
      </c>
      <c r="F63" s="1">
        <v>0.78842734999999997</v>
      </c>
      <c r="G63" s="1">
        <v>5.5792264000000002E-4</v>
      </c>
      <c r="H63" s="1">
        <v>0.99944204000000003</v>
      </c>
      <c r="I63" s="1">
        <v>9.6609134999999999E-4</v>
      </c>
      <c r="J63" s="1">
        <v>0.99903390000000003</v>
      </c>
      <c r="K63" s="1">
        <v>2.7971167000000002E-2</v>
      </c>
      <c r="L63" s="1">
        <v>0.32230734999999999</v>
      </c>
      <c r="M63" s="1">
        <v>0.28421286000000001</v>
      </c>
      <c r="N63" s="1">
        <v>0.71578710000000001</v>
      </c>
      <c r="O63" s="1">
        <v>0.13006470000000001</v>
      </c>
      <c r="P63" s="1">
        <v>0.86993533000000001</v>
      </c>
      <c r="Q63" s="4">
        <v>1</v>
      </c>
      <c r="R63" s="6">
        <v>1</v>
      </c>
      <c r="S63" s="6">
        <v>1</v>
      </c>
    </row>
    <row r="64" spans="1:19">
      <c r="A64" s="1">
        <v>1</v>
      </c>
      <c r="B64" s="1" t="s">
        <v>78</v>
      </c>
      <c r="C64" s="1">
        <v>0.33544826999999999</v>
      </c>
      <c r="D64" s="1">
        <v>0.72576684000000002</v>
      </c>
      <c r="E64" s="1">
        <v>0.32126322000000002</v>
      </c>
      <c r="F64" s="1">
        <v>0.73138320000000001</v>
      </c>
      <c r="G64" s="1">
        <v>0.21452758</v>
      </c>
      <c r="H64" s="1">
        <v>0.78547239999999996</v>
      </c>
      <c r="I64" s="1">
        <v>4.0734769999999997E-2</v>
      </c>
      <c r="J64" s="1">
        <v>0.95926520000000004</v>
      </c>
      <c r="K64" s="1">
        <v>0.18982842999999999</v>
      </c>
      <c r="L64" s="1">
        <v>0.30044042999999998</v>
      </c>
      <c r="M64" s="1">
        <v>0.4938476</v>
      </c>
      <c r="N64" s="1">
        <v>0.50615239999999995</v>
      </c>
      <c r="O64" s="1">
        <v>0.42583032999999998</v>
      </c>
      <c r="P64" s="1">
        <v>0.57416964000000004</v>
      </c>
      <c r="Q64" s="4">
        <v>1</v>
      </c>
      <c r="R64" s="11">
        <v>0</v>
      </c>
      <c r="S64" s="6">
        <v>1</v>
      </c>
    </row>
    <row r="65" spans="1:19">
      <c r="A65" s="1">
        <v>1</v>
      </c>
      <c r="B65" s="1" t="s">
        <v>79</v>
      </c>
      <c r="C65" s="1">
        <v>0.21430420999999999</v>
      </c>
      <c r="D65" s="1">
        <v>0.76441740000000002</v>
      </c>
      <c r="E65" s="1">
        <v>0.61455475999999998</v>
      </c>
      <c r="F65" s="1">
        <v>0.6445246</v>
      </c>
      <c r="G65" s="1">
        <v>0.6575415</v>
      </c>
      <c r="H65" s="1">
        <v>0.34245854999999997</v>
      </c>
      <c r="I65" s="1">
        <v>6.7728200000000002E-2</v>
      </c>
      <c r="J65" s="1">
        <v>0.93227183999999996</v>
      </c>
      <c r="K65" s="1">
        <v>0.11692332</v>
      </c>
      <c r="L65" s="1">
        <v>0.16569034999999999</v>
      </c>
      <c r="M65" s="1">
        <v>0.35207430000000001</v>
      </c>
      <c r="N65" s="1">
        <v>0.64792572999999998</v>
      </c>
      <c r="O65" s="1">
        <v>0.49472916</v>
      </c>
      <c r="P65" s="1">
        <v>0.50527080000000002</v>
      </c>
      <c r="Q65" s="4">
        <v>0</v>
      </c>
      <c r="R65" s="11">
        <v>1</v>
      </c>
      <c r="S65" s="6">
        <v>1</v>
      </c>
    </row>
    <row r="66" spans="1:19">
      <c r="A66" s="1">
        <v>1</v>
      </c>
      <c r="B66" s="1" t="s">
        <v>80</v>
      </c>
      <c r="C66" s="1">
        <v>0.57306623000000001</v>
      </c>
      <c r="D66" s="1">
        <v>0.56842649999999995</v>
      </c>
      <c r="E66" s="1">
        <v>0.47908519999999999</v>
      </c>
      <c r="F66" s="1">
        <v>0.65565709999999999</v>
      </c>
      <c r="G66" s="1">
        <v>0.57116659999999997</v>
      </c>
      <c r="H66" s="1">
        <v>0.42883343000000002</v>
      </c>
      <c r="I66" s="1">
        <v>0.43262145000000002</v>
      </c>
      <c r="J66" s="1">
        <v>0.56737859999999996</v>
      </c>
      <c r="K66" s="1">
        <v>0.26657847000000001</v>
      </c>
      <c r="L66" s="1">
        <v>0.13349214000000001</v>
      </c>
      <c r="M66" s="1">
        <v>0.71139070000000004</v>
      </c>
      <c r="N66" s="1">
        <v>0.28860933</v>
      </c>
      <c r="O66" s="1">
        <v>0.75665384999999996</v>
      </c>
      <c r="P66" s="1">
        <v>0.24334620000000001</v>
      </c>
      <c r="Q66" s="4">
        <v>1</v>
      </c>
      <c r="R66" s="6">
        <v>1</v>
      </c>
      <c r="S66" s="6">
        <v>1</v>
      </c>
    </row>
    <row r="67" spans="1:19">
      <c r="A67" s="7">
        <v>1</v>
      </c>
      <c r="B67" s="7" t="s">
        <v>81</v>
      </c>
      <c r="C67" s="7">
        <v>0.54952659999999998</v>
      </c>
      <c r="D67" s="7">
        <v>0.60939679999999996</v>
      </c>
      <c r="E67" s="7">
        <v>0.46596014000000002</v>
      </c>
      <c r="F67" s="7">
        <v>0.69393530000000003</v>
      </c>
      <c r="G67" s="7">
        <v>0.21421127000000001</v>
      </c>
      <c r="H67" s="7">
        <v>0.78578879999999995</v>
      </c>
      <c r="I67" s="7">
        <v>0.21234098000000001</v>
      </c>
      <c r="J67" s="7">
        <v>0.78765905000000003</v>
      </c>
      <c r="K67" s="7">
        <v>0.31475407</v>
      </c>
      <c r="L67" s="7">
        <v>0.25373119999999999</v>
      </c>
      <c r="M67" s="7">
        <v>0.62062013000000005</v>
      </c>
      <c r="N67" s="7">
        <v>0.37937984000000002</v>
      </c>
      <c r="O67" s="7">
        <v>0.81018763999999999</v>
      </c>
      <c r="P67" s="7">
        <v>0.18981239999999999</v>
      </c>
      <c r="Q67" s="8">
        <v>1</v>
      </c>
      <c r="R67" s="10">
        <v>1</v>
      </c>
      <c r="S67" s="10">
        <v>1</v>
      </c>
    </row>
    <row r="68" spans="1:19">
      <c r="A68" s="1">
        <v>1</v>
      </c>
      <c r="B68" s="1" t="s">
        <v>82</v>
      </c>
      <c r="C68" s="1">
        <v>1.2605180000000001E-2</v>
      </c>
      <c r="D68" s="1">
        <v>0.81505989999999995</v>
      </c>
      <c r="E68" s="1">
        <v>0.22112303999999999</v>
      </c>
      <c r="F68" s="1">
        <v>0.76701874000000003</v>
      </c>
      <c r="G68" s="1">
        <v>5.5336595000000002E-2</v>
      </c>
      <c r="H68" s="1">
        <v>0.94466340000000004</v>
      </c>
      <c r="I68" s="1">
        <v>1.5370290999999999E-2</v>
      </c>
      <c r="J68" s="1">
        <v>0.98462970000000005</v>
      </c>
      <c r="K68" s="1">
        <v>0.103365056</v>
      </c>
      <c r="L68" s="1">
        <v>0.30743809999999999</v>
      </c>
      <c r="M68" s="1">
        <v>0.26336812999999998</v>
      </c>
      <c r="N68" s="1">
        <v>0.73663190000000001</v>
      </c>
      <c r="O68" s="1">
        <v>6.1404889999999997E-2</v>
      </c>
      <c r="P68" s="1">
        <v>0.93859506000000004</v>
      </c>
      <c r="Q68" s="4">
        <v>1</v>
      </c>
      <c r="R68" s="6">
        <v>1</v>
      </c>
      <c r="S68" s="6">
        <v>1</v>
      </c>
    </row>
    <row r="69" spans="1:19">
      <c r="A69" s="1">
        <v>1</v>
      </c>
      <c r="B69" s="1" t="s">
        <v>83</v>
      </c>
      <c r="C69" s="1">
        <v>1.4779148000000001E-2</v>
      </c>
      <c r="D69" s="1">
        <v>0.81857570000000002</v>
      </c>
      <c r="E69" s="1">
        <v>0.16041145000000001</v>
      </c>
      <c r="F69" s="1">
        <v>0.7693411</v>
      </c>
      <c r="G69" s="1">
        <v>3.2602924999999998E-2</v>
      </c>
      <c r="H69" s="1">
        <v>0.96739710000000001</v>
      </c>
      <c r="I69" s="1">
        <v>5.0611915000000002E-3</v>
      </c>
      <c r="J69" s="1">
        <v>0.99493885000000004</v>
      </c>
      <c r="K69" s="1">
        <v>3.2527722000000002E-2</v>
      </c>
      <c r="L69" s="1">
        <v>0.44765677999999998</v>
      </c>
      <c r="M69" s="1">
        <v>5.1340397000000003E-2</v>
      </c>
      <c r="N69" s="1">
        <v>0.94865960000000005</v>
      </c>
      <c r="O69" s="1">
        <v>4.3269385E-2</v>
      </c>
      <c r="P69" s="1">
        <v>0.95673059999999999</v>
      </c>
      <c r="Q69" s="4">
        <v>1</v>
      </c>
      <c r="R69" s="6">
        <v>1</v>
      </c>
      <c r="S69" s="6">
        <v>1</v>
      </c>
    </row>
    <row r="70" spans="1:19">
      <c r="A70" s="1">
        <v>1</v>
      </c>
      <c r="B70" s="1" t="s">
        <v>84</v>
      </c>
      <c r="C70" s="1">
        <v>0.28607853999999999</v>
      </c>
      <c r="D70" s="1">
        <v>0.76304349999999999</v>
      </c>
      <c r="E70" s="1">
        <v>0.54964285999999996</v>
      </c>
      <c r="F70" s="1">
        <v>0.67439039999999995</v>
      </c>
      <c r="G70" s="1">
        <v>0.40692547000000001</v>
      </c>
      <c r="H70" s="1">
        <v>0.59307449999999995</v>
      </c>
      <c r="I70" s="1">
        <v>0.14825039000000001</v>
      </c>
      <c r="J70" s="1">
        <v>0.85174965999999996</v>
      </c>
      <c r="K70" s="1">
        <v>0.18076696</v>
      </c>
      <c r="L70" s="1">
        <v>0.29012847000000003</v>
      </c>
      <c r="M70" s="1">
        <v>0.18988226</v>
      </c>
      <c r="N70" s="1">
        <v>0.81011770000000005</v>
      </c>
      <c r="O70" s="1">
        <v>0.47466750000000002</v>
      </c>
      <c r="P70" s="1">
        <v>0.52533249999999998</v>
      </c>
      <c r="Q70" s="4">
        <v>1</v>
      </c>
      <c r="R70" s="6">
        <v>1</v>
      </c>
      <c r="S70" s="6">
        <v>1</v>
      </c>
    </row>
    <row r="71" spans="1:19">
      <c r="A71" s="1">
        <v>1</v>
      </c>
      <c r="B71" s="1" t="s">
        <v>85</v>
      </c>
      <c r="C71" s="1">
        <v>1.4288405000000001E-2</v>
      </c>
      <c r="D71" s="1">
        <v>0.80583214999999997</v>
      </c>
      <c r="E71" s="1">
        <v>0.35181790000000002</v>
      </c>
      <c r="F71" s="1">
        <v>0.73549454999999997</v>
      </c>
      <c r="G71" s="1">
        <v>3.3842104999999997E-2</v>
      </c>
      <c r="H71" s="1">
        <v>0.96615790000000001</v>
      </c>
      <c r="I71" s="1">
        <v>3.9366649999999998E-3</v>
      </c>
      <c r="J71" s="1">
        <v>0.99606329999999998</v>
      </c>
      <c r="K71" s="1">
        <v>8.8101684999999999E-2</v>
      </c>
      <c r="L71" s="1">
        <v>0.21133146</v>
      </c>
      <c r="M71" s="1">
        <v>9.4448134000000003E-2</v>
      </c>
      <c r="N71" s="1">
        <v>0.90555189999999997</v>
      </c>
      <c r="O71" s="1">
        <v>7.6921459999999997E-2</v>
      </c>
      <c r="P71" s="1">
        <v>0.92307854</v>
      </c>
      <c r="Q71" s="4">
        <v>1</v>
      </c>
      <c r="R71" s="6">
        <v>1</v>
      </c>
      <c r="S71" s="6">
        <v>1</v>
      </c>
    </row>
    <row r="72" spans="1:19">
      <c r="A72" s="1">
        <v>1</v>
      </c>
      <c r="B72" s="1" t="s">
        <v>86</v>
      </c>
      <c r="C72" s="1">
        <v>0.72975060000000003</v>
      </c>
      <c r="D72" s="1">
        <v>0.27942672000000002</v>
      </c>
      <c r="E72" s="1">
        <v>0.72292376000000003</v>
      </c>
      <c r="F72" s="1">
        <v>0.45666760000000001</v>
      </c>
      <c r="G72" s="1">
        <v>0.79431719999999995</v>
      </c>
      <c r="H72" s="1">
        <v>0.20568284000000001</v>
      </c>
      <c r="I72" s="1">
        <v>0.49978346000000001</v>
      </c>
      <c r="J72" s="1">
        <v>0.50021654000000004</v>
      </c>
      <c r="K72" s="1">
        <v>0.19831192</v>
      </c>
      <c r="L72" s="1">
        <v>0.28402323000000002</v>
      </c>
      <c r="M72" s="1">
        <v>0.37955832</v>
      </c>
      <c r="N72" s="1">
        <v>0.62044169999999998</v>
      </c>
      <c r="O72" s="1">
        <v>0.4358918</v>
      </c>
      <c r="P72" s="1">
        <v>0.56410819999999995</v>
      </c>
      <c r="Q72" s="4">
        <v>1</v>
      </c>
      <c r="R72" s="6">
        <v>1</v>
      </c>
      <c r="S72" s="6">
        <v>1</v>
      </c>
    </row>
    <row r="73" spans="1:19">
      <c r="A73" s="1">
        <v>1</v>
      </c>
      <c r="B73" s="1" t="s">
        <v>87</v>
      </c>
      <c r="C73" s="1">
        <v>0.63863146000000004</v>
      </c>
      <c r="D73" s="1">
        <v>0.48341823</v>
      </c>
      <c r="E73" s="1">
        <v>0.71418979999999999</v>
      </c>
      <c r="F73" s="1">
        <v>0.51542399999999999</v>
      </c>
      <c r="G73" s="1">
        <v>0.86625759999999996</v>
      </c>
      <c r="H73" s="1">
        <v>0.13374245000000001</v>
      </c>
      <c r="I73" s="1">
        <v>0.42247256999999999</v>
      </c>
      <c r="J73" s="1">
        <v>0.57752745999999999</v>
      </c>
      <c r="K73" s="1">
        <v>0.21129424999999999</v>
      </c>
      <c r="L73" s="1">
        <v>0.39890320000000001</v>
      </c>
      <c r="M73" s="1">
        <v>0.2666386</v>
      </c>
      <c r="N73" s="1">
        <v>0.73336140000000005</v>
      </c>
      <c r="O73" s="1">
        <v>0.28789567999999999</v>
      </c>
      <c r="P73" s="1">
        <v>0.71210439999999997</v>
      </c>
      <c r="Q73" s="4">
        <v>1</v>
      </c>
      <c r="R73" s="6">
        <v>1</v>
      </c>
      <c r="S73" s="6">
        <v>1</v>
      </c>
    </row>
    <row r="74" spans="1:19">
      <c r="A74" s="1">
        <v>1</v>
      </c>
      <c r="B74" s="5" t="s">
        <v>88</v>
      </c>
      <c r="C74" s="5">
        <v>0.48150779999999999</v>
      </c>
      <c r="D74" s="5">
        <v>0.67324083999999995</v>
      </c>
      <c r="E74" s="5">
        <v>0.23174506</v>
      </c>
      <c r="F74" s="5">
        <v>0.77506584000000001</v>
      </c>
      <c r="G74" s="5">
        <v>2.7615724000000001E-2</v>
      </c>
      <c r="H74" s="5">
        <v>0.97238420000000003</v>
      </c>
      <c r="I74" s="5">
        <v>0.51897769999999999</v>
      </c>
      <c r="J74" s="5">
        <v>0.48102226999999997</v>
      </c>
      <c r="K74" s="5">
        <v>4.4974800000000002E-2</v>
      </c>
      <c r="L74" s="5">
        <v>0.29788910000000002</v>
      </c>
      <c r="M74" s="5">
        <v>0.37411090000000002</v>
      </c>
      <c r="N74" s="5">
        <v>0.62588909999999998</v>
      </c>
      <c r="O74" s="5">
        <v>0.21330908000000001</v>
      </c>
      <c r="P74" s="5">
        <v>0.78669089999999997</v>
      </c>
      <c r="Q74" s="4">
        <v>1</v>
      </c>
      <c r="R74" s="11">
        <v>0</v>
      </c>
      <c r="S74" s="6">
        <v>1</v>
      </c>
    </row>
    <row r="75" spans="1:19">
      <c r="A75" s="1">
        <v>1</v>
      </c>
      <c r="B75" s="1" t="s">
        <v>89</v>
      </c>
      <c r="C75" s="1">
        <v>0.69954879999999997</v>
      </c>
      <c r="D75" s="1">
        <v>0.45558294999999999</v>
      </c>
      <c r="E75" s="1">
        <v>0.40763642999999999</v>
      </c>
      <c r="F75" s="1">
        <v>0.73872477000000003</v>
      </c>
      <c r="G75" s="1">
        <v>0.32974811999999998</v>
      </c>
      <c r="H75" s="1">
        <v>0.67025184999999998</v>
      </c>
      <c r="I75" s="1">
        <v>0.40916123999999998</v>
      </c>
      <c r="J75" s="1">
        <v>0.59083872999999998</v>
      </c>
      <c r="K75" s="1">
        <v>9.8201529999999995E-2</v>
      </c>
      <c r="L75" s="1">
        <v>0.23252039999999999</v>
      </c>
      <c r="M75" s="1">
        <v>0.62809139999999997</v>
      </c>
      <c r="N75" s="1">
        <v>0.37190863000000002</v>
      </c>
      <c r="O75" s="1">
        <v>0.68586259999999999</v>
      </c>
      <c r="P75" s="1">
        <v>0.31413737000000003</v>
      </c>
      <c r="Q75" s="4">
        <v>1</v>
      </c>
      <c r="R75" s="6">
        <v>1</v>
      </c>
      <c r="S75" s="6">
        <v>1</v>
      </c>
    </row>
    <row r="76" spans="1:19">
      <c r="A76" s="1">
        <v>1</v>
      </c>
      <c r="B76" s="1" t="s">
        <v>90</v>
      </c>
      <c r="C76" s="1">
        <v>2.9867599000000002E-2</v>
      </c>
      <c r="D76" s="1">
        <v>0.82250500000000004</v>
      </c>
      <c r="E76" s="1">
        <v>0.17476347</v>
      </c>
      <c r="F76" s="1">
        <v>0.77574659999999995</v>
      </c>
      <c r="G76" s="1">
        <v>3.6728456999999999E-2</v>
      </c>
      <c r="H76" s="1">
        <v>0.96327156000000003</v>
      </c>
      <c r="I76" s="1">
        <v>8.4921019999999996E-3</v>
      </c>
      <c r="J76" s="1">
        <v>0.9915079</v>
      </c>
      <c r="K76" s="1">
        <v>4.1762437999999999E-2</v>
      </c>
      <c r="L76" s="1">
        <v>0.46186660000000002</v>
      </c>
      <c r="M76" s="1">
        <v>8.5975979999999994E-2</v>
      </c>
      <c r="N76" s="1">
        <v>0.91402399999999995</v>
      </c>
      <c r="O76" s="1">
        <v>9.9980120000000006E-2</v>
      </c>
      <c r="P76" s="1">
        <v>0.90001980000000004</v>
      </c>
      <c r="Q76" s="4">
        <v>1</v>
      </c>
      <c r="R76" s="6">
        <v>1</v>
      </c>
      <c r="S76" s="6">
        <v>1</v>
      </c>
    </row>
    <row r="77" spans="1:19">
      <c r="A77" s="1">
        <v>1</v>
      </c>
      <c r="B77" s="1" t="s">
        <v>91</v>
      </c>
      <c r="C77" s="1">
        <v>5.6362490000000001E-2</v>
      </c>
      <c r="D77" s="1">
        <v>0.82390540000000001</v>
      </c>
      <c r="E77" s="1">
        <v>7.52834E-2</v>
      </c>
      <c r="F77" s="1">
        <v>0.77767085999999996</v>
      </c>
      <c r="G77" s="1">
        <v>1.9118777E-2</v>
      </c>
      <c r="H77" s="1">
        <v>0.98088120000000001</v>
      </c>
      <c r="I77" s="1">
        <v>1.5210832000000001E-2</v>
      </c>
      <c r="J77" s="1">
        <v>0.98478913000000001</v>
      </c>
      <c r="K77" s="1">
        <v>4.2078869999999997E-2</v>
      </c>
      <c r="L77" s="1">
        <v>0.35735482000000002</v>
      </c>
      <c r="M77" s="1">
        <v>5.2016657000000001E-2</v>
      </c>
      <c r="N77" s="1">
        <v>0.94798329999999997</v>
      </c>
      <c r="O77" s="1">
        <v>1.2708646000000001E-2</v>
      </c>
      <c r="P77" s="1">
        <v>0.98729140000000004</v>
      </c>
      <c r="Q77" s="4">
        <v>1</v>
      </c>
      <c r="R77" s="6">
        <v>1</v>
      </c>
      <c r="S77" s="6">
        <v>1</v>
      </c>
    </row>
    <row r="78" spans="1:19">
      <c r="A78" s="1">
        <v>1</v>
      </c>
      <c r="B78" s="1" t="s">
        <v>92</v>
      </c>
      <c r="C78" s="1">
        <v>5.2681385999999997E-2</v>
      </c>
      <c r="D78" s="1">
        <v>0.82556510000000005</v>
      </c>
      <c r="E78" s="1">
        <v>0.29259629999999998</v>
      </c>
      <c r="F78" s="1">
        <v>0.72981775000000004</v>
      </c>
      <c r="G78" s="1">
        <v>0.10287021</v>
      </c>
      <c r="H78" s="1">
        <v>0.89712970000000003</v>
      </c>
      <c r="I78" s="1">
        <v>1.2082915E-2</v>
      </c>
      <c r="J78" s="1">
        <v>0.98791700000000005</v>
      </c>
      <c r="K78" s="1">
        <v>0.10806801000000001</v>
      </c>
      <c r="L78" s="1">
        <v>0.2458746</v>
      </c>
      <c r="M78" s="1">
        <v>0.13249725000000001</v>
      </c>
      <c r="N78" s="1">
        <v>0.86750269999999996</v>
      </c>
      <c r="O78" s="1">
        <v>0.16758787999999999</v>
      </c>
      <c r="P78" s="1">
        <v>0.83241209999999999</v>
      </c>
      <c r="Q78" s="4">
        <v>1</v>
      </c>
      <c r="R78" s="6">
        <v>1</v>
      </c>
      <c r="S78" s="6">
        <v>1</v>
      </c>
    </row>
    <row r="79" spans="1:19">
      <c r="A79" s="1">
        <v>1</v>
      </c>
      <c r="B79" s="1" t="s">
        <v>93</v>
      </c>
      <c r="C79" s="1">
        <v>3.9922524000000001E-2</v>
      </c>
      <c r="D79" s="1">
        <v>0.80693482999999999</v>
      </c>
      <c r="E79" s="1">
        <v>0.20770173</v>
      </c>
      <c r="F79" s="1">
        <v>0.76708929999999997</v>
      </c>
      <c r="G79" s="1">
        <v>1.5382470000000001E-2</v>
      </c>
      <c r="H79" s="1">
        <v>0.98461759999999998</v>
      </c>
      <c r="I79" s="1">
        <v>1.9884859E-4</v>
      </c>
      <c r="J79" s="1">
        <v>0.99980119999999995</v>
      </c>
      <c r="K79" s="1">
        <v>0.17180654000000001</v>
      </c>
      <c r="L79" s="1">
        <v>0.33326172999999998</v>
      </c>
      <c r="M79" s="1">
        <v>4.1285686000000002E-2</v>
      </c>
      <c r="N79" s="1">
        <v>0.95871424999999999</v>
      </c>
      <c r="O79" s="1">
        <v>5.4483520000000001E-2</v>
      </c>
      <c r="P79" s="1">
        <v>0.94551647000000005</v>
      </c>
      <c r="Q79" s="4">
        <v>1</v>
      </c>
      <c r="R79" s="6">
        <v>1</v>
      </c>
      <c r="S79" s="6">
        <v>1</v>
      </c>
    </row>
    <row r="80" spans="1:19">
      <c r="A80" s="1">
        <v>1</v>
      </c>
      <c r="B80" s="1" t="s">
        <v>94</v>
      </c>
      <c r="C80" s="1">
        <v>2.7817129999999999E-2</v>
      </c>
      <c r="D80" s="1">
        <v>0.81651410000000002</v>
      </c>
      <c r="E80" s="1">
        <v>6.0321283000000003E-2</v>
      </c>
      <c r="F80" s="1">
        <v>0.79336876000000001</v>
      </c>
      <c r="G80" s="1">
        <v>1.2490309999999999E-2</v>
      </c>
      <c r="H80" s="1">
        <v>0.98750967000000001</v>
      </c>
      <c r="I80" s="1">
        <v>4.2630636000000002E-4</v>
      </c>
      <c r="J80" s="1">
        <v>0.99957364999999998</v>
      </c>
      <c r="K80" s="1">
        <v>0.21916863</v>
      </c>
      <c r="L80" s="1">
        <v>0.38068142999999999</v>
      </c>
      <c r="M80" s="1">
        <v>6.4727209999999993E-2</v>
      </c>
      <c r="N80" s="1">
        <v>0.93527280000000002</v>
      </c>
      <c r="O80" s="1">
        <v>0.36089315999999999</v>
      </c>
      <c r="P80" s="1">
        <v>0.63910679999999997</v>
      </c>
      <c r="Q80" s="4">
        <v>1</v>
      </c>
      <c r="R80" s="6">
        <v>1</v>
      </c>
      <c r="S80" s="6">
        <v>1</v>
      </c>
    </row>
    <row r="81" spans="1:19">
      <c r="A81" s="1">
        <v>1</v>
      </c>
      <c r="B81" s="1" t="s">
        <v>95</v>
      </c>
      <c r="C81" s="1">
        <v>2.2759778000000001E-2</v>
      </c>
      <c r="D81" s="1">
        <v>0.80406390000000005</v>
      </c>
      <c r="E81" s="1">
        <v>0.18802023000000001</v>
      </c>
      <c r="F81" s="1">
        <v>0.76771425999999998</v>
      </c>
      <c r="G81" s="1">
        <v>3.0745722E-2</v>
      </c>
      <c r="H81" s="1">
        <v>0.96925430000000001</v>
      </c>
      <c r="I81" s="1">
        <v>2.9303266000000001E-2</v>
      </c>
      <c r="J81" s="1">
        <v>0.97069675</v>
      </c>
      <c r="K81" s="1">
        <v>0.22907636000000001</v>
      </c>
      <c r="L81" s="1">
        <v>0.25762963</v>
      </c>
      <c r="M81" s="1">
        <v>0.26242684999999999</v>
      </c>
      <c r="N81" s="1">
        <v>0.73757315000000001</v>
      </c>
      <c r="O81" s="1">
        <v>0.23275256</v>
      </c>
      <c r="P81" s="1">
        <v>0.76724744</v>
      </c>
      <c r="Q81" s="4">
        <v>1</v>
      </c>
      <c r="R81" s="6">
        <v>1</v>
      </c>
      <c r="S81" s="6">
        <v>1</v>
      </c>
    </row>
    <row r="82" spans="1:19">
      <c r="A82" s="1">
        <v>1</v>
      </c>
      <c r="B82" s="1" t="s">
        <v>96</v>
      </c>
      <c r="C82" s="1">
        <v>0.11485430000000001</v>
      </c>
      <c r="D82" s="1">
        <v>0.78842263999999995</v>
      </c>
      <c r="E82" s="1">
        <v>0.35161448000000001</v>
      </c>
      <c r="F82" s="1">
        <v>0.73318136</v>
      </c>
      <c r="G82" s="1">
        <v>5.7088617000000001E-2</v>
      </c>
      <c r="H82" s="1">
        <v>0.94291130000000001</v>
      </c>
      <c r="I82" s="1">
        <v>2.3977965E-2</v>
      </c>
      <c r="J82" s="1">
        <v>0.97602206000000002</v>
      </c>
      <c r="K82" s="1">
        <v>0.13358449999999999</v>
      </c>
      <c r="L82" s="1">
        <v>0.40472445000000001</v>
      </c>
      <c r="M82" s="1">
        <v>5.9307289999999999E-2</v>
      </c>
      <c r="N82" s="1">
        <v>0.94069265999999996</v>
      </c>
      <c r="O82" s="1">
        <v>4.6574513999999997E-2</v>
      </c>
      <c r="P82" s="1">
        <v>0.95342547</v>
      </c>
      <c r="Q82" s="4">
        <v>1</v>
      </c>
      <c r="R82" s="6">
        <v>1</v>
      </c>
      <c r="S82" s="6">
        <v>1</v>
      </c>
    </row>
    <row r="83" spans="1:19">
      <c r="A83" s="1">
        <v>1</v>
      </c>
      <c r="B83" s="1" t="s">
        <v>97</v>
      </c>
      <c r="C83" s="1">
        <v>2.1060832000000002E-2</v>
      </c>
      <c r="D83" s="1">
        <v>0.82014450000000005</v>
      </c>
      <c r="E83" s="1">
        <v>0.17519294999999999</v>
      </c>
      <c r="F83" s="1">
        <v>0.77221439999999997</v>
      </c>
      <c r="G83" s="1">
        <v>0.25293112000000001</v>
      </c>
      <c r="H83" s="1">
        <v>0.74706890000000004</v>
      </c>
      <c r="I83" s="1">
        <v>4.84696E-3</v>
      </c>
      <c r="J83" s="1">
        <v>0.99515306999999997</v>
      </c>
      <c r="K83" s="1">
        <v>1.7402838999999999E-3</v>
      </c>
      <c r="L83" s="1">
        <v>0.47136255999999999</v>
      </c>
      <c r="M83" s="1">
        <v>5.4072604000000003E-2</v>
      </c>
      <c r="N83" s="1">
        <v>0.94592739999999997</v>
      </c>
      <c r="O83" s="1">
        <v>2.3732506E-2</v>
      </c>
      <c r="P83" s="1">
        <v>0.97626749999999995</v>
      </c>
      <c r="Q83" s="4">
        <v>1</v>
      </c>
      <c r="R83" s="6">
        <v>1</v>
      </c>
      <c r="S83" s="6">
        <v>1</v>
      </c>
    </row>
    <row r="84" spans="1:19">
      <c r="A84" s="1">
        <v>1</v>
      </c>
      <c r="B84" s="1" t="s">
        <v>98</v>
      </c>
      <c r="C84" s="1">
        <v>1.5104908E-2</v>
      </c>
      <c r="D84" s="1">
        <v>0.80070704000000004</v>
      </c>
      <c r="E84" s="1">
        <v>3.0631551999999999E-2</v>
      </c>
      <c r="F84" s="1">
        <v>0.77528850000000005</v>
      </c>
      <c r="G84" s="1">
        <v>1.5779682E-3</v>
      </c>
      <c r="H84" s="1">
        <v>0.99842200000000003</v>
      </c>
      <c r="I84" s="1">
        <v>8.8661499999999997E-3</v>
      </c>
      <c r="J84" s="1">
        <v>0.99113386999999997</v>
      </c>
      <c r="K84" s="1">
        <v>3.9241545000000003E-2</v>
      </c>
      <c r="L84" s="1">
        <v>0.4384807</v>
      </c>
      <c r="M84" s="1">
        <v>0.14524429</v>
      </c>
      <c r="N84" s="1">
        <v>0.85475564000000004</v>
      </c>
      <c r="O84" s="1">
        <v>3.5521629999999998E-2</v>
      </c>
      <c r="P84" s="1">
        <v>0.96447843</v>
      </c>
      <c r="Q84" s="4">
        <v>1</v>
      </c>
      <c r="R84" s="6">
        <v>1</v>
      </c>
      <c r="S84" s="6">
        <v>1</v>
      </c>
    </row>
    <row r="85" spans="1:19">
      <c r="A85" s="1">
        <v>1</v>
      </c>
      <c r="B85" s="1" t="s">
        <v>99</v>
      </c>
      <c r="C85" s="1">
        <v>5.8549635000000003E-2</v>
      </c>
      <c r="D85" s="1">
        <v>0.78657889999999997</v>
      </c>
      <c r="E85" s="1">
        <v>0.18606411</v>
      </c>
      <c r="F85" s="1">
        <v>0.76498884</v>
      </c>
      <c r="G85" s="1">
        <v>1.7538577E-2</v>
      </c>
      <c r="H85" s="1">
        <v>0.98246140000000004</v>
      </c>
      <c r="I85" s="1">
        <v>8.1597049999999997E-3</v>
      </c>
      <c r="J85" s="1">
        <v>0.99184024000000004</v>
      </c>
      <c r="K85" s="1">
        <v>0.11285599</v>
      </c>
      <c r="L85" s="1">
        <v>0.39848864000000001</v>
      </c>
      <c r="M85" s="1">
        <v>0.12655437</v>
      </c>
      <c r="N85" s="1">
        <v>0.87344560000000004</v>
      </c>
      <c r="O85" s="1">
        <v>0.11313927</v>
      </c>
      <c r="P85" s="1">
        <v>0.88686069999999995</v>
      </c>
      <c r="Q85" s="4">
        <v>1</v>
      </c>
      <c r="R85" s="6">
        <v>1</v>
      </c>
      <c r="S85" s="6">
        <v>1</v>
      </c>
    </row>
    <row r="86" spans="1:19">
      <c r="A86" s="1">
        <v>1</v>
      </c>
      <c r="B86" s="1" t="s">
        <v>100</v>
      </c>
      <c r="C86" s="1">
        <v>4.7455188000000002E-2</v>
      </c>
      <c r="D86" s="1">
        <v>0.80930670000000005</v>
      </c>
      <c r="E86" s="1">
        <v>0.28820118</v>
      </c>
      <c r="F86" s="1">
        <v>0.75175404999999995</v>
      </c>
      <c r="G86" s="1">
        <v>7.0794109999999993E-2</v>
      </c>
      <c r="H86" s="1">
        <v>0.92920590000000003</v>
      </c>
      <c r="I86" s="1">
        <v>1.4392106E-2</v>
      </c>
      <c r="J86" s="1">
        <v>0.98560786</v>
      </c>
      <c r="K86" s="1">
        <v>0.16764155</v>
      </c>
      <c r="L86" s="1">
        <v>0.22822586</v>
      </c>
      <c r="M86" s="1">
        <v>9.3373336000000001E-2</v>
      </c>
      <c r="N86" s="1">
        <v>0.90662670000000001</v>
      </c>
      <c r="O86" s="1">
        <v>8.6433280000000001E-2</v>
      </c>
      <c r="P86" s="1">
        <v>0.91356669999999995</v>
      </c>
      <c r="Q86" s="4">
        <v>1</v>
      </c>
      <c r="R86" s="6">
        <v>1</v>
      </c>
      <c r="S86" s="6">
        <v>1</v>
      </c>
    </row>
    <row r="87" spans="1:19">
      <c r="A87" s="1">
        <v>1</v>
      </c>
      <c r="B87" s="1" t="s">
        <v>101</v>
      </c>
      <c r="C87" s="1">
        <v>2.8737502000000002E-2</v>
      </c>
      <c r="D87" s="1">
        <v>0.82313800000000004</v>
      </c>
      <c r="E87" s="1">
        <v>7.6490210000000003E-2</v>
      </c>
      <c r="F87" s="1">
        <v>0.78506047000000001</v>
      </c>
      <c r="G87" s="1">
        <v>3.3205396000000002E-3</v>
      </c>
      <c r="H87" s="1">
        <v>0.99667939999999999</v>
      </c>
      <c r="I87" s="1">
        <v>1.9784678E-2</v>
      </c>
      <c r="J87" s="1">
        <v>0.98021530000000001</v>
      </c>
      <c r="K87" s="1">
        <v>0.119127646</v>
      </c>
      <c r="L87" s="1">
        <v>0.37094840000000001</v>
      </c>
      <c r="M87" s="1">
        <v>0.45828511999999999</v>
      </c>
      <c r="N87" s="1">
        <v>0.54171484999999997</v>
      </c>
      <c r="O87" s="1">
        <v>0.44907835000000002</v>
      </c>
      <c r="P87" s="1">
        <v>0.55092169999999996</v>
      </c>
      <c r="Q87" s="4">
        <v>0</v>
      </c>
      <c r="R87" s="6">
        <v>1</v>
      </c>
      <c r="S87" s="6">
        <v>1</v>
      </c>
    </row>
    <row r="88" spans="1:19">
      <c r="A88" s="1">
        <v>1</v>
      </c>
      <c r="B88" s="1" t="s">
        <v>102</v>
      </c>
      <c r="C88" s="1">
        <v>0.10454091</v>
      </c>
      <c r="D88" s="1">
        <v>0.74561535999999995</v>
      </c>
      <c r="E88" s="1">
        <v>0.14534860999999999</v>
      </c>
      <c r="F88" s="1">
        <v>0.76260287000000004</v>
      </c>
      <c r="G88" s="1">
        <v>1.2100339999999999E-2</v>
      </c>
      <c r="H88" s="1">
        <v>0.98789970000000005</v>
      </c>
      <c r="I88" s="1">
        <v>1.5190606E-3</v>
      </c>
      <c r="J88" s="1">
        <v>0.99848099999999995</v>
      </c>
      <c r="K88" s="1">
        <v>2.0218397999999999E-2</v>
      </c>
      <c r="L88" s="1">
        <v>0.44632840000000001</v>
      </c>
      <c r="M88" s="1">
        <v>7.7903464000000006E-2</v>
      </c>
      <c r="N88" s="1">
        <v>0.92209649999999999</v>
      </c>
      <c r="O88" s="1">
        <v>7.5629840000000004E-2</v>
      </c>
      <c r="P88" s="1">
        <v>0.92437009999999997</v>
      </c>
      <c r="Q88" s="4">
        <v>1</v>
      </c>
      <c r="R88" s="6">
        <v>1</v>
      </c>
      <c r="S88" s="6">
        <v>1</v>
      </c>
    </row>
    <row r="89" spans="1:19">
      <c r="A89" s="1">
        <v>1</v>
      </c>
      <c r="B89" s="1" t="s">
        <v>103</v>
      </c>
      <c r="C89" s="1">
        <v>1.8125674000000001E-2</v>
      </c>
      <c r="D89" s="1">
        <v>0.81691800000000003</v>
      </c>
      <c r="E89" s="1">
        <v>9.0903974999999998E-2</v>
      </c>
      <c r="F89" s="1">
        <v>0.77508867000000004</v>
      </c>
      <c r="G89" s="1">
        <v>8.9468294999999996E-3</v>
      </c>
      <c r="H89" s="1">
        <v>0.99105315999999999</v>
      </c>
      <c r="I89" s="1">
        <v>1.2873502999999999E-3</v>
      </c>
      <c r="J89" s="1">
        <v>0.99871266000000003</v>
      </c>
      <c r="K89" s="1">
        <v>7.1796879999999993E-2</v>
      </c>
      <c r="L89" s="1">
        <v>0.33012688000000001</v>
      </c>
      <c r="M89" s="1">
        <v>0.21894938999999999</v>
      </c>
      <c r="N89" s="1">
        <v>0.78105055999999995</v>
      </c>
      <c r="O89" s="1">
        <v>0.30619317000000001</v>
      </c>
      <c r="P89" s="1">
        <v>0.6938069</v>
      </c>
      <c r="Q89" s="4">
        <v>1</v>
      </c>
      <c r="R89" s="11">
        <v>1</v>
      </c>
      <c r="S89" s="6">
        <v>1</v>
      </c>
    </row>
    <row r="90" spans="1:19">
      <c r="A90" s="1">
        <v>1</v>
      </c>
      <c r="B90" s="1" t="s">
        <v>104</v>
      </c>
      <c r="C90" s="1">
        <v>8.9238400000000006E-3</v>
      </c>
      <c r="D90" s="1">
        <v>0.80140513000000002</v>
      </c>
      <c r="E90" s="1">
        <v>0.47437600000000002</v>
      </c>
      <c r="F90" s="1">
        <v>0.70931416999999997</v>
      </c>
      <c r="G90" s="1">
        <v>0.28406664999999998</v>
      </c>
      <c r="H90" s="1">
        <v>0.71593329999999999</v>
      </c>
      <c r="I90" s="1">
        <v>2.9931774000000002E-3</v>
      </c>
      <c r="J90" s="1">
        <v>0.99700683000000001</v>
      </c>
      <c r="K90" s="1">
        <v>7.4347209999999997E-2</v>
      </c>
      <c r="L90" s="1">
        <v>0.23464758999999999</v>
      </c>
      <c r="M90" s="1">
        <v>6.1175354000000001E-2</v>
      </c>
      <c r="N90" s="1">
        <v>0.93882460000000001</v>
      </c>
      <c r="O90" s="1">
        <v>0.10407024600000001</v>
      </c>
      <c r="P90" s="1">
        <v>0.89592974999999997</v>
      </c>
      <c r="Q90" s="4">
        <v>1</v>
      </c>
      <c r="R90" s="6">
        <v>1</v>
      </c>
      <c r="S90" s="6">
        <v>1</v>
      </c>
    </row>
    <row r="91" spans="1:19">
      <c r="A91" s="1">
        <v>1</v>
      </c>
      <c r="B91" s="1" t="s">
        <v>105</v>
      </c>
      <c r="C91" s="1">
        <v>0.51220010000000005</v>
      </c>
      <c r="D91" s="1">
        <v>0.63904070000000002</v>
      </c>
      <c r="E91" s="1">
        <v>0.41267263999999998</v>
      </c>
      <c r="F91" s="1">
        <v>0.70984139999999996</v>
      </c>
      <c r="G91" s="1">
        <v>0.26349070000000002</v>
      </c>
      <c r="H91" s="1">
        <v>0.73650926000000005</v>
      </c>
      <c r="I91" s="1">
        <v>0.2032225</v>
      </c>
      <c r="J91" s="1">
        <v>0.79677750000000003</v>
      </c>
      <c r="K91" s="1">
        <v>0.30192432000000002</v>
      </c>
      <c r="L91" s="1">
        <v>0.26240629999999998</v>
      </c>
      <c r="M91" s="1">
        <v>0.46441513000000001</v>
      </c>
      <c r="N91" s="1">
        <v>0.53558486999999999</v>
      </c>
      <c r="O91" s="1">
        <v>0.36594808000000001</v>
      </c>
      <c r="P91" s="1">
        <v>0.6340519</v>
      </c>
      <c r="Q91" s="4">
        <v>1</v>
      </c>
      <c r="R91" s="6">
        <v>1</v>
      </c>
      <c r="S91" s="6">
        <v>1</v>
      </c>
    </row>
    <row r="92" spans="1:19">
      <c r="A92" s="1">
        <v>1</v>
      </c>
      <c r="B92" s="1" t="s">
        <v>106</v>
      </c>
      <c r="C92" s="1">
        <v>0.80475099999999999</v>
      </c>
      <c r="D92" s="1">
        <v>6.1847630000000001E-2</v>
      </c>
      <c r="E92" s="1">
        <v>0.79201823000000005</v>
      </c>
      <c r="F92" s="1">
        <v>0.15198210000000001</v>
      </c>
      <c r="G92" s="1">
        <v>0.91355883999999998</v>
      </c>
      <c r="H92" s="1">
        <v>8.6441199999999996E-2</v>
      </c>
      <c r="I92" s="1">
        <v>0.93033120000000002</v>
      </c>
      <c r="J92" s="1">
        <v>6.9668910000000001E-2</v>
      </c>
      <c r="K92" s="1">
        <v>5.4796945E-2</v>
      </c>
      <c r="L92" s="1">
        <v>0.27056520000000001</v>
      </c>
      <c r="M92" s="1">
        <v>0.70045690000000005</v>
      </c>
      <c r="N92" s="1">
        <v>0.29954308000000002</v>
      </c>
      <c r="O92" s="1">
        <v>0.88888025000000004</v>
      </c>
      <c r="P92" s="1">
        <v>0.11111983</v>
      </c>
      <c r="Q92" s="4">
        <v>0</v>
      </c>
      <c r="R92" s="6">
        <v>1</v>
      </c>
      <c r="S92" s="6">
        <v>1</v>
      </c>
    </row>
    <row r="93" spans="1:19">
      <c r="A93" s="1">
        <v>1</v>
      </c>
      <c r="B93" s="1" t="s">
        <v>107</v>
      </c>
      <c r="C93" s="1">
        <v>1.5442569E-2</v>
      </c>
      <c r="D93" s="1">
        <v>0.81115632999999998</v>
      </c>
      <c r="E93" s="1">
        <v>0.10172592</v>
      </c>
      <c r="F93" s="1">
        <v>0.78131764999999997</v>
      </c>
      <c r="G93" s="1">
        <v>5.3382604000000002E-3</v>
      </c>
      <c r="H93" s="1">
        <v>0.99466175000000001</v>
      </c>
      <c r="I93" s="1">
        <v>1.6509205999999999E-3</v>
      </c>
      <c r="J93" s="1">
        <v>0.99834909999999999</v>
      </c>
      <c r="K93" s="1">
        <v>0.10278608</v>
      </c>
      <c r="L93" s="1">
        <v>0.37418547000000002</v>
      </c>
      <c r="M93" s="1">
        <v>0.14276159999999999</v>
      </c>
      <c r="N93" s="1">
        <v>0.85723835000000004</v>
      </c>
      <c r="O93" s="1">
        <v>0.10174008499999999</v>
      </c>
      <c r="P93" s="1">
        <v>0.89825993999999998</v>
      </c>
      <c r="Q93" s="4">
        <v>1</v>
      </c>
      <c r="R93" s="6">
        <v>1</v>
      </c>
      <c r="S93" s="6">
        <v>1</v>
      </c>
    </row>
    <row r="94" spans="1:19">
      <c r="A94" s="1">
        <v>1</v>
      </c>
      <c r="B94" s="1" t="s">
        <v>108</v>
      </c>
      <c r="C94" s="1">
        <v>1.0320931E-2</v>
      </c>
      <c r="D94" s="1">
        <v>0.79798760000000002</v>
      </c>
      <c r="E94" s="1">
        <v>0.19076272999999999</v>
      </c>
      <c r="F94" s="1">
        <v>0.75609289999999996</v>
      </c>
      <c r="G94" s="1">
        <v>2.2274922999999999E-2</v>
      </c>
      <c r="H94" s="1">
        <v>0.97772499999999996</v>
      </c>
      <c r="I94" s="1">
        <v>2.2149612999999999E-2</v>
      </c>
      <c r="J94" s="1">
        <v>0.97785040000000001</v>
      </c>
      <c r="K94" s="1">
        <v>0.17297870000000001</v>
      </c>
      <c r="L94" s="1">
        <v>0.40527489999999999</v>
      </c>
      <c r="M94" s="1">
        <v>0.22270748000000001</v>
      </c>
      <c r="N94" s="1">
        <v>0.77729254999999997</v>
      </c>
      <c r="O94" s="1">
        <v>0.41339648000000001</v>
      </c>
      <c r="P94" s="1">
        <v>0.5866036</v>
      </c>
      <c r="Q94" s="4">
        <v>0</v>
      </c>
      <c r="R94" s="6">
        <v>1</v>
      </c>
      <c r="S94" s="6">
        <v>1</v>
      </c>
    </row>
    <row r="95" spans="1:19">
      <c r="A95" s="1">
        <v>1</v>
      </c>
      <c r="B95" s="1" t="s">
        <v>109</v>
      </c>
      <c r="C95" s="1">
        <v>0.78248189999999995</v>
      </c>
      <c r="D95" s="1">
        <v>4.0407155E-2</v>
      </c>
      <c r="E95" s="1">
        <v>0.76426274000000005</v>
      </c>
      <c r="F95" s="1">
        <v>0.20514497000000001</v>
      </c>
      <c r="G95" s="1">
        <v>0.99375570000000002</v>
      </c>
      <c r="H95" s="1">
        <v>6.2442469999999996E-3</v>
      </c>
      <c r="I95" s="1">
        <v>0.98639005000000002</v>
      </c>
      <c r="J95" s="1">
        <v>1.36099225E-2</v>
      </c>
      <c r="K95" s="1">
        <v>0.26294901999999998</v>
      </c>
      <c r="L95" s="1">
        <v>0.23164114</v>
      </c>
      <c r="M95" s="1">
        <v>0.36149287000000002</v>
      </c>
      <c r="N95" s="1">
        <v>0.63850709999999999</v>
      </c>
      <c r="O95" s="1">
        <v>0.81496199999999996</v>
      </c>
      <c r="P95" s="1">
        <v>0.18503794000000001</v>
      </c>
      <c r="Q95" s="4">
        <v>1</v>
      </c>
      <c r="R95" s="6">
        <v>1</v>
      </c>
      <c r="S95" s="6">
        <v>1</v>
      </c>
    </row>
    <row r="96" spans="1:19">
      <c r="A96" s="7">
        <v>1</v>
      </c>
      <c r="B96" s="7" t="s">
        <v>110</v>
      </c>
      <c r="C96" s="7">
        <v>0.72177100000000005</v>
      </c>
      <c r="D96" s="7">
        <v>0.34206665000000003</v>
      </c>
      <c r="E96" s="7">
        <v>0.54415714999999998</v>
      </c>
      <c r="F96" s="7">
        <v>0.69417834</v>
      </c>
      <c r="G96" s="7">
        <v>0.32350563999999998</v>
      </c>
      <c r="H96" s="7">
        <v>0.67649435999999996</v>
      </c>
      <c r="I96" s="7">
        <v>0.51619649999999995</v>
      </c>
      <c r="J96" s="7">
        <v>0.4838035</v>
      </c>
      <c r="K96" s="7">
        <v>0.26712449999999999</v>
      </c>
      <c r="L96" s="7">
        <v>7.0365349999999993E-2</v>
      </c>
      <c r="M96" s="7">
        <v>0.64751130000000001</v>
      </c>
      <c r="N96" s="7">
        <v>0.35248869999999999</v>
      </c>
      <c r="O96" s="7">
        <v>0.57498890000000002</v>
      </c>
      <c r="P96" s="7">
        <v>0.42501109999999998</v>
      </c>
      <c r="Q96" s="8">
        <v>1</v>
      </c>
      <c r="R96" s="9">
        <v>0</v>
      </c>
      <c r="S96" s="10">
        <v>1</v>
      </c>
    </row>
    <row r="97" spans="1:19">
      <c r="A97" s="1">
        <v>1</v>
      </c>
      <c r="B97" s="1" t="s">
        <v>111</v>
      </c>
      <c r="C97" s="1">
        <v>0.14346500000000001</v>
      </c>
      <c r="D97" s="1">
        <v>0.78305334000000004</v>
      </c>
      <c r="E97" s="1">
        <v>0.37112825999999999</v>
      </c>
      <c r="F97" s="1">
        <v>0.72638385999999999</v>
      </c>
      <c r="G97" s="1">
        <v>7.7877626000000005E-2</v>
      </c>
      <c r="H97" s="1">
        <v>0.92212236000000003</v>
      </c>
      <c r="I97" s="1">
        <v>4.5983817000000003E-2</v>
      </c>
      <c r="J97" s="1">
        <v>0.95401619999999998</v>
      </c>
      <c r="K97" s="1">
        <v>6.3589809999999997E-2</v>
      </c>
      <c r="L97" s="1">
        <v>0.30478364000000002</v>
      </c>
      <c r="M97" s="1">
        <v>0.20187679</v>
      </c>
      <c r="N97" s="1">
        <v>0.79812324000000001</v>
      </c>
      <c r="O97" s="1">
        <v>0.15898393</v>
      </c>
      <c r="P97" s="1">
        <v>0.84101605000000001</v>
      </c>
      <c r="Q97" s="4">
        <v>1</v>
      </c>
      <c r="R97" s="6">
        <v>1</v>
      </c>
      <c r="S97" s="6">
        <v>1</v>
      </c>
    </row>
    <row r="99" spans="1:19">
      <c r="A99" s="1" t="s">
        <v>112</v>
      </c>
    </row>
    <row r="100" spans="1:19">
      <c r="A100" s="1">
        <v>0</v>
      </c>
      <c r="B100" s="1" t="s">
        <v>113</v>
      </c>
      <c r="C100" s="1">
        <v>0.69477635999999998</v>
      </c>
      <c r="D100" s="1">
        <v>0.50141349999999996</v>
      </c>
      <c r="E100" s="1">
        <v>0.70577420000000002</v>
      </c>
      <c r="F100" s="1">
        <v>0.37800889999999998</v>
      </c>
      <c r="G100" s="1">
        <v>0.77562850000000005</v>
      </c>
      <c r="H100" s="1">
        <v>0.22437145999999999</v>
      </c>
      <c r="I100" s="1">
        <v>0.72089040000000004</v>
      </c>
      <c r="J100" s="1">
        <v>0.27910963</v>
      </c>
      <c r="K100" s="1">
        <v>0.17860052000000001</v>
      </c>
      <c r="L100" s="1">
        <v>0.24872810000000001</v>
      </c>
      <c r="M100" s="1">
        <v>0.67272555999999994</v>
      </c>
      <c r="N100" s="1">
        <v>0.32727437999999998</v>
      </c>
      <c r="O100" s="1">
        <v>0.74882479999999996</v>
      </c>
      <c r="P100" s="1">
        <v>0.25117521999999998</v>
      </c>
      <c r="Q100" s="4">
        <v>1</v>
      </c>
      <c r="R100" s="13">
        <v>0</v>
      </c>
      <c r="S100" s="14">
        <v>0</v>
      </c>
    </row>
    <row r="101" spans="1:19">
      <c r="A101" s="1">
        <v>0</v>
      </c>
      <c r="B101" s="1" t="s">
        <v>114</v>
      </c>
      <c r="C101" s="1">
        <v>0.800118</v>
      </c>
      <c r="D101" s="1">
        <v>6.7209599999999994E-2</v>
      </c>
      <c r="E101" s="1">
        <v>0.75107955999999998</v>
      </c>
      <c r="F101" s="1">
        <v>0.2050043</v>
      </c>
      <c r="G101" s="1">
        <v>0.95287230000000001</v>
      </c>
      <c r="H101" s="1">
        <v>4.7127698000000003E-2</v>
      </c>
      <c r="I101" s="1">
        <v>0.87147459999999999</v>
      </c>
      <c r="J101" s="1">
        <v>0.12852540000000001</v>
      </c>
      <c r="K101" s="1">
        <v>0.30462032999999999</v>
      </c>
      <c r="L101" s="1">
        <v>0.13793301999999999</v>
      </c>
      <c r="M101" s="1">
        <v>0.50069620000000004</v>
      </c>
      <c r="N101" s="1">
        <v>0.49930384999999999</v>
      </c>
      <c r="O101" s="1">
        <v>0.50359184000000001</v>
      </c>
      <c r="P101" s="1">
        <v>0.49640815999999999</v>
      </c>
      <c r="Q101" s="4">
        <v>1</v>
      </c>
      <c r="R101" s="14">
        <v>1</v>
      </c>
      <c r="S101" s="14">
        <v>0</v>
      </c>
    </row>
    <row r="102" spans="1:19">
      <c r="A102" s="1">
        <v>0</v>
      </c>
      <c r="B102" s="1" t="s">
        <v>115</v>
      </c>
      <c r="C102" s="1">
        <v>0.41107363000000002</v>
      </c>
      <c r="D102" s="1">
        <v>0.74536455000000001</v>
      </c>
      <c r="E102" s="1">
        <v>0.58597779999999999</v>
      </c>
      <c r="F102" s="1">
        <v>0.69869334000000005</v>
      </c>
      <c r="G102" s="1">
        <v>0.37317984999999998</v>
      </c>
      <c r="H102" s="1">
        <v>0.62682020000000005</v>
      </c>
      <c r="I102" s="1">
        <v>0.17452287999999999</v>
      </c>
      <c r="J102" s="1">
        <v>0.82547705999999998</v>
      </c>
      <c r="K102" s="1">
        <v>8.7737105999999995E-2</v>
      </c>
      <c r="L102" s="1">
        <v>0.39887968000000001</v>
      </c>
      <c r="M102" s="1">
        <v>0.11123363999999999</v>
      </c>
      <c r="N102" s="1">
        <v>0.88876635000000004</v>
      </c>
      <c r="O102" s="1">
        <v>0.50067119999999998</v>
      </c>
      <c r="P102" s="1">
        <v>0.49932880000000002</v>
      </c>
      <c r="Q102" s="4">
        <v>1</v>
      </c>
      <c r="R102" s="14">
        <v>1</v>
      </c>
      <c r="S102" s="14">
        <v>1</v>
      </c>
    </row>
    <row r="103" spans="1:19">
      <c r="A103" s="1">
        <v>0</v>
      </c>
      <c r="B103" s="1" t="s">
        <v>116</v>
      </c>
      <c r="C103" s="1">
        <v>0.79725312999999998</v>
      </c>
      <c r="D103" s="1">
        <v>0.11151026999999999</v>
      </c>
      <c r="E103" s="1">
        <v>0.74338709999999997</v>
      </c>
      <c r="F103" s="1">
        <v>0.35493330000000001</v>
      </c>
      <c r="G103" s="1">
        <v>0.88578825999999999</v>
      </c>
      <c r="H103" s="1">
        <v>0.11421169</v>
      </c>
      <c r="I103" s="1">
        <v>0.92561360000000004</v>
      </c>
      <c r="J103" s="1">
        <v>7.4386450000000007E-2</v>
      </c>
      <c r="K103" s="1">
        <v>0.26733755999999997</v>
      </c>
      <c r="L103" s="1">
        <v>0.12839133</v>
      </c>
      <c r="M103" s="1">
        <v>0.57995622999999996</v>
      </c>
      <c r="N103" s="1">
        <v>0.42004376999999998</v>
      </c>
      <c r="O103" s="1">
        <v>0.83180624000000003</v>
      </c>
      <c r="P103" s="1">
        <v>0.16819373000000001</v>
      </c>
      <c r="Q103" s="4">
        <v>1</v>
      </c>
      <c r="R103" s="14">
        <v>1</v>
      </c>
      <c r="S103" s="14">
        <v>1</v>
      </c>
    </row>
    <row r="104" spans="1:19">
      <c r="A104" s="1">
        <v>0</v>
      </c>
      <c r="B104" s="1" t="s">
        <v>117</v>
      </c>
      <c r="C104" s="1">
        <v>0.53734523000000001</v>
      </c>
      <c r="D104" s="1">
        <v>0.65086679999999997</v>
      </c>
      <c r="E104" s="1">
        <v>0.39255213999999999</v>
      </c>
      <c r="F104" s="1">
        <v>0.67495939999999999</v>
      </c>
      <c r="G104" s="1">
        <v>0.30978566000000002</v>
      </c>
      <c r="H104" s="1">
        <v>0.69021434000000004</v>
      </c>
      <c r="I104" s="1">
        <v>0.28712332000000002</v>
      </c>
      <c r="J104" s="1">
        <v>0.71287670000000003</v>
      </c>
      <c r="K104" s="1">
        <v>4.8267495000000001E-2</v>
      </c>
      <c r="L104" s="1">
        <v>0.42695865</v>
      </c>
      <c r="M104" s="1">
        <v>0.12594250000000001</v>
      </c>
      <c r="N104" s="1">
        <v>0.87405752999999997</v>
      </c>
      <c r="O104" s="1">
        <v>0.22265439000000001</v>
      </c>
      <c r="P104" s="1">
        <v>0.77734554</v>
      </c>
      <c r="Q104" s="4">
        <v>0</v>
      </c>
      <c r="R104" s="14">
        <v>0</v>
      </c>
      <c r="S104" s="14">
        <v>0</v>
      </c>
    </row>
    <row r="105" spans="1:19">
      <c r="A105" s="1">
        <v>0</v>
      </c>
      <c r="B105" s="1" t="s">
        <v>118</v>
      </c>
      <c r="C105" s="1">
        <v>0.68660650000000001</v>
      </c>
      <c r="D105" s="1">
        <v>0.30102002999999999</v>
      </c>
      <c r="E105" s="1">
        <v>0.59713930000000004</v>
      </c>
      <c r="F105" s="1">
        <v>0.58164749999999998</v>
      </c>
      <c r="G105" s="1">
        <v>0.74413996999999998</v>
      </c>
      <c r="H105" s="1">
        <v>0.25585999999999998</v>
      </c>
      <c r="I105" s="1">
        <v>0.76160399999999995</v>
      </c>
      <c r="J105" s="1">
        <v>0.23839605</v>
      </c>
      <c r="K105" s="1">
        <v>0.31921640000000001</v>
      </c>
      <c r="L105" s="1">
        <v>3.1248232000000001E-2</v>
      </c>
      <c r="M105" s="1">
        <v>0.86002849999999997</v>
      </c>
      <c r="N105" s="1">
        <v>0.13997151999999999</v>
      </c>
      <c r="O105" s="1">
        <v>0.98950994000000003</v>
      </c>
      <c r="P105" s="1">
        <v>1.0490071E-2</v>
      </c>
      <c r="Q105" s="4">
        <v>0</v>
      </c>
      <c r="R105" s="13">
        <v>0</v>
      </c>
      <c r="S105" s="14">
        <v>0</v>
      </c>
    </row>
    <row r="106" spans="1:19">
      <c r="A106" s="1">
        <v>0</v>
      </c>
      <c r="B106" s="1" t="s">
        <v>119</v>
      </c>
      <c r="C106" s="1">
        <v>0.78048413999999999</v>
      </c>
      <c r="D106" s="1">
        <v>0.17124717</v>
      </c>
      <c r="E106" s="1">
        <v>0.78092740000000005</v>
      </c>
      <c r="F106" s="1">
        <v>0.14389900999999999</v>
      </c>
      <c r="G106" s="1">
        <v>0.96926670000000004</v>
      </c>
      <c r="H106" s="1">
        <v>3.0733305999999998E-2</v>
      </c>
      <c r="I106" s="1">
        <v>0.96216440000000003</v>
      </c>
      <c r="J106" s="1">
        <v>3.7835639999999997E-2</v>
      </c>
      <c r="K106" s="1">
        <v>0.34617589999999998</v>
      </c>
      <c r="L106" s="1">
        <v>4.2395863999999998E-2</v>
      </c>
      <c r="M106" s="1">
        <v>0.67317503999999995</v>
      </c>
      <c r="N106" s="1">
        <v>0.32682489999999997</v>
      </c>
      <c r="O106" s="1">
        <v>0.90279657000000002</v>
      </c>
      <c r="P106" s="1">
        <v>9.7203440000000002E-2</v>
      </c>
      <c r="Q106" s="4">
        <v>0</v>
      </c>
      <c r="R106" s="13">
        <v>0</v>
      </c>
      <c r="S106" s="14">
        <v>0</v>
      </c>
    </row>
    <row r="107" spans="1:19">
      <c r="A107" s="1">
        <v>0</v>
      </c>
      <c r="B107" s="1" t="s">
        <v>120</v>
      </c>
      <c r="C107" s="1">
        <v>0.80941909999999995</v>
      </c>
      <c r="D107" s="1">
        <v>7.4254130000000002E-2</v>
      </c>
      <c r="E107" s="1">
        <v>0.74452110000000005</v>
      </c>
      <c r="F107" s="1">
        <v>0.37270078000000001</v>
      </c>
      <c r="G107" s="1">
        <v>0.77970919999999999</v>
      </c>
      <c r="H107" s="1">
        <v>0.22029080000000001</v>
      </c>
      <c r="I107" s="1">
        <v>0.87284773999999998</v>
      </c>
      <c r="J107" s="1">
        <v>0.12715222000000001</v>
      </c>
      <c r="K107" s="1">
        <v>0.39608189999999999</v>
      </c>
      <c r="L107" s="1">
        <v>1.9430457000000002E-2</v>
      </c>
      <c r="M107" s="1">
        <v>0.61306786999999996</v>
      </c>
      <c r="N107" s="1">
        <v>0.38693212999999999</v>
      </c>
      <c r="O107" s="1">
        <v>0.90592269999999997</v>
      </c>
      <c r="P107" s="1">
        <v>9.4077229999999998E-2</v>
      </c>
      <c r="Q107" s="4">
        <v>0</v>
      </c>
      <c r="R107" s="13">
        <v>0</v>
      </c>
      <c r="S107" s="14">
        <v>0</v>
      </c>
    </row>
    <row r="108" spans="1:19">
      <c r="A108" s="1">
        <v>0</v>
      </c>
      <c r="B108" s="1" t="s">
        <v>121</v>
      </c>
      <c r="C108" s="1">
        <v>0.72850360000000003</v>
      </c>
      <c r="D108" s="1">
        <v>0.41973107999999998</v>
      </c>
      <c r="E108" s="1">
        <v>0.7627022</v>
      </c>
      <c r="F108" s="1">
        <v>0.30231592000000002</v>
      </c>
      <c r="G108" s="1">
        <v>0.83925735999999995</v>
      </c>
      <c r="H108" s="1">
        <v>0.16074268999999999</v>
      </c>
      <c r="I108" s="1">
        <v>0.81918263000000002</v>
      </c>
      <c r="J108" s="1">
        <v>0.18081737000000001</v>
      </c>
      <c r="K108" s="1">
        <v>0.15348134999999999</v>
      </c>
      <c r="L108" s="1">
        <v>0.29935479999999998</v>
      </c>
      <c r="M108" s="1">
        <v>0.52599470000000004</v>
      </c>
      <c r="N108" s="1">
        <v>0.47400530000000002</v>
      </c>
      <c r="O108" s="1">
        <v>0.71761569999999997</v>
      </c>
      <c r="P108" s="1">
        <v>0.28238427999999999</v>
      </c>
      <c r="Q108" s="4">
        <v>0</v>
      </c>
      <c r="R108" s="13">
        <v>0</v>
      </c>
      <c r="S108" s="14">
        <v>0</v>
      </c>
    </row>
    <row r="109" spans="1:19">
      <c r="A109" s="1">
        <v>0</v>
      </c>
      <c r="B109" s="1" t="s">
        <v>122</v>
      </c>
      <c r="C109" s="1">
        <v>0.75588239999999995</v>
      </c>
      <c r="D109" s="1">
        <v>0.19907995000000001</v>
      </c>
      <c r="E109" s="1">
        <v>0.76696277000000002</v>
      </c>
      <c r="F109" s="1">
        <v>0.32096429999999998</v>
      </c>
      <c r="G109" s="1">
        <v>0.83347740000000003</v>
      </c>
      <c r="H109" s="1">
        <v>0.16652259</v>
      </c>
      <c r="I109" s="1">
        <v>0.94278830000000002</v>
      </c>
      <c r="J109" s="1">
        <v>5.7211633999999997E-2</v>
      </c>
      <c r="K109" s="1">
        <v>0.27816004</v>
      </c>
      <c r="L109" s="1">
        <v>0.14908173999999999</v>
      </c>
      <c r="M109" s="1">
        <v>0.57827320000000004</v>
      </c>
      <c r="N109" s="1">
        <v>0.42172675999999998</v>
      </c>
      <c r="O109" s="1">
        <v>0.87047695999999997</v>
      </c>
      <c r="P109" s="1">
        <v>0.12952300999999999</v>
      </c>
      <c r="Q109" s="4">
        <v>0</v>
      </c>
      <c r="R109" s="13">
        <v>0</v>
      </c>
      <c r="S109" s="14">
        <v>0</v>
      </c>
    </row>
    <row r="110" spans="1:19">
      <c r="A110" s="1">
        <v>0</v>
      </c>
      <c r="B110" s="1" t="s">
        <v>123</v>
      </c>
      <c r="C110" s="1">
        <v>0.62868804</v>
      </c>
      <c r="D110" s="1">
        <v>0.58157619999999999</v>
      </c>
      <c r="E110" s="1">
        <v>0.76216430000000002</v>
      </c>
      <c r="F110" s="1">
        <v>0.35371363</v>
      </c>
      <c r="G110" s="1">
        <v>0.79625933999999998</v>
      </c>
      <c r="H110" s="1">
        <v>0.20374064</v>
      </c>
      <c r="I110" s="1">
        <v>0.38593404999999997</v>
      </c>
      <c r="J110" s="1">
        <v>0.614066</v>
      </c>
      <c r="K110" s="1">
        <v>0.10050085</v>
      </c>
      <c r="L110" s="1">
        <v>8.1026100000000004E-2</v>
      </c>
      <c r="M110" s="1">
        <v>0.27028802000000002</v>
      </c>
      <c r="N110" s="1">
        <v>0.72971195</v>
      </c>
      <c r="O110" s="1">
        <v>0.64289134999999997</v>
      </c>
      <c r="P110" s="1">
        <v>0.3571087</v>
      </c>
      <c r="Q110" s="4">
        <v>1</v>
      </c>
      <c r="R110" s="14">
        <v>1</v>
      </c>
      <c r="S110" s="14">
        <v>0</v>
      </c>
    </row>
    <row r="111" spans="1:19">
      <c r="A111" s="1">
        <v>0</v>
      </c>
      <c r="B111" s="1" t="s">
        <v>124</v>
      </c>
      <c r="C111" s="1">
        <v>0.78485870000000002</v>
      </c>
      <c r="D111" s="1">
        <v>0.12788573</v>
      </c>
      <c r="E111" s="1">
        <v>0.76624787000000005</v>
      </c>
      <c r="F111" s="1">
        <v>0.25613051999999997</v>
      </c>
      <c r="G111" s="1">
        <v>0.90771710000000005</v>
      </c>
      <c r="H111" s="1">
        <v>9.2282900000000001E-2</v>
      </c>
      <c r="I111" s="1">
        <v>0.94370969999999998</v>
      </c>
      <c r="J111" s="1">
        <v>5.6290270000000003E-2</v>
      </c>
      <c r="K111" s="1">
        <v>0.27014387000000001</v>
      </c>
      <c r="L111" s="1">
        <v>0.12316436</v>
      </c>
      <c r="M111" s="1">
        <v>0.81149523999999995</v>
      </c>
      <c r="N111" s="1">
        <v>0.18850473000000001</v>
      </c>
      <c r="O111" s="1">
        <v>0.79093619999999998</v>
      </c>
      <c r="P111" s="1">
        <v>0.20906384</v>
      </c>
      <c r="Q111" s="4">
        <v>0</v>
      </c>
      <c r="R111" s="13">
        <v>0</v>
      </c>
      <c r="S111" s="14">
        <v>0</v>
      </c>
    </row>
    <row r="112" spans="1:19">
      <c r="A112" s="1">
        <v>0</v>
      </c>
      <c r="B112" s="1" t="s">
        <v>125</v>
      </c>
      <c r="C112" s="1">
        <v>0.78462019999999999</v>
      </c>
      <c r="D112" s="1">
        <v>0.1759772</v>
      </c>
      <c r="E112" s="1">
        <v>0.78013045000000003</v>
      </c>
      <c r="F112" s="1">
        <v>0.24536253999999999</v>
      </c>
      <c r="G112" s="1">
        <v>0.91774730000000004</v>
      </c>
      <c r="H112" s="1">
        <v>8.2252690000000003E-2</v>
      </c>
      <c r="I112" s="1">
        <v>0.88638216000000003</v>
      </c>
      <c r="J112" s="1">
        <v>0.11361789</v>
      </c>
      <c r="K112" s="1">
        <v>0.22706296000000001</v>
      </c>
      <c r="L112" s="1">
        <v>0.31452691999999999</v>
      </c>
      <c r="M112" s="1">
        <v>0.23161635</v>
      </c>
      <c r="N112" s="1">
        <v>0.7683837</v>
      </c>
      <c r="O112" s="1">
        <v>0.79625990000000002</v>
      </c>
      <c r="P112" s="1">
        <v>0.20374012999999999</v>
      </c>
      <c r="Q112" s="4">
        <v>1</v>
      </c>
      <c r="R112" s="14">
        <v>0</v>
      </c>
      <c r="S112" s="14">
        <v>0</v>
      </c>
    </row>
    <row r="113" spans="1:19">
      <c r="A113" s="1">
        <v>0</v>
      </c>
      <c r="B113" s="1" t="s">
        <v>126</v>
      </c>
      <c r="C113" s="1">
        <v>0.8023323</v>
      </c>
      <c r="D113" s="1">
        <v>9.6056489999999994E-2</v>
      </c>
      <c r="E113" s="1">
        <v>0.78009799999999996</v>
      </c>
      <c r="F113" s="1">
        <v>0.23126996999999999</v>
      </c>
      <c r="G113" s="1">
        <v>0.93631845999999996</v>
      </c>
      <c r="H113" s="1">
        <v>6.3681594999999994E-2</v>
      </c>
      <c r="I113" s="1">
        <v>0.96669620000000001</v>
      </c>
      <c r="J113" s="1">
        <v>3.3303755999999997E-2</v>
      </c>
      <c r="K113" s="1">
        <v>0.30398554</v>
      </c>
      <c r="L113" s="1">
        <v>0.20256509</v>
      </c>
      <c r="M113" s="1">
        <v>0.63529659999999999</v>
      </c>
      <c r="N113" s="1">
        <v>0.36470342</v>
      </c>
      <c r="O113" s="1">
        <v>0.93947530000000001</v>
      </c>
      <c r="P113" s="1">
        <v>6.0524702E-2</v>
      </c>
      <c r="Q113" s="4">
        <v>0</v>
      </c>
      <c r="R113" s="13">
        <v>0</v>
      </c>
      <c r="S113" s="14">
        <v>0</v>
      </c>
    </row>
    <row r="114" spans="1:19">
      <c r="A114" s="1">
        <v>0</v>
      </c>
      <c r="B114" s="1" t="s">
        <v>127</v>
      </c>
      <c r="C114" s="1">
        <v>0.45472976999999998</v>
      </c>
      <c r="D114" s="1">
        <v>0.68826319999999996</v>
      </c>
      <c r="E114" s="1">
        <v>0.54257977000000002</v>
      </c>
      <c r="F114" s="1">
        <v>0.64565234999999999</v>
      </c>
      <c r="G114" s="1">
        <v>0.43882989999999999</v>
      </c>
      <c r="H114" s="1">
        <v>0.56117015999999997</v>
      </c>
      <c r="I114" s="1">
        <v>0.40379208</v>
      </c>
      <c r="J114" s="1">
        <v>0.59620786000000003</v>
      </c>
      <c r="K114" s="1">
        <v>0.15680910000000001</v>
      </c>
      <c r="L114" s="1">
        <v>0.35981864000000002</v>
      </c>
      <c r="M114" s="1">
        <v>0.3026105</v>
      </c>
      <c r="N114" s="1">
        <v>0.6973895</v>
      </c>
      <c r="O114" s="1">
        <v>0.71552914000000001</v>
      </c>
      <c r="P114" s="1">
        <v>0.28447085999999999</v>
      </c>
      <c r="Q114" s="4">
        <v>1</v>
      </c>
      <c r="R114" s="14">
        <v>1</v>
      </c>
      <c r="S114" s="14">
        <v>1</v>
      </c>
    </row>
    <row r="115" spans="1:19">
      <c r="A115" s="1">
        <v>0</v>
      </c>
      <c r="B115" s="1" t="s">
        <v>128</v>
      </c>
      <c r="C115" s="1">
        <v>0.69474596</v>
      </c>
      <c r="D115" s="1">
        <v>0.42694642999999999</v>
      </c>
      <c r="E115" s="1">
        <v>0.73440945000000002</v>
      </c>
      <c r="F115" s="1">
        <v>0.38384578000000003</v>
      </c>
      <c r="G115" s="1">
        <v>0.65482240000000003</v>
      </c>
      <c r="H115" s="1">
        <v>0.34517755999999999</v>
      </c>
      <c r="I115" s="1">
        <v>0.84411764</v>
      </c>
      <c r="J115" s="1">
        <v>0.15588236999999999</v>
      </c>
      <c r="K115" s="1">
        <v>0.11980995999999999</v>
      </c>
      <c r="L115" s="1">
        <v>6.9127229999999998E-2</v>
      </c>
      <c r="M115" s="1">
        <v>0.38280570000000003</v>
      </c>
      <c r="N115" s="1">
        <v>0.61719429999999997</v>
      </c>
      <c r="O115" s="1">
        <v>0.73792504999999997</v>
      </c>
      <c r="P115" s="1">
        <v>0.26207491999999999</v>
      </c>
      <c r="Q115" s="4">
        <v>0</v>
      </c>
      <c r="R115" s="13">
        <v>0</v>
      </c>
      <c r="S115" s="14">
        <v>0</v>
      </c>
    </row>
    <row r="116" spans="1:19">
      <c r="A116" s="1">
        <v>0</v>
      </c>
      <c r="B116" s="1" t="s">
        <v>129</v>
      </c>
      <c r="C116" s="1">
        <v>0.60176647000000005</v>
      </c>
      <c r="D116" s="1">
        <v>0.56168085000000001</v>
      </c>
      <c r="E116" s="1">
        <v>0.72445570000000004</v>
      </c>
      <c r="F116" s="1">
        <v>0.42990499999999998</v>
      </c>
      <c r="G116" s="1">
        <v>0.73551699999999998</v>
      </c>
      <c r="H116" s="1">
        <v>0.26448297999999998</v>
      </c>
      <c r="I116" s="1">
        <v>0.55854344</v>
      </c>
      <c r="J116" s="1">
        <v>0.44145656</v>
      </c>
      <c r="K116" s="1">
        <v>0.15678713</v>
      </c>
      <c r="L116" s="1">
        <v>0.26186981999999998</v>
      </c>
      <c r="M116" s="1">
        <v>0.17773022999999999</v>
      </c>
      <c r="N116" s="1">
        <v>0.82226980000000005</v>
      </c>
      <c r="O116" s="1">
        <v>0.1814847</v>
      </c>
      <c r="P116" s="1">
        <v>0.81851529999999995</v>
      </c>
      <c r="Q116" s="4">
        <v>0</v>
      </c>
      <c r="R116" s="13">
        <v>0</v>
      </c>
      <c r="S116" s="14">
        <v>0</v>
      </c>
    </row>
    <row r="117" spans="1:19">
      <c r="A117" s="1">
        <v>0</v>
      </c>
      <c r="B117" s="1" t="s">
        <v>130</v>
      </c>
      <c r="C117" s="1">
        <v>0.79889399999999999</v>
      </c>
      <c r="D117" s="1">
        <v>4.6942227000000003E-2</v>
      </c>
      <c r="E117" s="1">
        <v>0.75082314000000006</v>
      </c>
      <c r="F117" s="1">
        <v>0.30322044999999997</v>
      </c>
      <c r="G117" s="1">
        <v>0.71425974000000003</v>
      </c>
      <c r="H117" s="1">
        <v>0.2857403</v>
      </c>
      <c r="I117" s="1">
        <v>0.94881742999999996</v>
      </c>
      <c r="J117" s="1">
        <v>5.1182576E-2</v>
      </c>
      <c r="K117" s="1">
        <v>0.39368366999999999</v>
      </c>
      <c r="L117" s="1">
        <v>2.8040447999999999E-2</v>
      </c>
      <c r="M117" s="1">
        <v>0.74476355000000005</v>
      </c>
      <c r="N117" s="1">
        <v>0.25523645</v>
      </c>
      <c r="O117" s="1">
        <v>0.88825697000000003</v>
      </c>
      <c r="P117" s="1">
        <v>0.11174307</v>
      </c>
      <c r="Q117" s="4">
        <v>0</v>
      </c>
      <c r="R117" s="13">
        <v>0</v>
      </c>
      <c r="S117" s="14">
        <v>0</v>
      </c>
    </row>
    <row r="118" spans="1:19">
      <c r="A118" s="1">
        <v>0</v>
      </c>
      <c r="B118" s="1" t="s">
        <v>131</v>
      </c>
      <c r="C118" s="1">
        <v>0.73698439999999998</v>
      </c>
      <c r="D118" s="1">
        <v>0.25355833999999999</v>
      </c>
      <c r="E118" s="1">
        <v>0.76357830000000004</v>
      </c>
      <c r="F118" s="1">
        <v>0.29469165000000003</v>
      </c>
      <c r="G118" s="1">
        <v>0.72654759999999996</v>
      </c>
      <c r="H118" s="1">
        <v>0.27345246000000001</v>
      </c>
      <c r="I118" s="1">
        <v>0.61347204</v>
      </c>
      <c r="J118" s="1">
        <v>0.38652802000000003</v>
      </c>
      <c r="K118" s="1">
        <v>0.21659084000000001</v>
      </c>
      <c r="L118" s="1">
        <v>4.9585341999999998E-2</v>
      </c>
      <c r="M118" s="1">
        <v>0.52930509999999997</v>
      </c>
      <c r="N118" s="1">
        <v>0.47069493000000001</v>
      </c>
      <c r="O118" s="1">
        <v>0.69311929999999999</v>
      </c>
      <c r="P118" s="1">
        <v>0.30688070000000001</v>
      </c>
      <c r="Q118" s="4">
        <v>1</v>
      </c>
      <c r="R118" s="13">
        <v>0</v>
      </c>
      <c r="S118" s="14">
        <v>0</v>
      </c>
    </row>
    <row r="119" spans="1:19">
      <c r="A119" s="1">
        <v>0</v>
      </c>
      <c r="B119" s="1" t="s">
        <v>132</v>
      </c>
      <c r="C119" s="1">
        <v>0.79565269999999999</v>
      </c>
      <c r="D119" s="1">
        <v>5.8321584000000003E-2</v>
      </c>
      <c r="E119" s="1">
        <v>0.77625763000000003</v>
      </c>
      <c r="F119" s="1">
        <v>0.22697595000000001</v>
      </c>
      <c r="G119" s="1">
        <v>0.95636920000000003</v>
      </c>
      <c r="H119" s="1">
        <v>4.3630750000000003E-2</v>
      </c>
      <c r="I119" s="1">
        <v>0.99417924999999996</v>
      </c>
      <c r="J119" s="1">
        <v>5.8207236999999997E-3</v>
      </c>
      <c r="K119" s="1">
        <v>0.28112503999999999</v>
      </c>
      <c r="L119" s="1">
        <v>1.8897687999999999E-2</v>
      </c>
      <c r="M119" s="1">
        <v>0.88133424999999999</v>
      </c>
      <c r="N119" s="1">
        <v>0.11866570999999999</v>
      </c>
      <c r="O119" s="1">
        <v>0.99299603999999997</v>
      </c>
      <c r="P119" s="1">
        <v>7.0039773999999999E-3</v>
      </c>
      <c r="Q119" s="4">
        <v>0</v>
      </c>
      <c r="R119" s="13">
        <v>0</v>
      </c>
      <c r="S119" s="14">
        <v>0</v>
      </c>
    </row>
    <row r="120" spans="1:19">
      <c r="A120" s="1">
        <v>0</v>
      </c>
      <c r="B120" s="1" t="s">
        <v>133</v>
      </c>
      <c r="C120" s="1">
        <v>0.53630860000000002</v>
      </c>
      <c r="D120" s="1">
        <v>0.61265979999999998</v>
      </c>
      <c r="E120" s="1">
        <v>0.43651855000000001</v>
      </c>
      <c r="F120" s="1">
        <v>0.71400580000000002</v>
      </c>
      <c r="G120" s="1">
        <v>0.15623503999999999</v>
      </c>
      <c r="H120" s="1">
        <v>0.84376490000000004</v>
      </c>
      <c r="I120" s="1">
        <v>0.45129064000000002</v>
      </c>
      <c r="J120" s="1">
        <v>0.54870940000000001</v>
      </c>
      <c r="K120" s="1">
        <v>0.10902342</v>
      </c>
      <c r="L120" s="1">
        <v>0.32116603999999999</v>
      </c>
      <c r="M120" s="1">
        <v>7.6491030000000002E-2</v>
      </c>
      <c r="N120" s="1">
        <v>0.92350900000000002</v>
      </c>
      <c r="O120" s="1">
        <v>0.26891965000000001</v>
      </c>
      <c r="P120" s="1">
        <v>0.73108035000000005</v>
      </c>
      <c r="Q120" s="4">
        <v>0</v>
      </c>
      <c r="R120" s="14">
        <v>0</v>
      </c>
      <c r="S120" s="14">
        <v>0</v>
      </c>
    </row>
    <row r="121" spans="1:19">
      <c r="A121" s="1">
        <v>0</v>
      </c>
      <c r="B121" s="1" t="s">
        <v>134</v>
      </c>
      <c r="C121" s="1">
        <v>0.50729864999999996</v>
      </c>
      <c r="D121" s="1">
        <v>0.66008884000000001</v>
      </c>
      <c r="E121" s="1">
        <v>0.54157096000000005</v>
      </c>
      <c r="F121" s="1">
        <v>0.65486056000000004</v>
      </c>
      <c r="G121" s="1">
        <v>0.39816869999999999</v>
      </c>
      <c r="H121" s="1">
        <v>0.60183129999999996</v>
      </c>
      <c r="I121" s="1">
        <v>0.35741106</v>
      </c>
      <c r="J121" s="1">
        <v>0.64258899999999997</v>
      </c>
      <c r="K121" s="1">
        <v>0.10685935000000001</v>
      </c>
      <c r="L121" s="1">
        <v>0.28288594</v>
      </c>
      <c r="M121" s="1">
        <v>0.44122099999999997</v>
      </c>
      <c r="N121" s="1">
        <v>0.55877900000000003</v>
      </c>
      <c r="O121" s="1">
        <v>0.87936365999999999</v>
      </c>
      <c r="P121" s="1">
        <v>0.12063637000000001</v>
      </c>
      <c r="Q121" s="4">
        <v>0</v>
      </c>
      <c r="R121" s="14">
        <v>1</v>
      </c>
      <c r="S121" s="14">
        <v>0</v>
      </c>
    </row>
    <row r="122" spans="1:19">
      <c r="A122" s="1">
        <v>0</v>
      </c>
      <c r="B122" s="5" t="s">
        <v>135</v>
      </c>
      <c r="C122" s="5">
        <v>0.80245244999999998</v>
      </c>
      <c r="D122" s="5">
        <v>5.6365192000000001E-2</v>
      </c>
      <c r="E122" s="5">
        <v>0.75992389999999999</v>
      </c>
      <c r="F122" s="5">
        <v>0.28654154999999998</v>
      </c>
      <c r="G122" s="5">
        <v>0.89681476000000004</v>
      </c>
      <c r="H122" s="5">
        <v>0.10318524</v>
      </c>
      <c r="I122" s="5">
        <v>0.98063880000000003</v>
      </c>
      <c r="J122" s="5">
        <v>1.9361211E-2</v>
      </c>
      <c r="K122" s="5">
        <v>0.17664563999999999</v>
      </c>
      <c r="L122" s="5">
        <v>0.11458362</v>
      </c>
      <c r="M122" s="5">
        <v>0.66995899999999997</v>
      </c>
      <c r="N122" s="5">
        <v>0.33004099999999997</v>
      </c>
      <c r="O122" s="5">
        <v>0.84848579999999996</v>
      </c>
      <c r="P122" s="5">
        <v>0.15151413</v>
      </c>
      <c r="Q122" s="4">
        <v>0</v>
      </c>
      <c r="R122" s="13">
        <v>0</v>
      </c>
      <c r="S122" s="14">
        <v>0</v>
      </c>
    </row>
    <row r="123" spans="1:19">
      <c r="A123" s="1">
        <v>0</v>
      </c>
      <c r="B123" s="1" t="s">
        <v>136</v>
      </c>
      <c r="C123" s="1">
        <v>0.75011766000000002</v>
      </c>
      <c r="D123" s="1">
        <v>0.33666065000000001</v>
      </c>
      <c r="E123" s="1">
        <v>0.76512840000000004</v>
      </c>
      <c r="F123" s="1">
        <v>0.32872614</v>
      </c>
      <c r="G123" s="1">
        <v>0.93209726000000004</v>
      </c>
      <c r="H123" s="1">
        <v>6.7902729999999994E-2</v>
      </c>
      <c r="I123" s="1">
        <v>0.58289950000000001</v>
      </c>
      <c r="J123" s="1">
        <v>0.41710051999999997</v>
      </c>
      <c r="K123" s="1">
        <v>0.44184259999999997</v>
      </c>
      <c r="L123" s="1">
        <v>0.10010731</v>
      </c>
      <c r="M123" s="1">
        <v>0.52109766000000002</v>
      </c>
      <c r="N123" s="1">
        <v>0.47890240000000001</v>
      </c>
      <c r="O123" s="1">
        <v>0.78346360000000004</v>
      </c>
      <c r="P123" s="1">
        <v>0.21653639999999999</v>
      </c>
      <c r="Q123" s="4">
        <v>0</v>
      </c>
      <c r="R123" s="13">
        <v>0</v>
      </c>
      <c r="S123" s="14">
        <v>0</v>
      </c>
    </row>
    <row r="124" spans="1:19">
      <c r="A124" s="7">
        <v>0</v>
      </c>
      <c r="B124" s="7" t="s">
        <v>137</v>
      </c>
      <c r="C124" s="7">
        <v>0.80152909999999999</v>
      </c>
      <c r="D124" s="7">
        <v>7.5214719999999999E-2</v>
      </c>
      <c r="E124" s="7">
        <v>0.76688469999999997</v>
      </c>
      <c r="F124" s="7">
        <v>0.31015231999999998</v>
      </c>
      <c r="G124" s="7">
        <v>0.81892699999999996</v>
      </c>
      <c r="H124" s="7">
        <v>0.18107301000000001</v>
      </c>
      <c r="I124" s="7">
        <v>0.95486146000000005</v>
      </c>
      <c r="J124" s="7">
        <v>4.5138490000000003E-2</v>
      </c>
      <c r="K124" s="7">
        <v>0.33535432999999998</v>
      </c>
      <c r="L124" s="7">
        <v>0.21544276000000001</v>
      </c>
      <c r="M124" s="7">
        <v>0.67577169999999998</v>
      </c>
      <c r="N124" s="7">
        <v>0.32422825999999999</v>
      </c>
      <c r="O124" s="7">
        <v>0.84543060000000003</v>
      </c>
      <c r="P124" s="7">
        <v>0.15456934</v>
      </c>
      <c r="Q124" s="8">
        <v>0</v>
      </c>
      <c r="R124" s="15">
        <v>0</v>
      </c>
      <c r="S124" s="16">
        <v>0</v>
      </c>
    </row>
    <row r="125" spans="1:19">
      <c r="A125" s="7">
        <v>0</v>
      </c>
      <c r="B125" s="7" t="s">
        <v>138</v>
      </c>
      <c r="C125" s="7">
        <v>0.48313240000000002</v>
      </c>
      <c r="D125" s="7">
        <v>0.68316555000000001</v>
      </c>
      <c r="E125" s="7">
        <v>0.27334609999999998</v>
      </c>
      <c r="F125" s="7">
        <v>0.75756540000000006</v>
      </c>
      <c r="G125" s="7">
        <v>0.55872107000000004</v>
      </c>
      <c r="H125" s="7">
        <v>0.44127889999999997</v>
      </c>
      <c r="I125" s="7">
        <v>0.11601207400000001</v>
      </c>
      <c r="J125" s="7">
        <v>0.88398796000000002</v>
      </c>
      <c r="K125" s="7">
        <v>0.31011962999999998</v>
      </c>
      <c r="L125" s="7">
        <v>0.20623374</v>
      </c>
      <c r="M125" s="7">
        <v>0.45724857000000002</v>
      </c>
      <c r="N125" s="7">
        <v>0.54275139999999999</v>
      </c>
      <c r="O125" s="7">
        <v>0.40694475000000002</v>
      </c>
      <c r="P125" s="7">
        <v>0.59305529999999995</v>
      </c>
      <c r="Q125" s="8">
        <v>0</v>
      </c>
      <c r="R125" s="16">
        <v>1</v>
      </c>
      <c r="S125" s="16">
        <v>0</v>
      </c>
    </row>
    <row r="126" spans="1:19">
      <c r="A126" s="1">
        <v>0</v>
      </c>
      <c r="B126" s="1" t="s">
        <v>139</v>
      </c>
      <c r="C126" s="1">
        <v>0.6180928</v>
      </c>
      <c r="D126" s="1">
        <v>0.58488320000000005</v>
      </c>
      <c r="E126" s="1">
        <v>0.66053313000000002</v>
      </c>
      <c r="F126" s="1">
        <v>0.57106005999999998</v>
      </c>
      <c r="G126" s="1">
        <v>0.69658220000000004</v>
      </c>
      <c r="H126" s="1">
        <v>0.30341780000000002</v>
      </c>
      <c r="I126" s="1">
        <v>0.55180435999999999</v>
      </c>
      <c r="J126" s="1">
        <v>0.44819564000000001</v>
      </c>
      <c r="K126" s="1">
        <v>0.142569</v>
      </c>
      <c r="L126" s="1">
        <v>0.15145037</v>
      </c>
      <c r="M126" s="1">
        <v>0.30272876999999998</v>
      </c>
      <c r="N126" s="1">
        <v>0.69727119999999998</v>
      </c>
      <c r="O126" s="1">
        <v>0.56152440000000003</v>
      </c>
      <c r="P126" s="1">
        <v>0.43847564</v>
      </c>
      <c r="Q126" s="4">
        <v>1</v>
      </c>
      <c r="R126" s="14">
        <v>0</v>
      </c>
      <c r="S126" s="14">
        <v>0</v>
      </c>
    </row>
    <row r="127" spans="1:19">
      <c r="A127" s="1">
        <v>0</v>
      </c>
      <c r="B127" s="1" t="s">
        <v>140</v>
      </c>
      <c r="C127" s="1">
        <v>0.48265364999999999</v>
      </c>
      <c r="D127" s="1">
        <v>0.63271909999999998</v>
      </c>
      <c r="E127" s="1">
        <v>0.43352878</v>
      </c>
      <c r="F127" s="1">
        <v>0.72668679999999997</v>
      </c>
      <c r="G127" s="1">
        <v>0.29253307000000001</v>
      </c>
      <c r="H127" s="1">
        <v>0.70746690000000001</v>
      </c>
      <c r="I127" s="1">
        <v>0.38342799999999999</v>
      </c>
      <c r="J127" s="1">
        <v>0.61657200000000001</v>
      </c>
      <c r="K127" s="1">
        <v>0.32610794999999998</v>
      </c>
      <c r="L127" s="1">
        <v>0.16535759999999999</v>
      </c>
      <c r="M127" s="1">
        <v>0.64320650000000001</v>
      </c>
      <c r="N127" s="1">
        <v>0.35679351999999998</v>
      </c>
      <c r="O127" s="1">
        <v>0.7571388</v>
      </c>
      <c r="P127" s="1">
        <v>0.24286123000000001</v>
      </c>
      <c r="Q127" s="4">
        <v>0</v>
      </c>
      <c r="R127" s="13">
        <v>0</v>
      </c>
      <c r="S127" s="14">
        <v>0</v>
      </c>
    </row>
    <row r="128" spans="1:19">
      <c r="A128" s="1">
        <v>0</v>
      </c>
      <c r="B128" s="1" t="s">
        <v>141</v>
      </c>
      <c r="C128" s="1">
        <v>0.68610643999999998</v>
      </c>
      <c r="D128" s="1">
        <v>0.49786854000000003</v>
      </c>
      <c r="E128" s="1">
        <v>0.71498823</v>
      </c>
      <c r="F128" s="1">
        <v>0.44559777</v>
      </c>
      <c r="G128" s="1">
        <v>0.77850070000000005</v>
      </c>
      <c r="H128" s="1">
        <v>0.22149926</v>
      </c>
      <c r="I128" s="1">
        <v>0.73096483999999995</v>
      </c>
      <c r="J128" s="1">
        <v>0.26903522000000002</v>
      </c>
      <c r="K128" s="1">
        <v>0.14101754</v>
      </c>
      <c r="L128" s="1">
        <v>0.41233150000000002</v>
      </c>
      <c r="M128" s="1">
        <v>0.17461002</v>
      </c>
      <c r="N128" s="1">
        <v>0.82538990000000001</v>
      </c>
      <c r="O128" s="1">
        <v>0.66829289999999997</v>
      </c>
      <c r="P128" s="1">
        <v>0.33170715000000001</v>
      </c>
      <c r="Q128" s="4">
        <v>1</v>
      </c>
      <c r="R128" s="14">
        <v>0</v>
      </c>
      <c r="S128" s="14">
        <v>0</v>
      </c>
    </row>
    <row r="129" spans="1:19">
      <c r="A129" s="1">
        <v>0</v>
      </c>
      <c r="B129" s="1" t="s">
        <v>142</v>
      </c>
      <c r="C129" s="1">
        <v>0.80225736000000003</v>
      </c>
      <c r="D129" s="1">
        <v>5.8637839999999997E-2</v>
      </c>
      <c r="E129" s="1">
        <v>0.73991629999999997</v>
      </c>
      <c r="F129" s="1">
        <v>0.42560740000000002</v>
      </c>
      <c r="G129" s="1">
        <v>0.76500480000000004</v>
      </c>
      <c r="H129" s="1">
        <v>0.23499518999999999</v>
      </c>
      <c r="I129" s="1">
        <v>0.95317399999999997</v>
      </c>
      <c r="J129" s="1">
        <v>4.6826010000000001E-2</v>
      </c>
      <c r="K129" s="1">
        <v>0.14358523000000001</v>
      </c>
      <c r="L129" s="1">
        <v>0.30779984999999999</v>
      </c>
      <c r="M129" s="1">
        <v>0.73999773999999996</v>
      </c>
      <c r="N129" s="1">
        <v>0.26000225999999999</v>
      </c>
      <c r="O129" s="1">
        <v>0.89312769999999997</v>
      </c>
      <c r="P129" s="1">
        <v>0.106872335</v>
      </c>
      <c r="Q129" s="4">
        <v>0</v>
      </c>
      <c r="R129" s="13">
        <v>0</v>
      </c>
      <c r="S129" s="14">
        <v>0</v>
      </c>
    </row>
    <row r="130" spans="1:19">
      <c r="A130" s="1">
        <v>0</v>
      </c>
      <c r="B130" s="1" t="s">
        <v>143</v>
      </c>
      <c r="C130" s="1">
        <v>0.64305849999999998</v>
      </c>
      <c r="D130" s="1">
        <v>0.50336194000000001</v>
      </c>
      <c r="E130" s="1">
        <v>0.60164079999999998</v>
      </c>
      <c r="F130" s="1">
        <v>0.59002690000000002</v>
      </c>
      <c r="G130" s="1">
        <v>0.70061605999999998</v>
      </c>
      <c r="H130" s="1">
        <v>0.29938397</v>
      </c>
      <c r="I130" s="1">
        <v>0.56714255000000002</v>
      </c>
      <c r="J130" s="1">
        <v>0.43285744999999998</v>
      </c>
      <c r="K130" s="1">
        <v>0.39469057000000002</v>
      </c>
      <c r="L130" s="1">
        <v>6.6522390000000001E-2</v>
      </c>
      <c r="M130" s="1">
        <v>0.65187729999999999</v>
      </c>
      <c r="N130" s="1">
        <v>0.34812272</v>
      </c>
      <c r="O130" s="1">
        <v>0.62554776999999995</v>
      </c>
      <c r="P130" s="1">
        <v>0.37445223</v>
      </c>
      <c r="Q130" s="4">
        <v>0</v>
      </c>
      <c r="R130" s="13">
        <v>0</v>
      </c>
      <c r="S130" s="14">
        <v>0</v>
      </c>
    </row>
    <row r="131" spans="1:19">
      <c r="A131" s="7">
        <v>0</v>
      </c>
      <c r="B131" s="7" t="s">
        <v>144</v>
      </c>
      <c r="C131" s="7">
        <v>0.77642509999999998</v>
      </c>
      <c r="D131" s="7">
        <v>0.23869937999999999</v>
      </c>
      <c r="E131" s="7">
        <v>0.73346100000000003</v>
      </c>
      <c r="F131" s="7">
        <v>0.37298036000000001</v>
      </c>
      <c r="G131" s="7">
        <v>0.77756119999999995</v>
      </c>
      <c r="H131" s="7">
        <v>0.22243874999999999</v>
      </c>
      <c r="I131" s="7">
        <v>0.88613914999999999</v>
      </c>
      <c r="J131" s="7">
        <v>0.11386078600000001</v>
      </c>
      <c r="K131" s="7">
        <v>0.13037357999999999</v>
      </c>
      <c r="L131" s="7">
        <v>0.17215748</v>
      </c>
      <c r="M131" s="7">
        <v>0.5750672</v>
      </c>
      <c r="N131" s="7">
        <v>0.42493275000000003</v>
      </c>
      <c r="O131" s="7">
        <v>0.74570703999999999</v>
      </c>
      <c r="P131" s="7">
        <v>0.25429296000000001</v>
      </c>
      <c r="Q131" s="8">
        <v>0</v>
      </c>
      <c r="R131" s="16">
        <v>1</v>
      </c>
      <c r="S131" s="16">
        <v>0</v>
      </c>
    </row>
    <row r="132" spans="1:19">
      <c r="A132" s="1">
        <v>0</v>
      </c>
      <c r="B132" s="1" t="s">
        <v>145</v>
      </c>
      <c r="C132" s="1">
        <v>0.54625522999999998</v>
      </c>
      <c r="D132" s="1">
        <v>0.66166219999999998</v>
      </c>
      <c r="E132" s="1">
        <v>0.57577776999999997</v>
      </c>
      <c r="F132" s="1">
        <v>0.62879529999999995</v>
      </c>
      <c r="G132" s="1">
        <v>0.22580484000000001</v>
      </c>
      <c r="H132" s="1">
        <v>0.77419519999999997</v>
      </c>
      <c r="I132" s="1">
        <v>0.41479402999999998</v>
      </c>
      <c r="J132" s="1">
        <v>0.585206</v>
      </c>
      <c r="K132" s="1">
        <v>0.32001333999999998</v>
      </c>
      <c r="L132" s="1">
        <v>0.17578347</v>
      </c>
      <c r="M132" s="1">
        <v>0.50653349999999997</v>
      </c>
      <c r="N132" s="1">
        <v>0.49346653000000001</v>
      </c>
      <c r="O132" s="1">
        <v>0.93125860000000005</v>
      </c>
      <c r="P132" s="1">
        <v>6.8741365999999998E-2</v>
      </c>
      <c r="Q132" s="4">
        <v>0</v>
      </c>
      <c r="R132" s="13">
        <v>0</v>
      </c>
      <c r="S132" s="14">
        <v>0</v>
      </c>
    </row>
    <row r="133" spans="1:19">
      <c r="A133" s="1">
        <v>0</v>
      </c>
      <c r="B133" s="1" t="s">
        <v>146</v>
      </c>
      <c r="C133" s="1">
        <v>0.80174153999999997</v>
      </c>
      <c r="D133" s="1">
        <v>4.3444507E-2</v>
      </c>
      <c r="E133" s="1">
        <v>0.75705767000000002</v>
      </c>
      <c r="F133" s="1">
        <v>0.27584920000000002</v>
      </c>
      <c r="G133" s="1">
        <v>0.91591230000000001</v>
      </c>
      <c r="H133" s="1">
        <v>8.4087720000000005E-2</v>
      </c>
      <c r="I133" s="1">
        <v>0.96357936</v>
      </c>
      <c r="J133" s="1">
        <v>3.6420602000000003E-2</v>
      </c>
      <c r="K133" s="1">
        <v>9.2954400000000006E-2</v>
      </c>
      <c r="L133" s="1">
        <v>0.31983932999999998</v>
      </c>
      <c r="M133" s="1">
        <v>0.49096783999999999</v>
      </c>
      <c r="N133" s="1">
        <v>0.50903213000000003</v>
      </c>
      <c r="O133" s="1">
        <v>0.83090556000000004</v>
      </c>
      <c r="P133" s="1">
        <v>0.16909448999999999</v>
      </c>
      <c r="Q133" s="4">
        <v>0</v>
      </c>
      <c r="R133" s="13">
        <v>0</v>
      </c>
      <c r="S133" s="14">
        <v>0</v>
      </c>
    </row>
    <row r="134" spans="1:19">
      <c r="A134" s="1">
        <v>0</v>
      </c>
      <c r="B134" s="1" t="s">
        <v>147</v>
      </c>
      <c r="C134" s="1">
        <v>0.69377434000000004</v>
      </c>
      <c r="D134" s="1">
        <v>0.47443714999999997</v>
      </c>
      <c r="E134" s="1">
        <v>0.75987875000000005</v>
      </c>
      <c r="F134" s="1">
        <v>0.31648248000000001</v>
      </c>
      <c r="G134" s="1">
        <v>0.70439010000000002</v>
      </c>
      <c r="H134" s="1">
        <v>0.29560986</v>
      </c>
      <c r="I134" s="1">
        <v>0.84217036000000001</v>
      </c>
      <c r="J134" s="1">
        <v>0.15782963</v>
      </c>
      <c r="K134" s="1">
        <v>0.28833916999999998</v>
      </c>
      <c r="L134" s="1">
        <v>0.20700355000000001</v>
      </c>
      <c r="M134" s="1">
        <v>0.36488335999999999</v>
      </c>
      <c r="N134" s="1">
        <v>0.63511664000000001</v>
      </c>
      <c r="O134" s="1">
        <v>0.53594589999999998</v>
      </c>
      <c r="P134" s="1">
        <v>0.46405410000000002</v>
      </c>
      <c r="Q134" s="4">
        <v>1</v>
      </c>
      <c r="R134" s="14">
        <v>1</v>
      </c>
      <c r="S134" s="14">
        <v>1</v>
      </c>
    </row>
    <row r="135" spans="1:19">
      <c r="A135" s="1">
        <v>0</v>
      </c>
      <c r="B135" s="1" t="s">
        <v>148</v>
      </c>
      <c r="C135" s="1">
        <v>0.58621584999999998</v>
      </c>
      <c r="D135" s="1">
        <v>0.56059429999999999</v>
      </c>
      <c r="E135" s="1">
        <v>0.44341362000000001</v>
      </c>
      <c r="F135" s="1">
        <v>0.71149110000000004</v>
      </c>
      <c r="G135" s="1">
        <v>0.67974009999999996</v>
      </c>
      <c r="H135" s="1">
        <v>0.32025999999999999</v>
      </c>
      <c r="I135" s="1">
        <v>0.60694945</v>
      </c>
      <c r="J135" s="1">
        <v>0.39305052000000001</v>
      </c>
      <c r="K135" s="1">
        <v>0.23558106000000001</v>
      </c>
      <c r="L135" s="1">
        <v>0.27132207000000003</v>
      </c>
      <c r="M135" s="1">
        <v>0.26114145</v>
      </c>
      <c r="N135" s="1">
        <v>0.73885860000000003</v>
      </c>
      <c r="O135" s="1">
        <v>0.68409189999999998</v>
      </c>
      <c r="P135" s="1">
        <v>0.31590806999999999</v>
      </c>
      <c r="Q135" s="4">
        <v>1</v>
      </c>
      <c r="R135" s="14">
        <v>1</v>
      </c>
      <c r="S135" s="14">
        <v>0</v>
      </c>
    </row>
    <row r="136" spans="1:19">
      <c r="A136" s="1">
        <v>0</v>
      </c>
      <c r="B136" s="1" t="s">
        <v>149</v>
      </c>
      <c r="C136" s="1">
        <v>0.67985463000000002</v>
      </c>
      <c r="D136" s="1">
        <v>0.54438089999999995</v>
      </c>
      <c r="E136" s="1">
        <v>0.75379309999999999</v>
      </c>
      <c r="F136" s="1">
        <v>0.34305330000000001</v>
      </c>
      <c r="G136" s="1">
        <v>0.86835532999999998</v>
      </c>
      <c r="H136" s="1">
        <v>0.13164464000000001</v>
      </c>
      <c r="I136" s="1">
        <v>0.41641820000000002</v>
      </c>
      <c r="J136" s="1">
        <v>0.58358180000000004</v>
      </c>
      <c r="K136" s="1">
        <v>0.28337689999999999</v>
      </c>
      <c r="L136" s="1">
        <v>0.17862702999999999</v>
      </c>
      <c r="M136" s="1">
        <v>0.34684598</v>
      </c>
      <c r="N136" s="1">
        <v>0.65315400000000001</v>
      </c>
      <c r="O136" s="1">
        <v>0.6404628</v>
      </c>
      <c r="P136" s="1">
        <v>0.35953711999999999</v>
      </c>
      <c r="Q136" s="4">
        <v>0</v>
      </c>
      <c r="R136" s="13">
        <v>0</v>
      </c>
      <c r="S136" s="14">
        <v>0</v>
      </c>
    </row>
    <row r="137" spans="1:19">
      <c r="A137" s="1">
        <v>0</v>
      </c>
      <c r="B137" s="1" t="s">
        <v>150</v>
      </c>
      <c r="C137" s="1">
        <v>0.79498429999999998</v>
      </c>
      <c r="D137" s="1">
        <v>0.13488807999999999</v>
      </c>
      <c r="E137" s="1">
        <v>0.77160669999999998</v>
      </c>
      <c r="F137" s="1">
        <v>0.27318870000000001</v>
      </c>
      <c r="G137" s="1">
        <v>0.75937504</v>
      </c>
      <c r="H137" s="1">
        <v>0.24062491999999999</v>
      </c>
      <c r="I137" s="1">
        <v>0.89485632999999998</v>
      </c>
      <c r="J137" s="1">
        <v>0.10514363</v>
      </c>
      <c r="K137" s="1">
        <v>0.43665692</v>
      </c>
      <c r="L137" s="1">
        <v>5.0896737999999997E-2</v>
      </c>
      <c r="M137" s="1">
        <v>0.76038455999999999</v>
      </c>
      <c r="N137" s="1">
        <v>0.23961540000000001</v>
      </c>
      <c r="O137" s="1">
        <v>0.95896614000000002</v>
      </c>
      <c r="P137" s="1">
        <v>4.1033853000000002E-2</v>
      </c>
      <c r="Q137" s="4">
        <v>0</v>
      </c>
      <c r="R137" s="13">
        <v>0</v>
      </c>
      <c r="S137" s="14">
        <v>0</v>
      </c>
    </row>
    <row r="138" spans="1:19">
      <c r="A138" s="1">
        <v>0</v>
      </c>
      <c r="B138" s="1" t="s">
        <v>151</v>
      </c>
      <c r="C138" s="1">
        <v>0.81059824999999996</v>
      </c>
      <c r="D138" s="1">
        <v>9.5698039999999998E-2</v>
      </c>
      <c r="E138" s="1">
        <v>0.77564599999999995</v>
      </c>
      <c r="F138" s="1">
        <v>0.23419860000000001</v>
      </c>
      <c r="G138" s="1">
        <v>0.97758716000000001</v>
      </c>
      <c r="H138" s="1">
        <v>2.2412794E-2</v>
      </c>
      <c r="I138" s="1">
        <v>0.99232330000000002</v>
      </c>
      <c r="J138" s="1">
        <v>7.6767060000000002E-3</v>
      </c>
      <c r="K138" s="1">
        <v>0.25347966</v>
      </c>
      <c r="L138" s="1">
        <v>5.9371689999999998E-2</v>
      </c>
      <c r="M138" s="1">
        <v>0.68035109999999999</v>
      </c>
      <c r="N138" s="1">
        <v>0.31964894999999999</v>
      </c>
      <c r="O138" s="1">
        <v>0.8873569</v>
      </c>
      <c r="P138" s="1">
        <v>0.11264311</v>
      </c>
      <c r="Q138" s="4">
        <v>0</v>
      </c>
      <c r="R138" s="13">
        <v>0</v>
      </c>
      <c r="S138" s="14">
        <v>0</v>
      </c>
    </row>
    <row r="139" spans="1:19">
      <c r="A139" s="1">
        <v>0</v>
      </c>
      <c r="B139" s="1" t="s">
        <v>152</v>
      </c>
      <c r="C139" s="1">
        <v>0.79537729999999995</v>
      </c>
      <c r="D139" s="1">
        <v>6.3075505000000004E-2</v>
      </c>
      <c r="E139" s="1">
        <v>0.75736939999999997</v>
      </c>
      <c r="F139" s="1">
        <v>0.44073072000000002</v>
      </c>
      <c r="G139" s="1">
        <v>0.67858640000000003</v>
      </c>
      <c r="H139" s="1">
        <v>0.32141354999999999</v>
      </c>
      <c r="I139" s="1">
        <v>0.88409839999999995</v>
      </c>
      <c r="J139" s="1">
        <v>0.11590160400000001</v>
      </c>
      <c r="K139" s="1">
        <v>0.27390555</v>
      </c>
      <c r="L139" s="1">
        <v>0.12799648999999999</v>
      </c>
      <c r="M139" s="1">
        <v>0.80784889999999998</v>
      </c>
      <c r="N139" s="1">
        <v>0.19215115999999999</v>
      </c>
      <c r="O139" s="1">
        <v>0.91497019999999996</v>
      </c>
      <c r="P139" s="1">
        <v>8.5029796000000005E-2</v>
      </c>
      <c r="Q139" s="4">
        <v>1</v>
      </c>
      <c r="R139" s="13">
        <v>0</v>
      </c>
      <c r="S139" s="14">
        <v>0</v>
      </c>
    </row>
    <row r="140" spans="1:19">
      <c r="A140" s="1">
        <v>0</v>
      </c>
      <c r="B140" s="1" t="s">
        <v>153</v>
      </c>
      <c r="C140" s="1">
        <v>0.54406595000000002</v>
      </c>
      <c r="D140" s="1">
        <v>0.65703500000000004</v>
      </c>
      <c r="E140" s="1">
        <v>0.64709499999999998</v>
      </c>
      <c r="F140" s="1">
        <v>0.56365350000000003</v>
      </c>
      <c r="G140" s="1">
        <v>0.33039117000000001</v>
      </c>
      <c r="H140" s="1">
        <v>0.66960883000000004</v>
      </c>
      <c r="I140" s="1">
        <v>0.49090086999999999</v>
      </c>
      <c r="J140" s="1">
        <v>0.50909906999999999</v>
      </c>
      <c r="K140" s="1">
        <v>5.7248055999999999E-2</v>
      </c>
      <c r="L140" s="1">
        <v>0.22397755</v>
      </c>
      <c r="M140" s="1">
        <v>0.66390174999999996</v>
      </c>
      <c r="N140" s="1">
        <v>0.33609830000000002</v>
      </c>
      <c r="O140" s="1">
        <v>0.93952590000000002</v>
      </c>
      <c r="P140" s="1">
        <v>6.0474015999999998E-2</v>
      </c>
      <c r="Q140" s="4">
        <v>0</v>
      </c>
      <c r="R140" s="13">
        <v>0</v>
      </c>
      <c r="S140" s="14">
        <v>0</v>
      </c>
    </row>
    <row r="141" spans="1:19">
      <c r="A141" s="1">
        <v>0</v>
      </c>
      <c r="B141" s="1" t="s">
        <v>154</v>
      </c>
      <c r="C141" s="1">
        <v>0.79933209999999999</v>
      </c>
      <c r="D141" s="1">
        <v>9.777603E-2</v>
      </c>
      <c r="E141" s="1">
        <v>0.78216945999999998</v>
      </c>
      <c r="F141" s="1">
        <v>0.2063016</v>
      </c>
      <c r="G141" s="1">
        <v>0.9284945</v>
      </c>
      <c r="H141" s="1">
        <v>7.1505440000000003E-2</v>
      </c>
      <c r="I141" s="1">
        <v>0.91629857000000003</v>
      </c>
      <c r="J141" s="1">
        <v>8.3701410000000004E-2</v>
      </c>
      <c r="K141" s="1">
        <v>0.17110832000000001</v>
      </c>
      <c r="L141" s="1">
        <v>0.24756448</v>
      </c>
      <c r="M141" s="1">
        <v>0.40431640000000002</v>
      </c>
      <c r="N141" s="1">
        <v>0.59568359999999998</v>
      </c>
      <c r="O141" s="1">
        <v>0.49930384999999999</v>
      </c>
      <c r="P141" s="1">
        <v>0.50069620000000004</v>
      </c>
      <c r="Q141" s="4">
        <v>0</v>
      </c>
      <c r="R141" s="13">
        <v>0</v>
      </c>
      <c r="S141" s="14">
        <v>0</v>
      </c>
    </row>
    <row r="142" spans="1:19">
      <c r="A142" s="1">
        <v>0</v>
      </c>
      <c r="B142" s="1" t="s">
        <v>155</v>
      </c>
      <c r="C142" s="1">
        <v>0.74814325999999998</v>
      </c>
      <c r="D142" s="1">
        <v>0.27982214</v>
      </c>
      <c r="E142" s="1">
        <v>0.77097654000000004</v>
      </c>
      <c r="F142" s="1">
        <v>0.22746738999999999</v>
      </c>
      <c r="G142" s="1">
        <v>0.92776614000000002</v>
      </c>
      <c r="H142" s="1">
        <v>7.223388E-2</v>
      </c>
      <c r="I142" s="1">
        <v>0.80184233000000005</v>
      </c>
      <c r="J142" s="1">
        <v>0.19815774</v>
      </c>
      <c r="K142" s="1">
        <v>0.29263436999999998</v>
      </c>
      <c r="L142" s="1">
        <v>0.18793589999999999</v>
      </c>
      <c r="M142" s="1">
        <v>0.52502709999999997</v>
      </c>
      <c r="N142" s="1">
        <v>0.47497286999999999</v>
      </c>
      <c r="O142" s="1">
        <v>0.88744449999999997</v>
      </c>
      <c r="P142" s="1">
        <v>0.112555556</v>
      </c>
      <c r="Q142" s="17">
        <v>0</v>
      </c>
      <c r="R142" s="13">
        <v>0</v>
      </c>
      <c r="S142" s="14">
        <v>0</v>
      </c>
    </row>
    <row r="143" spans="1:19">
      <c r="A143" s="1">
        <v>0</v>
      </c>
      <c r="B143" s="1" t="s">
        <v>156</v>
      </c>
      <c r="C143" s="1">
        <v>0.75141822999999996</v>
      </c>
      <c r="D143" s="1">
        <v>0.1732233</v>
      </c>
      <c r="E143" s="1">
        <v>0.77791690000000002</v>
      </c>
      <c r="F143" s="1">
        <v>0.25919439999999999</v>
      </c>
      <c r="G143" s="1">
        <v>0.91576480000000005</v>
      </c>
      <c r="H143" s="1">
        <v>8.4235206000000007E-2</v>
      </c>
      <c r="I143" s="1">
        <v>0.90618109999999996</v>
      </c>
      <c r="J143" s="1">
        <v>9.3818949999999998E-2</v>
      </c>
      <c r="K143" s="1">
        <v>0.36288579999999998</v>
      </c>
      <c r="L143" s="1">
        <v>0.28798010000000002</v>
      </c>
      <c r="M143" s="1">
        <v>0.38123125000000002</v>
      </c>
      <c r="N143" s="1">
        <v>0.61876874999999998</v>
      </c>
      <c r="O143" s="1">
        <v>0.58728720000000001</v>
      </c>
      <c r="P143" s="1">
        <v>0.41271287000000001</v>
      </c>
      <c r="Q143" s="4">
        <v>0</v>
      </c>
      <c r="R143" s="14">
        <v>0</v>
      </c>
      <c r="S143" s="14">
        <v>0</v>
      </c>
    </row>
    <row r="144" spans="1:19">
      <c r="A144" s="2">
        <v>0</v>
      </c>
      <c r="B144" s="2" t="s">
        <v>157</v>
      </c>
      <c r="C144" s="2">
        <v>0.27992702000000003</v>
      </c>
      <c r="D144" s="2">
        <v>0.75652987000000005</v>
      </c>
      <c r="E144" s="2">
        <v>0.59287570000000001</v>
      </c>
      <c r="F144" s="2">
        <v>0.64433384000000005</v>
      </c>
      <c r="G144" s="2">
        <v>0.30780004999999999</v>
      </c>
      <c r="H144" s="2">
        <v>0.69219995000000001</v>
      </c>
      <c r="I144" s="2">
        <v>0.12542207999999999</v>
      </c>
      <c r="J144" s="2">
        <v>0.87457794</v>
      </c>
      <c r="K144" s="2">
        <v>0.21636253999999999</v>
      </c>
      <c r="L144" s="2">
        <v>0.28003790000000001</v>
      </c>
      <c r="M144" s="2">
        <v>0.25408044000000002</v>
      </c>
      <c r="N144" s="2">
        <v>0.74591949999999996</v>
      </c>
      <c r="O144" s="2">
        <v>0.36390349999999999</v>
      </c>
      <c r="P144" s="2">
        <v>0.63609654000000004</v>
      </c>
      <c r="Q144" s="18">
        <v>1</v>
      </c>
      <c r="R144" s="19">
        <v>1</v>
      </c>
      <c r="S144" s="19">
        <v>1</v>
      </c>
    </row>
    <row r="145" spans="1:19">
      <c r="A145" s="1">
        <v>1</v>
      </c>
      <c r="B145" s="1" t="s">
        <v>158</v>
      </c>
      <c r="C145" s="1">
        <v>0.14972930000000001</v>
      </c>
      <c r="D145" s="1">
        <v>0.79020285999999995</v>
      </c>
      <c r="E145" s="1">
        <v>0.20113871999999999</v>
      </c>
      <c r="F145" s="1">
        <v>0.76604240000000001</v>
      </c>
      <c r="G145" s="1">
        <v>7.8543744999999998E-2</v>
      </c>
      <c r="H145" s="1">
        <v>0.92145630000000001</v>
      </c>
      <c r="I145" s="1">
        <v>5.9173096000000001E-2</v>
      </c>
      <c r="J145" s="1">
        <v>0.94082683</v>
      </c>
      <c r="K145" s="1">
        <v>0.12727782000000001</v>
      </c>
      <c r="L145" s="1">
        <v>0.2382031</v>
      </c>
      <c r="M145" s="1">
        <v>0.31936446000000002</v>
      </c>
      <c r="N145" s="1">
        <v>0.68063549999999995</v>
      </c>
      <c r="O145" s="1">
        <v>0.39728394</v>
      </c>
      <c r="P145" s="1">
        <v>0.60271600000000003</v>
      </c>
      <c r="Q145" s="4">
        <v>1</v>
      </c>
      <c r="R145" s="14">
        <v>1</v>
      </c>
      <c r="S145" s="14">
        <v>1</v>
      </c>
    </row>
    <row r="146" spans="1:19">
      <c r="A146" s="1">
        <v>1</v>
      </c>
      <c r="B146" s="1" t="s">
        <v>159</v>
      </c>
      <c r="C146" s="1">
        <v>0.52264184000000002</v>
      </c>
      <c r="D146" s="1">
        <v>0.73400635000000003</v>
      </c>
      <c r="E146" s="1">
        <v>0.58253765000000002</v>
      </c>
      <c r="F146" s="1">
        <v>0.66527760000000002</v>
      </c>
      <c r="G146" s="1">
        <v>0.35993806</v>
      </c>
      <c r="H146" s="1">
        <v>0.64006189999999996</v>
      </c>
      <c r="I146" s="1">
        <v>0.3972078</v>
      </c>
      <c r="J146" s="1">
        <v>0.6027922</v>
      </c>
      <c r="K146" s="1">
        <v>0.12053264</v>
      </c>
      <c r="L146" s="1">
        <v>0.26648327999999999</v>
      </c>
      <c r="M146" s="1">
        <v>0.20729512999999999</v>
      </c>
      <c r="N146" s="1">
        <v>0.79270479999999999</v>
      </c>
      <c r="O146" s="1">
        <v>0.16413456000000001</v>
      </c>
      <c r="P146" s="1">
        <v>0.83586539999999998</v>
      </c>
      <c r="Q146" s="4">
        <v>1</v>
      </c>
      <c r="R146" s="14">
        <v>1</v>
      </c>
      <c r="S146" s="14">
        <v>1</v>
      </c>
    </row>
    <row r="147" spans="1:19">
      <c r="A147" s="1">
        <v>1</v>
      </c>
      <c r="B147" s="1" t="s">
        <v>160</v>
      </c>
      <c r="C147" s="1">
        <v>0.555844</v>
      </c>
      <c r="D147" s="1">
        <v>0.66557279999999996</v>
      </c>
      <c r="E147" s="1">
        <v>0.58980750000000004</v>
      </c>
      <c r="F147" s="1">
        <v>0.62181306000000003</v>
      </c>
      <c r="G147" s="1">
        <v>0.29722288000000002</v>
      </c>
      <c r="H147" s="1">
        <v>0.70277710000000004</v>
      </c>
      <c r="I147" s="1">
        <v>0.82637369999999999</v>
      </c>
      <c r="J147" s="1">
        <v>0.17362627</v>
      </c>
      <c r="K147" s="1">
        <v>0.41485703000000002</v>
      </c>
      <c r="L147" s="1">
        <v>8.0761650000000004E-2</v>
      </c>
      <c r="M147" s="1">
        <v>0.42906899999999998</v>
      </c>
      <c r="N147" s="1">
        <v>0.57093099999999997</v>
      </c>
      <c r="O147" s="1">
        <v>0.59803660000000003</v>
      </c>
      <c r="P147" s="1">
        <v>0.40196335</v>
      </c>
      <c r="Q147" s="4">
        <v>0</v>
      </c>
      <c r="R147" s="13">
        <v>0</v>
      </c>
      <c r="S147" s="14">
        <v>1</v>
      </c>
    </row>
    <row r="148" spans="1:19">
      <c r="A148" s="1">
        <v>1</v>
      </c>
      <c r="B148" s="1" t="s">
        <v>161</v>
      </c>
      <c r="C148" s="1">
        <v>0.18742666999999999</v>
      </c>
      <c r="D148" s="1">
        <v>0.75248950000000003</v>
      </c>
      <c r="E148" s="1">
        <v>0.12535112000000001</v>
      </c>
      <c r="F148" s="1">
        <v>0.78444104999999997</v>
      </c>
      <c r="G148" s="1">
        <v>4.2857274000000001E-2</v>
      </c>
      <c r="H148" s="1">
        <v>0.95714279999999996</v>
      </c>
      <c r="I148" s="1">
        <v>2.4396224000000001E-2</v>
      </c>
      <c r="J148" s="1">
        <v>0.97560376000000004</v>
      </c>
      <c r="K148" s="1">
        <v>5.2888132999999997E-2</v>
      </c>
      <c r="L148" s="1">
        <v>0.38462069999999998</v>
      </c>
      <c r="M148" s="1">
        <v>0.42537779999999997</v>
      </c>
      <c r="N148" s="1">
        <v>0.57462219999999997</v>
      </c>
      <c r="O148" s="1">
        <v>0.52096109999999995</v>
      </c>
      <c r="P148" s="1">
        <v>0.47903891999999998</v>
      </c>
      <c r="Q148" s="4">
        <v>1</v>
      </c>
      <c r="R148" s="14">
        <v>1</v>
      </c>
      <c r="S148" s="14">
        <v>1</v>
      </c>
    </row>
    <row r="149" spans="1:19">
      <c r="A149" s="1">
        <v>1</v>
      </c>
      <c r="B149" s="1" t="s">
        <v>162</v>
      </c>
      <c r="C149" s="1">
        <v>5.3519940000000002E-2</v>
      </c>
      <c r="D149" s="1">
        <v>0.75088540000000004</v>
      </c>
      <c r="E149" s="1">
        <v>0.27893662000000002</v>
      </c>
      <c r="F149" s="1">
        <v>0.67350847000000003</v>
      </c>
      <c r="G149" s="1">
        <v>0.5391937</v>
      </c>
      <c r="H149" s="1">
        <v>0.46080633999999998</v>
      </c>
      <c r="I149" s="1">
        <v>9.6772360000000002E-2</v>
      </c>
      <c r="J149" s="1">
        <v>0.90322769999999997</v>
      </c>
      <c r="K149" s="1">
        <v>3.7496224000000002E-2</v>
      </c>
      <c r="L149" s="1">
        <v>0.22416369999999999</v>
      </c>
      <c r="M149" s="1">
        <v>7.2480849999999999E-2</v>
      </c>
      <c r="N149" s="1">
        <v>0.92751910000000004</v>
      </c>
      <c r="O149" s="1">
        <v>7.0489360000000001E-2</v>
      </c>
      <c r="P149" s="1">
        <v>0.92951064999999999</v>
      </c>
      <c r="Q149" s="4">
        <v>1</v>
      </c>
      <c r="R149" s="14">
        <v>1</v>
      </c>
      <c r="S149" s="14">
        <v>1</v>
      </c>
    </row>
    <row r="150" spans="1:19">
      <c r="A150" s="1">
        <v>1</v>
      </c>
      <c r="B150" s="1" t="s">
        <v>163</v>
      </c>
      <c r="C150" s="1">
        <v>0.14982027000000001</v>
      </c>
      <c r="D150" s="1">
        <v>0.81758785</v>
      </c>
      <c r="E150" s="1">
        <v>3.5270403999999998E-2</v>
      </c>
      <c r="F150" s="1">
        <v>0.78379345</v>
      </c>
      <c r="G150" s="1">
        <v>1.2831333E-2</v>
      </c>
      <c r="H150" s="1">
        <v>0.98716866999999997</v>
      </c>
      <c r="I150" s="1">
        <v>1.1718564999999999E-3</v>
      </c>
      <c r="J150" s="1">
        <v>0.9988281</v>
      </c>
      <c r="K150" s="1">
        <v>5.2706691999999999E-2</v>
      </c>
      <c r="L150" s="1">
        <v>0.34387434</v>
      </c>
      <c r="M150" s="1">
        <v>7.2695460000000003E-2</v>
      </c>
      <c r="N150" s="1">
        <v>0.92730449999999998</v>
      </c>
      <c r="O150" s="1">
        <v>0.11137382999999999</v>
      </c>
      <c r="P150" s="1">
        <v>0.88862616000000005</v>
      </c>
      <c r="Q150" s="4">
        <v>1</v>
      </c>
      <c r="R150" s="14">
        <v>1</v>
      </c>
      <c r="S150" s="14">
        <v>1</v>
      </c>
    </row>
    <row r="151" spans="1:19">
      <c r="A151" s="1">
        <v>1</v>
      </c>
      <c r="B151" s="1" t="s">
        <v>164</v>
      </c>
      <c r="C151" s="1">
        <v>0.11129941</v>
      </c>
      <c r="D151" s="1">
        <v>0.81436275999999996</v>
      </c>
      <c r="E151" s="1">
        <v>2.1273369E-2</v>
      </c>
      <c r="F151" s="1">
        <v>0.789497</v>
      </c>
      <c r="G151" s="1">
        <v>1.0348091E-2</v>
      </c>
      <c r="H151" s="1">
        <v>0.98965186000000005</v>
      </c>
      <c r="I151" s="1">
        <v>3.9076639999999999E-3</v>
      </c>
      <c r="J151" s="1">
        <v>0.99609239999999999</v>
      </c>
      <c r="K151" s="1">
        <v>0.13612816999999999</v>
      </c>
      <c r="L151" s="1">
        <v>0.41901840000000001</v>
      </c>
      <c r="M151" s="1">
        <v>0.11960326</v>
      </c>
      <c r="N151" s="1">
        <v>0.88039666000000005</v>
      </c>
      <c r="O151" s="1">
        <v>5.5994536999999997E-2</v>
      </c>
      <c r="P151" s="1">
        <v>0.94400539999999999</v>
      </c>
      <c r="Q151" s="4">
        <v>1</v>
      </c>
      <c r="R151" s="14">
        <v>1</v>
      </c>
      <c r="S151" s="14">
        <v>1</v>
      </c>
    </row>
    <row r="152" spans="1:19">
      <c r="A152" s="1">
        <v>1</v>
      </c>
      <c r="B152" s="1" t="s">
        <v>165</v>
      </c>
      <c r="C152" s="1">
        <v>0.61216610000000005</v>
      </c>
      <c r="D152" s="1">
        <v>0.56453805999999995</v>
      </c>
      <c r="E152" s="1">
        <v>0.58107686000000003</v>
      </c>
      <c r="F152" s="1">
        <v>0.61346970000000001</v>
      </c>
      <c r="G152" s="1">
        <v>0.82036509999999996</v>
      </c>
      <c r="H152" s="1">
        <v>0.17963491000000001</v>
      </c>
      <c r="I152" s="1">
        <v>0.40686594999999998</v>
      </c>
      <c r="J152" s="1">
        <v>0.59313404999999997</v>
      </c>
      <c r="K152" s="1">
        <v>3.849474E-2</v>
      </c>
      <c r="L152" s="1">
        <v>0.33894651999999997</v>
      </c>
      <c r="M152" s="1">
        <v>6.6397466000000002E-2</v>
      </c>
      <c r="N152" s="1">
        <v>0.9336025</v>
      </c>
      <c r="O152" s="1">
        <v>0.12389333</v>
      </c>
      <c r="P152" s="1">
        <v>0.87610659999999996</v>
      </c>
      <c r="Q152" s="4">
        <v>1</v>
      </c>
      <c r="R152" s="14">
        <v>1</v>
      </c>
      <c r="S152" s="14">
        <v>1</v>
      </c>
    </row>
    <row r="153" spans="1:19">
      <c r="A153" s="1">
        <v>1</v>
      </c>
      <c r="B153" s="1" t="s">
        <v>166</v>
      </c>
      <c r="C153" s="1">
        <v>4.8174260000000003E-2</v>
      </c>
      <c r="D153" s="1">
        <v>0.80249375000000001</v>
      </c>
      <c r="E153" s="1">
        <v>2.0441500000000001E-2</v>
      </c>
      <c r="F153" s="1">
        <v>0.76760680000000003</v>
      </c>
      <c r="G153" s="1">
        <v>1.2603649999999999E-2</v>
      </c>
      <c r="H153" s="1">
        <v>0.9873963</v>
      </c>
      <c r="I153" s="1">
        <v>5.5932240000000004E-4</v>
      </c>
      <c r="J153" s="1">
        <v>0.99944060000000001</v>
      </c>
      <c r="K153" s="1">
        <v>0.14955758999999999</v>
      </c>
      <c r="L153" s="1">
        <v>0.2719318</v>
      </c>
      <c r="M153" s="1">
        <v>0.14398664</v>
      </c>
      <c r="N153" s="1">
        <v>0.85601335999999995</v>
      </c>
      <c r="O153" s="1">
        <v>5.3624388000000002E-2</v>
      </c>
      <c r="P153" s="1">
        <v>0.94637559999999998</v>
      </c>
      <c r="Q153" s="4">
        <v>1</v>
      </c>
      <c r="R153" s="14">
        <v>1</v>
      </c>
      <c r="S153" s="14">
        <v>1</v>
      </c>
    </row>
    <row r="154" spans="1:19">
      <c r="A154" s="7">
        <v>1</v>
      </c>
      <c r="B154" s="7" t="s">
        <v>167</v>
      </c>
      <c r="C154" s="7">
        <v>0.17867433999999999</v>
      </c>
      <c r="D154" s="7">
        <v>0.79667984999999997</v>
      </c>
      <c r="E154" s="7">
        <v>0.51436199999999999</v>
      </c>
      <c r="F154" s="7">
        <v>0.71347099999999997</v>
      </c>
      <c r="G154" s="7">
        <v>0.40216239999999998</v>
      </c>
      <c r="H154" s="7">
        <v>0.59783757000000004</v>
      </c>
      <c r="I154" s="7">
        <v>0.40142032999999999</v>
      </c>
      <c r="J154" s="7">
        <v>0.59857965000000002</v>
      </c>
      <c r="K154" s="7">
        <v>0.17577896000000001</v>
      </c>
      <c r="L154" s="7">
        <v>0.22376436999999999</v>
      </c>
      <c r="M154" s="7">
        <v>0.1949785</v>
      </c>
      <c r="N154" s="7">
        <v>0.80502145999999997</v>
      </c>
      <c r="O154" s="7">
        <v>0.33425197000000001</v>
      </c>
      <c r="P154" s="7">
        <v>0.66574805999999997</v>
      </c>
      <c r="Q154" s="8">
        <v>1</v>
      </c>
      <c r="R154" s="16">
        <v>1</v>
      </c>
      <c r="S154" s="16">
        <v>0</v>
      </c>
    </row>
    <row r="155" spans="1:19">
      <c r="A155" s="1">
        <v>1</v>
      </c>
      <c r="B155" s="1" t="s">
        <v>168</v>
      </c>
      <c r="C155" s="1">
        <v>0.27033705000000002</v>
      </c>
      <c r="D155" s="1">
        <v>0.73128634999999997</v>
      </c>
      <c r="E155" s="1">
        <v>0.55015444999999996</v>
      </c>
      <c r="F155" s="1">
        <v>0.62300350000000004</v>
      </c>
      <c r="G155" s="1">
        <v>0.13774</v>
      </c>
      <c r="H155" s="1">
        <v>0.86226004000000001</v>
      </c>
      <c r="I155" s="1">
        <v>0.36817494000000001</v>
      </c>
      <c r="J155" s="1">
        <v>0.63182503000000001</v>
      </c>
      <c r="K155" s="1">
        <v>8.6222279999999998E-2</v>
      </c>
      <c r="L155" s="1">
        <v>0.43390378000000002</v>
      </c>
      <c r="M155" s="1">
        <v>0.15976388999999999</v>
      </c>
      <c r="N155" s="1">
        <v>0.84023610000000004</v>
      </c>
      <c r="O155" s="1">
        <v>0.22622830999999999</v>
      </c>
      <c r="P155" s="1">
        <v>0.77377176000000003</v>
      </c>
      <c r="Q155" s="4">
        <v>1</v>
      </c>
      <c r="R155" s="14">
        <v>1</v>
      </c>
      <c r="S155" s="14">
        <v>1</v>
      </c>
    </row>
    <row r="156" spans="1:19">
      <c r="A156" s="1">
        <v>1</v>
      </c>
      <c r="B156" s="1" t="s">
        <v>169</v>
      </c>
      <c r="C156" s="1">
        <v>1.35898935E-2</v>
      </c>
      <c r="D156" s="1">
        <v>0.81741416</v>
      </c>
      <c r="E156" s="1">
        <v>6.3927349999999994E-2</v>
      </c>
      <c r="F156" s="1">
        <v>0.78445430000000005</v>
      </c>
      <c r="G156" s="1">
        <v>6.7793939999999997E-2</v>
      </c>
      <c r="H156" s="1">
        <v>0.93220603000000002</v>
      </c>
      <c r="I156" s="1">
        <v>6.9591375000000004E-3</v>
      </c>
      <c r="J156" s="1">
        <v>0.99304079999999995</v>
      </c>
      <c r="K156" s="1">
        <v>1.8522569999999999E-3</v>
      </c>
      <c r="L156" s="1">
        <v>0.39844669999999999</v>
      </c>
      <c r="M156" s="1">
        <v>9.0591273999999999E-2</v>
      </c>
      <c r="N156" s="1">
        <v>0.90940874999999999</v>
      </c>
      <c r="O156" s="1">
        <v>0.19861809999999999</v>
      </c>
      <c r="P156" s="1">
        <v>0.80138195000000001</v>
      </c>
      <c r="Q156" s="4">
        <v>1</v>
      </c>
      <c r="R156" s="14">
        <v>1</v>
      </c>
      <c r="S156" s="14">
        <v>1</v>
      </c>
    </row>
    <row r="157" spans="1:19">
      <c r="A157" s="1">
        <v>1</v>
      </c>
      <c r="B157" s="1" t="s">
        <v>170</v>
      </c>
      <c r="C157" s="1">
        <v>7.1896864E-3</v>
      </c>
      <c r="D157" s="1">
        <v>0.79061632999999998</v>
      </c>
      <c r="E157" s="1">
        <v>6.2326960000000001E-2</v>
      </c>
      <c r="F157" s="1">
        <v>0.78915869999999999</v>
      </c>
      <c r="G157" s="1">
        <v>0.30139187000000001</v>
      </c>
      <c r="H157" s="1">
        <v>0.69860809999999995</v>
      </c>
      <c r="I157" s="1">
        <v>1.4768385E-2</v>
      </c>
      <c r="J157" s="1">
        <v>0.98523163999999996</v>
      </c>
      <c r="K157" s="1">
        <v>8.9021039999999996E-2</v>
      </c>
      <c r="L157" s="1">
        <v>0.43631825000000002</v>
      </c>
      <c r="M157" s="1">
        <v>2.8515385000000001E-2</v>
      </c>
      <c r="N157" s="1">
        <v>0.97148453999999995</v>
      </c>
      <c r="O157" s="1">
        <v>7.9210005999999999E-2</v>
      </c>
      <c r="P157" s="1">
        <v>0.92079</v>
      </c>
      <c r="Q157" s="4">
        <v>1</v>
      </c>
      <c r="R157" s="14">
        <v>1</v>
      </c>
      <c r="S157" s="14">
        <v>1</v>
      </c>
    </row>
    <row r="158" spans="1:19">
      <c r="A158" s="1">
        <v>1</v>
      </c>
      <c r="B158" s="1" t="s">
        <v>171</v>
      </c>
      <c r="C158" s="1">
        <v>0.16960922</v>
      </c>
      <c r="D158" s="1">
        <v>0.81186820000000004</v>
      </c>
      <c r="E158" s="1">
        <v>3.2484631999999999E-2</v>
      </c>
      <c r="F158" s="1">
        <v>0.78546786000000002</v>
      </c>
      <c r="G158" s="1">
        <v>1.9634377000000001E-2</v>
      </c>
      <c r="H158" s="1">
        <v>0.98036559999999995</v>
      </c>
      <c r="I158" s="20">
        <v>9.7573275000000008E-6</v>
      </c>
      <c r="J158" s="1">
        <v>0.99999020000000005</v>
      </c>
      <c r="K158" s="1">
        <v>2.9094597E-2</v>
      </c>
      <c r="L158" s="1">
        <v>0.5250899</v>
      </c>
      <c r="M158" s="1">
        <v>2.7463738000000001E-2</v>
      </c>
      <c r="N158" s="1">
        <v>0.97253630000000002</v>
      </c>
      <c r="O158" s="1">
        <v>2.4975727999999999E-2</v>
      </c>
      <c r="P158" s="1">
        <v>0.97502429999999995</v>
      </c>
      <c r="Q158" s="4">
        <v>1</v>
      </c>
      <c r="R158" s="14">
        <v>1</v>
      </c>
      <c r="S158" s="14">
        <v>1</v>
      </c>
    </row>
    <row r="159" spans="1:19">
      <c r="A159" s="1">
        <v>1</v>
      </c>
      <c r="B159" s="1" t="s">
        <v>172</v>
      </c>
      <c r="C159" s="1">
        <v>1.5242107E-2</v>
      </c>
      <c r="D159" s="1">
        <v>0.79245085000000004</v>
      </c>
      <c r="E159" s="1">
        <v>2.7998853000000001E-2</v>
      </c>
      <c r="F159" s="1">
        <v>0.78414200000000001</v>
      </c>
      <c r="G159" s="1">
        <v>1.8641365999999999E-2</v>
      </c>
      <c r="H159" s="1">
        <v>0.98135859999999997</v>
      </c>
      <c r="I159" s="1">
        <v>2.1875959E-2</v>
      </c>
      <c r="J159" s="1">
        <v>0.97812399999999999</v>
      </c>
      <c r="K159" s="1">
        <v>0.10292071</v>
      </c>
      <c r="L159" s="1">
        <v>0.55853516000000003</v>
      </c>
      <c r="M159" s="1">
        <v>5.4979786000000003E-2</v>
      </c>
      <c r="N159" s="1">
        <v>0.94502019999999998</v>
      </c>
      <c r="O159" s="1">
        <v>0.1373694</v>
      </c>
      <c r="P159" s="1">
        <v>0.86263060000000003</v>
      </c>
      <c r="Q159" s="4">
        <v>1</v>
      </c>
      <c r="R159" s="14">
        <v>1</v>
      </c>
      <c r="S159" s="14">
        <v>1</v>
      </c>
    </row>
    <row r="160" spans="1:19">
      <c r="A160" s="1">
        <v>1</v>
      </c>
      <c r="B160" s="1" t="s">
        <v>173</v>
      </c>
      <c r="C160" s="1">
        <v>2.2952914000000001E-2</v>
      </c>
      <c r="D160" s="1">
        <v>0.78396730000000003</v>
      </c>
      <c r="E160" s="1">
        <v>6.5418765000000004E-2</v>
      </c>
      <c r="F160" s="1">
        <v>0.78819819999999996</v>
      </c>
      <c r="G160" s="1">
        <v>1.8524878000000002E-2</v>
      </c>
      <c r="H160" s="1">
        <v>0.98147510000000004</v>
      </c>
      <c r="I160" s="1">
        <v>2.0857545000000002E-2</v>
      </c>
      <c r="J160" s="1">
        <v>0.97914239999999997</v>
      </c>
      <c r="K160" s="1">
        <v>0.10975388</v>
      </c>
      <c r="L160" s="1">
        <v>0.31513859999999999</v>
      </c>
      <c r="M160" s="1">
        <v>0.13719780000000001</v>
      </c>
      <c r="N160" s="1">
        <v>0.86280219999999996</v>
      </c>
      <c r="O160" s="1">
        <v>0.11316013</v>
      </c>
      <c r="P160" s="1">
        <v>0.88683990000000001</v>
      </c>
      <c r="Q160" s="4">
        <v>1</v>
      </c>
      <c r="R160" s="13">
        <v>1</v>
      </c>
      <c r="S160" s="14">
        <v>1</v>
      </c>
    </row>
    <row r="161" spans="1:19">
      <c r="A161" s="1">
        <v>1</v>
      </c>
      <c r="B161" s="1" t="s">
        <v>174</v>
      </c>
      <c r="C161" s="1">
        <v>3.6555730000000002E-2</v>
      </c>
      <c r="D161" s="1">
        <v>0.7881667</v>
      </c>
      <c r="E161" s="1">
        <v>2.7234701E-2</v>
      </c>
      <c r="F161" s="1">
        <v>0.78440803000000003</v>
      </c>
      <c r="G161" s="1">
        <v>3.7514600000000002E-2</v>
      </c>
      <c r="H161" s="1">
        <v>0.96248542999999998</v>
      </c>
      <c r="I161" s="1">
        <v>3.2344049999999999E-2</v>
      </c>
      <c r="J161" s="1">
        <v>0.96765599999999996</v>
      </c>
      <c r="K161" s="1">
        <v>1.8269726999999999E-2</v>
      </c>
      <c r="L161" s="1">
        <v>0.59285927000000005</v>
      </c>
      <c r="M161" s="1">
        <v>0.116992734</v>
      </c>
      <c r="N161" s="1">
        <v>0.88300730000000005</v>
      </c>
      <c r="O161" s="1">
        <v>0.40604758000000002</v>
      </c>
      <c r="P161" s="1">
        <v>0.59395240000000005</v>
      </c>
      <c r="Q161" s="4">
        <v>1</v>
      </c>
      <c r="R161" s="14">
        <v>1</v>
      </c>
      <c r="S161" s="14">
        <v>1</v>
      </c>
    </row>
    <row r="162" spans="1:19">
      <c r="A162" s="1">
        <v>1</v>
      </c>
      <c r="B162" s="1" t="s">
        <v>175</v>
      </c>
      <c r="C162" s="1">
        <v>0.48597016999999998</v>
      </c>
      <c r="D162" s="1">
        <v>0.69389970000000001</v>
      </c>
      <c r="E162" s="1">
        <v>0.598445</v>
      </c>
      <c r="F162" s="1">
        <v>0.62645569999999995</v>
      </c>
      <c r="G162" s="1">
        <v>0.51059014000000003</v>
      </c>
      <c r="H162" s="1">
        <v>0.48940982999999999</v>
      </c>
      <c r="I162" s="1">
        <v>0.27643960000000001</v>
      </c>
      <c r="J162" s="1">
        <v>0.72356045000000002</v>
      </c>
      <c r="K162" s="1">
        <v>0.35654419999999998</v>
      </c>
      <c r="L162" s="1">
        <v>0.10386316</v>
      </c>
      <c r="M162" s="1">
        <v>0.81713619999999998</v>
      </c>
      <c r="N162" s="1">
        <v>0.18286377000000001</v>
      </c>
      <c r="O162" s="1">
        <v>0.98004080000000005</v>
      </c>
      <c r="P162" s="1">
        <v>1.9959233999999999E-2</v>
      </c>
      <c r="Q162" s="4">
        <v>1</v>
      </c>
      <c r="R162" s="14">
        <v>1</v>
      </c>
      <c r="S162" s="14">
        <v>1</v>
      </c>
    </row>
    <row r="163" spans="1:19">
      <c r="A163" s="1">
        <v>1</v>
      </c>
      <c r="B163" s="1" t="s">
        <v>176</v>
      </c>
      <c r="C163" s="1">
        <v>0.24541315</v>
      </c>
      <c r="D163" s="1">
        <v>0.77105749999999995</v>
      </c>
      <c r="E163" s="1">
        <v>0.46107352000000001</v>
      </c>
      <c r="F163" s="1">
        <v>0.73548040000000003</v>
      </c>
      <c r="G163" s="1">
        <v>0.36586294000000003</v>
      </c>
      <c r="H163" s="1">
        <v>0.63413710000000001</v>
      </c>
      <c r="I163" s="1">
        <v>5.6671171999999999E-2</v>
      </c>
      <c r="J163" s="1">
        <v>0.94332879999999997</v>
      </c>
      <c r="K163" s="1">
        <v>1.0771259E-2</v>
      </c>
      <c r="L163" s="1">
        <v>0.32004777000000001</v>
      </c>
      <c r="M163" s="1">
        <v>0.12866305</v>
      </c>
      <c r="N163" s="1">
        <v>0.87133693999999995</v>
      </c>
      <c r="O163" s="1">
        <v>0.41864153999999998</v>
      </c>
      <c r="P163" s="1">
        <v>0.5813585</v>
      </c>
      <c r="Q163" s="4">
        <v>1</v>
      </c>
      <c r="R163" s="14">
        <v>1</v>
      </c>
      <c r="S163" s="14">
        <v>1</v>
      </c>
    </row>
    <row r="164" spans="1:19">
      <c r="A164" s="1">
        <v>1</v>
      </c>
      <c r="B164" s="1" t="s">
        <v>177</v>
      </c>
      <c r="C164" s="1">
        <v>1.5635271999999999E-2</v>
      </c>
      <c r="D164" s="1">
        <v>0.81789690000000004</v>
      </c>
      <c r="E164" s="1">
        <v>4.1406073000000002E-2</v>
      </c>
      <c r="F164" s="1">
        <v>0.78337692999999997</v>
      </c>
      <c r="G164" s="1">
        <v>2.0555609999999998E-2</v>
      </c>
      <c r="H164" s="1">
        <v>0.97944439999999999</v>
      </c>
      <c r="I164" s="1">
        <v>1.8415530999999999E-2</v>
      </c>
      <c r="J164" s="1">
        <v>0.98158440000000002</v>
      </c>
      <c r="K164" s="1">
        <v>2.9214126999999999E-2</v>
      </c>
      <c r="L164" s="1">
        <v>0.32863801999999998</v>
      </c>
      <c r="M164" s="1">
        <v>0.18436988000000001</v>
      </c>
      <c r="N164" s="1">
        <v>0.81563010000000002</v>
      </c>
      <c r="O164" s="1">
        <v>7.2939859999999995E-2</v>
      </c>
      <c r="P164" s="1">
        <v>0.9270602</v>
      </c>
      <c r="Q164" s="4">
        <v>1</v>
      </c>
      <c r="R164" s="14">
        <v>1</v>
      </c>
      <c r="S164" s="14">
        <v>1</v>
      </c>
    </row>
    <row r="165" spans="1:19">
      <c r="A165" s="1">
        <v>1</v>
      </c>
      <c r="B165" s="1" t="s">
        <v>178</v>
      </c>
      <c r="C165" s="1">
        <v>0.77245889999999995</v>
      </c>
      <c r="D165" s="1">
        <v>0.20687479</v>
      </c>
      <c r="E165" s="1">
        <v>0.45814070000000001</v>
      </c>
      <c r="F165" s="1">
        <v>0.6867067</v>
      </c>
      <c r="G165" s="1">
        <v>0.24469473999999999</v>
      </c>
      <c r="H165" s="1">
        <v>0.75530529999999996</v>
      </c>
      <c r="I165" s="1">
        <v>0.84476490000000004</v>
      </c>
      <c r="J165" s="1">
        <v>0.15523511000000001</v>
      </c>
      <c r="K165" s="1">
        <v>0.20735482999999999</v>
      </c>
      <c r="L165" s="1">
        <v>0.18474069000000001</v>
      </c>
      <c r="M165" s="1">
        <v>0.77293146000000001</v>
      </c>
      <c r="N165" s="1">
        <v>0.22706856</v>
      </c>
      <c r="O165" s="1">
        <v>0.76262600000000003</v>
      </c>
      <c r="P165" s="1">
        <v>0.23737404000000001</v>
      </c>
      <c r="Q165" s="4">
        <v>1</v>
      </c>
      <c r="R165" s="13">
        <v>0</v>
      </c>
      <c r="S165" s="14">
        <v>1</v>
      </c>
    </row>
    <row r="166" spans="1:19">
      <c r="A166" s="7">
        <v>1</v>
      </c>
      <c r="B166" s="7" t="s">
        <v>179</v>
      </c>
      <c r="C166" s="7">
        <v>9.4731710000000007E-3</v>
      </c>
      <c r="D166" s="7">
        <v>0.8181737</v>
      </c>
      <c r="E166" s="7">
        <v>3.4940227999999997E-2</v>
      </c>
      <c r="F166" s="7">
        <v>0.79073906000000005</v>
      </c>
      <c r="G166" s="7">
        <v>1.2390574E-2</v>
      </c>
      <c r="H166" s="7">
        <v>0.98760939999999997</v>
      </c>
      <c r="I166" s="7">
        <v>5.5176484999999997E-3</v>
      </c>
      <c r="J166" s="7">
        <v>0.99448239999999999</v>
      </c>
      <c r="K166" s="7">
        <v>6.0798514999999997E-2</v>
      </c>
      <c r="L166" s="7">
        <v>0.36175317000000001</v>
      </c>
      <c r="M166" s="7">
        <v>0.25931662</v>
      </c>
      <c r="N166" s="7">
        <v>0.74068339999999999</v>
      </c>
      <c r="O166" s="7">
        <v>0.65430224000000003</v>
      </c>
      <c r="P166" s="7">
        <v>0.34569776000000002</v>
      </c>
      <c r="Q166" s="8">
        <v>0</v>
      </c>
      <c r="R166" s="16">
        <v>1</v>
      </c>
      <c r="S166" s="16">
        <v>1</v>
      </c>
    </row>
    <row r="167" spans="1:19">
      <c r="A167" s="1">
        <v>1</v>
      </c>
      <c r="B167" s="1" t="s">
        <v>180</v>
      </c>
      <c r="C167" s="1">
        <v>6.5891420000000006E-2</v>
      </c>
      <c r="D167" s="1">
        <v>0.78607850000000001</v>
      </c>
      <c r="E167" s="1">
        <v>0.16631576000000001</v>
      </c>
      <c r="F167" s="1">
        <v>0.75095254</v>
      </c>
      <c r="G167" s="1">
        <v>0.15639594000000001</v>
      </c>
      <c r="H167" s="1">
        <v>0.84360400000000002</v>
      </c>
      <c r="I167" s="1">
        <v>0.15485534000000001</v>
      </c>
      <c r="J167" s="1">
        <v>0.84514469999999997</v>
      </c>
      <c r="K167" s="1">
        <v>7.8348084999999998E-2</v>
      </c>
      <c r="L167" s="1">
        <v>0.45604652000000001</v>
      </c>
      <c r="M167" s="1">
        <v>4.9979664E-2</v>
      </c>
      <c r="N167" s="1">
        <v>0.95002030000000004</v>
      </c>
      <c r="O167" s="1">
        <v>0.11832767</v>
      </c>
      <c r="P167" s="1">
        <v>0.88167229999999996</v>
      </c>
      <c r="Q167" s="4">
        <v>0</v>
      </c>
      <c r="R167" s="14">
        <v>1</v>
      </c>
      <c r="S167" s="14">
        <v>1</v>
      </c>
    </row>
    <row r="168" spans="1:19">
      <c r="A168" s="1">
        <v>1</v>
      </c>
      <c r="B168" s="1" t="s">
        <v>181</v>
      </c>
      <c r="C168" s="1">
        <v>1.2324804999999999E-2</v>
      </c>
      <c r="D168" s="1">
        <v>0.80814266000000001</v>
      </c>
      <c r="E168" s="1">
        <v>0.35613592999999999</v>
      </c>
      <c r="F168" s="1">
        <v>0.69879159999999996</v>
      </c>
      <c r="G168" s="1">
        <v>9.3612420000000002E-2</v>
      </c>
      <c r="H168" s="1">
        <v>0.90638757000000003</v>
      </c>
      <c r="I168" s="1">
        <v>0.14263639</v>
      </c>
      <c r="J168" s="1">
        <v>0.8573636</v>
      </c>
      <c r="K168" s="1">
        <v>0.17096421000000001</v>
      </c>
      <c r="L168" s="1">
        <v>0.33752942000000002</v>
      </c>
      <c r="M168" s="1">
        <v>0.40271597999999997</v>
      </c>
      <c r="N168" s="1">
        <v>0.59728400000000004</v>
      </c>
      <c r="O168" s="1">
        <v>0.61306536</v>
      </c>
      <c r="P168" s="1">
        <v>0.38693457999999997</v>
      </c>
      <c r="Q168" s="4">
        <v>1</v>
      </c>
      <c r="R168" s="14">
        <v>1</v>
      </c>
      <c r="S168" s="14">
        <v>1</v>
      </c>
    </row>
    <row r="169" spans="1:19">
      <c r="A169" s="1">
        <v>1</v>
      </c>
      <c r="B169" s="1" t="s">
        <v>182</v>
      </c>
      <c r="C169" s="1">
        <v>0.35861999999999999</v>
      </c>
      <c r="D169" s="1">
        <v>0.71292990000000001</v>
      </c>
      <c r="E169" s="1">
        <v>5.4802495999999999E-2</v>
      </c>
      <c r="F169" s="1">
        <v>0.77751950000000003</v>
      </c>
      <c r="G169" s="1">
        <v>3.6832473999999997E-2</v>
      </c>
      <c r="H169" s="1">
        <v>0.96316749999999995</v>
      </c>
      <c r="I169" s="1">
        <v>4.7330320000000002E-2</v>
      </c>
      <c r="J169" s="1">
        <v>0.95266969999999995</v>
      </c>
      <c r="K169" s="1">
        <v>0.12349996000000001</v>
      </c>
      <c r="L169" s="1">
        <v>0.35891225999999998</v>
      </c>
      <c r="M169" s="1">
        <v>0.38658310000000001</v>
      </c>
      <c r="N169" s="1">
        <v>0.61341696999999995</v>
      </c>
      <c r="O169" s="1">
        <v>0.65739506000000003</v>
      </c>
      <c r="P169" s="1">
        <v>0.34260499999999999</v>
      </c>
      <c r="Q169" s="4">
        <v>1</v>
      </c>
      <c r="R169" s="14">
        <v>1</v>
      </c>
      <c r="S169" s="14">
        <v>1</v>
      </c>
    </row>
    <row r="170" spans="1:19">
      <c r="A170" s="1">
        <v>1</v>
      </c>
      <c r="B170" s="1" t="s">
        <v>183</v>
      </c>
      <c r="C170" s="1">
        <v>0.30634339999999999</v>
      </c>
      <c r="D170" s="1">
        <v>0.67816259999999995</v>
      </c>
      <c r="E170" s="1">
        <v>0.13091129000000001</v>
      </c>
      <c r="F170" s="1">
        <v>0.73739845000000004</v>
      </c>
      <c r="G170" s="1">
        <v>5.9286505000000003E-2</v>
      </c>
      <c r="H170" s="1">
        <v>0.94071349999999998</v>
      </c>
      <c r="I170" s="1">
        <v>0.23437329000000001</v>
      </c>
      <c r="J170" s="1">
        <v>0.76562680000000005</v>
      </c>
      <c r="K170" s="1">
        <v>1.7761149E-2</v>
      </c>
      <c r="L170" s="1">
        <v>0.52479160000000002</v>
      </c>
      <c r="M170" s="1">
        <v>0.26659434999999998</v>
      </c>
      <c r="N170" s="1">
        <v>0.73340565000000002</v>
      </c>
      <c r="O170" s="1">
        <v>0.59661394000000001</v>
      </c>
      <c r="P170" s="1">
        <v>0.40338603000000001</v>
      </c>
      <c r="Q170" s="4">
        <v>0</v>
      </c>
      <c r="R170" s="13">
        <v>0</v>
      </c>
      <c r="S170" s="14">
        <v>1</v>
      </c>
    </row>
    <row r="171" spans="1:19">
      <c r="A171" s="1">
        <v>1</v>
      </c>
      <c r="B171" s="1" t="s">
        <v>184</v>
      </c>
      <c r="C171" s="1">
        <v>0.23124502999999999</v>
      </c>
      <c r="D171" s="1">
        <v>0.75821870000000002</v>
      </c>
      <c r="E171" s="1">
        <v>0.30097020000000002</v>
      </c>
      <c r="F171" s="1">
        <v>0.75643134000000001</v>
      </c>
      <c r="G171" s="1">
        <v>0.10632862999999999</v>
      </c>
      <c r="H171" s="1">
        <v>0.89367132999999999</v>
      </c>
      <c r="I171" s="1">
        <v>0.21167453999999999</v>
      </c>
      <c r="J171" s="1">
        <v>0.78832539999999995</v>
      </c>
      <c r="K171" s="1">
        <v>0.19554335</v>
      </c>
      <c r="L171" s="1">
        <v>0.34383320000000001</v>
      </c>
      <c r="M171" s="1">
        <v>6.6523895E-2</v>
      </c>
      <c r="N171" s="1">
        <v>0.93347610000000003</v>
      </c>
      <c r="O171" s="1">
        <v>0.23331836</v>
      </c>
      <c r="P171" s="1">
        <v>0.76668159999999996</v>
      </c>
      <c r="Q171" s="4">
        <v>1</v>
      </c>
      <c r="R171" s="13">
        <v>0</v>
      </c>
      <c r="S171" s="14">
        <v>1</v>
      </c>
    </row>
    <row r="172" spans="1:19">
      <c r="A172" s="7">
        <v>1</v>
      </c>
      <c r="B172" s="7" t="s">
        <v>185</v>
      </c>
      <c r="C172" s="7">
        <v>0.18735104999999999</v>
      </c>
      <c r="D172" s="7">
        <v>0.76151440000000004</v>
      </c>
      <c r="E172" s="7">
        <v>0.54650160000000003</v>
      </c>
      <c r="F172" s="7">
        <v>0.64791799999999999</v>
      </c>
      <c r="G172" s="7">
        <v>0.30666473999999999</v>
      </c>
      <c r="H172" s="7">
        <v>0.69333529999999999</v>
      </c>
      <c r="I172" s="7">
        <v>2.426213E-2</v>
      </c>
      <c r="J172" s="7">
        <v>0.97573787000000001</v>
      </c>
      <c r="K172" s="7">
        <v>1.5583125E-2</v>
      </c>
      <c r="L172" s="7">
        <v>0.39568051999999998</v>
      </c>
      <c r="M172" s="7">
        <v>9.5607540000000005E-2</v>
      </c>
      <c r="N172" s="7">
        <v>0.90439239999999999</v>
      </c>
      <c r="O172" s="7">
        <v>6.8577379999999993E-2</v>
      </c>
      <c r="P172" s="7">
        <v>0.93142259999999999</v>
      </c>
      <c r="Q172" s="8">
        <v>0</v>
      </c>
      <c r="R172" s="16">
        <v>1</v>
      </c>
      <c r="S172" s="16">
        <v>1</v>
      </c>
    </row>
    <row r="173" spans="1:19">
      <c r="A173" s="1">
        <v>1</v>
      </c>
      <c r="B173" s="1" t="s">
        <v>186</v>
      </c>
      <c r="C173" s="1">
        <v>0.36993979999999999</v>
      </c>
      <c r="D173" s="1">
        <v>0.72891015000000003</v>
      </c>
      <c r="E173" s="1">
        <v>0.61135779999999995</v>
      </c>
      <c r="F173" s="1">
        <v>0.62535490000000005</v>
      </c>
      <c r="G173" s="1">
        <v>0.59486600000000001</v>
      </c>
      <c r="H173" s="1">
        <v>0.40513401999999998</v>
      </c>
      <c r="I173" s="1">
        <v>0.25875375</v>
      </c>
      <c r="J173" s="1">
        <v>0.74124619999999997</v>
      </c>
      <c r="K173" s="1">
        <v>0.20013486</v>
      </c>
      <c r="L173" s="1">
        <v>0.21652462</v>
      </c>
      <c r="M173" s="1">
        <v>0.42460092999999999</v>
      </c>
      <c r="N173" s="1">
        <v>0.57539903999999997</v>
      </c>
      <c r="O173" s="1">
        <v>0.40899804000000001</v>
      </c>
      <c r="P173" s="1">
        <v>0.59100189999999997</v>
      </c>
      <c r="Q173" s="4">
        <v>1</v>
      </c>
      <c r="R173" s="14">
        <v>1</v>
      </c>
      <c r="S173" s="14">
        <v>1</v>
      </c>
    </row>
    <row r="174" spans="1:19">
      <c r="A174" s="1">
        <v>1</v>
      </c>
      <c r="B174" s="1" t="s">
        <v>187</v>
      </c>
      <c r="C174" s="1">
        <v>0.61528516</v>
      </c>
      <c r="D174" s="1">
        <v>0.60883359999999997</v>
      </c>
      <c r="E174" s="1">
        <v>0.6933954</v>
      </c>
      <c r="F174" s="1">
        <v>0.51115299999999997</v>
      </c>
      <c r="G174" s="1">
        <v>0.59913649999999996</v>
      </c>
      <c r="H174" s="1">
        <v>0.40086349999999998</v>
      </c>
      <c r="I174" s="1">
        <v>0.26696923</v>
      </c>
      <c r="J174" s="1">
        <v>0.73303074000000001</v>
      </c>
      <c r="K174" s="1">
        <v>0.11039423</v>
      </c>
      <c r="L174" s="1">
        <v>0.26762186999999998</v>
      </c>
      <c r="M174" s="1">
        <v>0.26180340000000002</v>
      </c>
      <c r="N174" s="1">
        <v>0.73819659999999998</v>
      </c>
      <c r="O174" s="1">
        <v>0.55265010000000003</v>
      </c>
      <c r="P174" s="1">
        <v>0.44734990000000002</v>
      </c>
      <c r="Q174" s="4">
        <v>1</v>
      </c>
      <c r="R174" s="14">
        <v>1</v>
      </c>
      <c r="S174" s="14">
        <v>1</v>
      </c>
    </row>
    <row r="175" spans="1:19">
      <c r="A175" s="1">
        <v>1</v>
      </c>
      <c r="B175" s="1" t="s">
        <v>188</v>
      </c>
      <c r="C175" s="1">
        <v>0.39160338</v>
      </c>
      <c r="D175" s="1">
        <v>0.68302362999999999</v>
      </c>
      <c r="E175" s="1">
        <v>0.59016389999999996</v>
      </c>
      <c r="F175" s="1">
        <v>0.59792124999999996</v>
      </c>
      <c r="G175" s="1">
        <v>0.43944480000000002</v>
      </c>
      <c r="H175" s="1">
        <v>0.56055516000000005</v>
      </c>
      <c r="I175" s="1">
        <v>0.21907608000000001</v>
      </c>
      <c r="J175" s="1">
        <v>0.7809239</v>
      </c>
      <c r="K175" s="1">
        <v>1.7281035E-2</v>
      </c>
      <c r="L175" s="1">
        <v>0.48102329999999999</v>
      </c>
      <c r="M175" s="1">
        <v>5.1790564999999997E-2</v>
      </c>
      <c r="N175" s="1">
        <v>0.94820945999999995</v>
      </c>
      <c r="O175" s="1">
        <v>2.6553943999999999E-2</v>
      </c>
      <c r="P175" s="1">
        <v>0.97344609999999998</v>
      </c>
      <c r="Q175" s="4">
        <v>1</v>
      </c>
      <c r="R175" s="14">
        <v>1</v>
      </c>
      <c r="S175" s="14">
        <v>1</v>
      </c>
    </row>
    <row r="176" spans="1:19">
      <c r="A176" s="1">
        <v>1</v>
      </c>
      <c r="B176" s="1" t="s">
        <v>189</v>
      </c>
      <c r="C176" s="1">
        <v>5.0025564000000002E-3</v>
      </c>
      <c r="D176" s="1">
        <v>0.79759926000000003</v>
      </c>
      <c r="E176" s="1">
        <v>4.655078E-2</v>
      </c>
      <c r="F176" s="1">
        <v>0.76878314999999997</v>
      </c>
      <c r="G176" s="1">
        <v>2.5411184999999999E-2</v>
      </c>
      <c r="H176" s="1">
        <v>0.97458889999999998</v>
      </c>
      <c r="I176" s="1">
        <v>5.1382925000000003E-2</v>
      </c>
      <c r="J176" s="1">
        <v>0.94861704000000002</v>
      </c>
      <c r="K176" s="1">
        <v>0.14693349999999999</v>
      </c>
      <c r="L176" s="1">
        <v>0.26634458</v>
      </c>
      <c r="M176" s="1">
        <v>0.24324796000000001</v>
      </c>
      <c r="N176" s="1">
        <v>0.75675210000000004</v>
      </c>
      <c r="O176" s="1">
        <v>0.24247850000000001</v>
      </c>
      <c r="P176" s="1">
        <v>0.75752145000000004</v>
      </c>
      <c r="Q176" s="4">
        <v>0</v>
      </c>
      <c r="R176" s="13">
        <v>0</v>
      </c>
      <c r="S176" s="14">
        <v>1</v>
      </c>
    </row>
    <row r="177" spans="1:19">
      <c r="A177" s="1">
        <v>1</v>
      </c>
      <c r="B177" s="1" t="s">
        <v>190</v>
      </c>
      <c r="C177" s="1">
        <v>0.48303097</v>
      </c>
      <c r="D177" s="1">
        <v>0.65894454999999996</v>
      </c>
      <c r="E177" s="1">
        <v>0.41072607</v>
      </c>
      <c r="F177" s="1">
        <v>0.72717489999999996</v>
      </c>
      <c r="G177" s="1">
        <v>0.36206793999999998</v>
      </c>
      <c r="H177" s="1">
        <v>0.6379321</v>
      </c>
      <c r="I177" s="1">
        <v>0.22322622</v>
      </c>
      <c r="J177" s="1">
        <v>0.77677375000000004</v>
      </c>
      <c r="K177" s="1">
        <v>0.24491209999999999</v>
      </c>
      <c r="L177" s="1">
        <v>0.12529879999999999</v>
      </c>
      <c r="M177" s="1">
        <v>0.67289359999999998</v>
      </c>
      <c r="N177" s="1">
        <v>0.32710642000000001</v>
      </c>
      <c r="O177" s="1">
        <v>0.85868955000000002</v>
      </c>
      <c r="P177" s="1">
        <v>0.14131044000000001</v>
      </c>
      <c r="Q177" s="4">
        <v>1</v>
      </c>
      <c r="R177" s="14">
        <v>1</v>
      </c>
      <c r="S177" s="14">
        <v>1</v>
      </c>
    </row>
    <row r="178" spans="1:19">
      <c r="A178" s="1">
        <v>1</v>
      </c>
      <c r="B178" s="1" t="s">
        <v>191</v>
      </c>
      <c r="C178" s="1">
        <v>1.37462E-2</v>
      </c>
      <c r="D178" s="1">
        <v>0.79325769999999995</v>
      </c>
      <c r="E178" s="1">
        <v>8.058063E-2</v>
      </c>
      <c r="F178" s="1">
        <v>0.80023056000000004</v>
      </c>
      <c r="G178" s="1">
        <v>3.6672499999999997E-2</v>
      </c>
      <c r="H178" s="1">
        <v>0.9633275</v>
      </c>
      <c r="I178" s="1">
        <v>4.9578574E-2</v>
      </c>
      <c r="J178" s="1">
        <v>0.95042145</v>
      </c>
      <c r="K178" s="1">
        <v>3.6298163000000001E-2</v>
      </c>
      <c r="L178" s="1">
        <v>0.51346990000000003</v>
      </c>
      <c r="M178" s="1">
        <v>0.18838104999999999</v>
      </c>
      <c r="N178" s="1">
        <v>0.81161899999999998</v>
      </c>
      <c r="O178" s="1">
        <v>0.42449292999999999</v>
      </c>
      <c r="P178" s="1">
        <v>0.57550710000000005</v>
      </c>
      <c r="Q178" s="4">
        <v>1</v>
      </c>
      <c r="R178" s="14">
        <v>1</v>
      </c>
      <c r="S178" s="14">
        <v>1</v>
      </c>
    </row>
    <row r="179" spans="1:19">
      <c r="A179" s="1">
        <v>1</v>
      </c>
      <c r="B179" s="1" t="s">
        <v>192</v>
      </c>
      <c r="C179" s="1">
        <v>1.1157723E-2</v>
      </c>
      <c r="D179" s="1">
        <v>0.82030590000000003</v>
      </c>
      <c r="E179" s="1">
        <v>8.5734959999999999E-2</v>
      </c>
      <c r="F179" s="1">
        <v>0.77091836999999996</v>
      </c>
      <c r="G179" s="1">
        <v>4.8081069999999997E-2</v>
      </c>
      <c r="H179" s="1">
        <v>0.95191895999999998</v>
      </c>
      <c r="I179" s="1">
        <v>3.5500165E-2</v>
      </c>
      <c r="J179" s="1">
        <v>0.96449982999999995</v>
      </c>
      <c r="K179" s="1">
        <v>6.6555320000000001E-2</v>
      </c>
      <c r="L179" s="1">
        <v>0.41463315000000001</v>
      </c>
      <c r="M179" s="1">
        <v>0.22218291000000001</v>
      </c>
      <c r="N179" s="1">
        <v>0.77781710000000004</v>
      </c>
      <c r="O179" s="1">
        <v>0.18869549999999999</v>
      </c>
      <c r="P179" s="1">
        <v>0.81130449999999998</v>
      </c>
      <c r="Q179" s="4">
        <v>1</v>
      </c>
      <c r="R179" s="14">
        <v>1</v>
      </c>
      <c r="S179" s="14">
        <v>1</v>
      </c>
    </row>
    <row r="180" spans="1:19">
      <c r="A180" s="7">
        <v>1</v>
      </c>
      <c r="B180" s="7" t="s">
        <v>193</v>
      </c>
      <c r="C180" s="7">
        <v>0.68560403999999997</v>
      </c>
      <c r="D180" s="7">
        <v>0.48563823</v>
      </c>
      <c r="E180" s="7">
        <v>0.73213640000000002</v>
      </c>
      <c r="F180" s="7">
        <v>0.3739904</v>
      </c>
      <c r="G180" s="7">
        <v>0.88354825999999997</v>
      </c>
      <c r="H180" s="7">
        <v>0.11645171</v>
      </c>
      <c r="I180" s="7">
        <v>0.78521096999999995</v>
      </c>
      <c r="J180" s="7">
        <v>0.21478907999999999</v>
      </c>
      <c r="K180" s="7">
        <v>0.15342733</v>
      </c>
      <c r="L180" s="7">
        <v>0.42559564</v>
      </c>
      <c r="M180" s="7">
        <v>0.28000575</v>
      </c>
      <c r="N180" s="7">
        <v>0.71999424999999995</v>
      </c>
      <c r="O180" s="7">
        <v>0.84304199999999996</v>
      </c>
      <c r="P180" s="7">
        <v>0.15695795000000001</v>
      </c>
      <c r="Q180" s="8">
        <v>1</v>
      </c>
      <c r="R180" s="16">
        <v>1</v>
      </c>
      <c r="S180" s="16">
        <v>1</v>
      </c>
    </row>
    <row r="181" spans="1:19">
      <c r="A181" s="1">
        <v>1</v>
      </c>
      <c r="B181" s="1" t="s">
        <v>194</v>
      </c>
      <c r="C181" s="1">
        <v>0.18751493</v>
      </c>
      <c r="D181" s="1">
        <v>0.78322979999999998</v>
      </c>
      <c r="E181" s="1">
        <v>0.28121724999999997</v>
      </c>
      <c r="F181" s="1">
        <v>0.74813819999999998</v>
      </c>
      <c r="G181" s="1">
        <v>0.23358329999999999</v>
      </c>
      <c r="H181" s="1">
        <v>0.76641669999999995</v>
      </c>
      <c r="I181" s="1">
        <v>0.17937887</v>
      </c>
      <c r="J181" s="1">
        <v>0.82062120000000005</v>
      </c>
      <c r="K181" s="1">
        <v>6.3909869999999994E-2</v>
      </c>
      <c r="L181" s="1">
        <v>0.41429820000000001</v>
      </c>
      <c r="M181" s="1">
        <v>0.18064959999999999</v>
      </c>
      <c r="N181" s="1">
        <v>0.81935040000000003</v>
      </c>
      <c r="O181" s="1">
        <v>0.19308420000000001</v>
      </c>
      <c r="P181" s="1">
        <v>0.80691579999999996</v>
      </c>
      <c r="Q181" s="4">
        <v>1</v>
      </c>
      <c r="R181" s="14">
        <v>1</v>
      </c>
      <c r="S181" s="14">
        <v>1</v>
      </c>
    </row>
    <row r="182" spans="1:19">
      <c r="A182" s="1">
        <v>1</v>
      </c>
      <c r="B182" s="1" t="s">
        <v>195</v>
      </c>
      <c r="C182" s="1">
        <v>0.78985819999999995</v>
      </c>
      <c r="D182" s="1">
        <v>0.12401091</v>
      </c>
      <c r="E182" s="1">
        <v>0.69425879999999995</v>
      </c>
      <c r="F182" s="1">
        <v>0.48359545999999998</v>
      </c>
      <c r="G182" s="1">
        <v>0.67715864999999997</v>
      </c>
      <c r="H182" s="1">
        <v>0.32284138000000001</v>
      </c>
      <c r="I182" s="1">
        <v>0.96300260000000004</v>
      </c>
      <c r="J182" s="1">
        <v>3.6997426E-2</v>
      </c>
      <c r="K182" s="1">
        <v>6.9927655000000005E-2</v>
      </c>
      <c r="L182" s="1">
        <v>0.42839729999999998</v>
      </c>
      <c r="M182" s="1">
        <v>0.39834059999999999</v>
      </c>
      <c r="N182" s="1">
        <v>0.60165935999999998</v>
      </c>
      <c r="O182" s="1">
        <v>0.60864322999999998</v>
      </c>
      <c r="P182" s="1">
        <v>0.39135673999999998</v>
      </c>
      <c r="Q182" s="4">
        <v>0</v>
      </c>
      <c r="R182" s="13">
        <v>0</v>
      </c>
      <c r="S182" s="14">
        <v>1</v>
      </c>
    </row>
    <row r="183" spans="1:19">
      <c r="A183" s="1">
        <v>1</v>
      </c>
      <c r="B183" s="1" t="s">
        <v>196</v>
      </c>
      <c r="C183" s="1">
        <v>2.4394503000000001E-2</v>
      </c>
      <c r="D183" s="1">
        <v>0.81600523000000003</v>
      </c>
      <c r="E183" s="1">
        <v>0.10604929</v>
      </c>
      <c r="F183" s="1">
        <v>0.79044619999999999</v>
      </c>
      <c r="G183" s="1">
        <v>6.2621029999999994E-2</v>
      </c>
      <c r="H183" s="1">
        <v>0.93737893999999999</v>
      </c>
      <c r="I183" s="1">
        <v>3.8444395999999999E-2</v>
      </c>
      <c r="J183" s="1">
        <v>0.96155559999999995</v>
      </c>
      <c r="K183" s="1">
        <v>0.11964395999999999</v>
      </c>
      <c r="L183" s="1">
        <v>0.47658067999999998</v>
      </c>
      <c r="M183" s="1">
        <v>0.21053954999999999</v>
      </c>
      <c r="N183" s="1">
        <v>0.78946050000000001</v>
      </c>
      <c r="O183" s="1">
        <v>0.48608303000000003</v>
      </c>
      <c r="P183" s="1">
        <v>0.51391697000000003</v>
      </c>
      <c r="Q183" s="4">
        <v>0</v>
      </c>
      <c r="R183" s="14">
        <v>1</v>
      </c>
      <c r="S183" s="14">
        <v>1</v>
      </c>
    </row>
    <row r="184" spans="1:19">
      <c r="A184" s="1">
        <v>1</v>
      </c>
      <c r="B184" s="1" t="s">
        <v>197</v>
      </c>
      <c r="C184" s="1">
        <v>0.40884083999999998</v>
      </c>
      <c r="D184" s="1">
        <v>0.73370619999999998</v>
      </c>
      <c r="E184" s="1">
        <v>0.40588686000000002</v>
      </c>
      <c r="F184" s="1">
        <v>0.73606132999999996</v>
      </c>
      <c r="G184" s="1">
        <v>0.34872516999999997</v>
      </c>
      <c r="H184" s="1">
        <v>0.65127486000000001</v>
      </c>
      <c r="I184" s="1">
        <v>0.40985197000000001</v>
      </c>
      <c r="J184" s="1">
        <v>0.59014800000000001</v>
      </c>
      <c r="K184" s="1">
        <v>0.11665249</v>
      </c>
      <c r="L184" s="1">
        <v>0.55477345</v>
      </c>
      <c r="M184" s="1">
        <v>6.6307469999999993E-2</v>
      </c>
      <c r="N184" s="1">
        <v>0.93369250000000004</v>
      </c>
      <c r="O184" s="1">
        <v>0.50389843999999995</v>
      </c>
      <c r="P184" s="1">
        <v>0.49610153000000001</v>
      </c>
      <c r="Q184" s="4">
        <v>1</v>
      </c>
      <c r="R184" s="14">
        <v>1</v>
      </c>
      <c r="S184" s="14">
        <v>1</v>
      </c>
    </row>
    <row r="185" spans="1:19">
      <c r="A185" s="1">
        <v>1</v>
      </c>
      <c r="B185" s="1" t="s">
        <v>198</v>
      </c>
      <c r="C185" s="1">
        <v>0.19984946000000001</v>
      </c>
      <c r="D185" s="1">
        <v>0.75516534000000002</v>
      </c>
      <c r="E185" s="1">
        <v>0.52573526000000004</v>
      </c>
      <c r="F185" s="1">
        <v>0.63605535000000002</v>
      </c>
      <c r="G185" s="1">
        <v>0.48266009999999998</v>
      </c>
      <c r="H185" s="1">
        <v>0.51733994000000005</v>
      </c>
      <c r="I185" s="1">
        <v>0.23768285</v>
      </c>
      <c r="J185" s="1">
        <v>0.76231709999999997</v>
      </c>
      <c r="K185" s="1">
        <v>0.18580358999999999</v>
      </c>
      <c r="L185" s="1">
        <v>0.33181533000000002</v>
      </c>
      <c r="M185" s="1">
        <v>7.2458159999999994E-2</v>
      </c>
      <c r="N185" s="1">
        <v>0.92754185</v>
      </c>
      <c r="O185" s="1">
        <v>0.20026803000000001</v>
      </c>
      <c r="P185" s="1">
        <v>0.79973196999999996</v>
      </c>
      <c r="Q185" s="4">
        <v>1</v>
      </c>
      <c r="R185" s="14">
        <v>1</v>
      </c>
      <c r="S185" s="14">
        <v>1</v>
      </c>
    </row>
    <row r="186" spans="1:19">
      <c r="A186" s="1">
        <v>1</v>
      </c>
      <c r="B186" s="1" t="s">
        <v>199</v>
      </c>
      <c r="C186" s="1">
        <v>5.9786947000000003E-3</v>
      </c>
      <c r="D186" s="1">
        <v>0.78239965</v>
      </c>
      <c r="E186" s="1">
        <v>0.2190454</v>
      </c>
      <c r="F186" s="1">
        <v>0.76462036</v>
      </c>
      <c r="G186" s="1">
        <v>0.11937439</v>
      </c>
      <c r="H186" s="1">
        <v>0.88062560000000001</v>
      </c>
      <c r="I186" s="1">
        <v>7.1944757000000003E-3</v>
      </c>
      <c r="J186" s="1">
        <v>0.99280553999999999</v>
      </c>
      <c r="K186" s="1">
        <v>2.0286710999999999E-2</v>
      </c>
      <c r="L186" s="1">
        <v>0.37846580000000002</v>
      </c>
      <c r="M186" s="1">
        <v>0.13627149</v>
      </c>
      <c r="N186" s="1">
        <v>0.86372846000000003</v>
      </c>
      <c r="O186" s="1">
        <v>5.7610698000000002E-2</v>
      </c>
      <c r="P186" s="1">
        <v>0.94238929999999999</v>
      </c>
      <c r="Q186" s="4">
        <v>1</v>
      </c>
      <c r="R186" s="14">
        <v>1</v>
      </c>
      <c r="S186" s="14">
        <v>1</v>
      </c>
    </row>
    <row r="187" spans="1:19">
      <c r="A187" s="1">
        <v>1</v>
      </c>
      <c r="B187" s="1" t="s">
        <v>200</v>
      </c>
      <c r="C187" s="1">
        <v>0.46977364999999999</v>
      </c>
      <c r="D187" s="1">
        <v>0.69950619999999997</v>
      </c>
      <c r="E187" s="1">
        <v>0.36398783000000001</v>
      </c>
      <c r="F187" s="1">
        <v>0.7489247</v>
      </c>
      <c r="G187" s="1">
        <v>0.19537967000000001</v>
      </c>
      <c r="H187" s="1">
        <v>0.80462029999999995</v>
      </c>
      <c r="I187" s="1">
        <v>0.50849</v>
      </c>
      <c r="J187" s="1">
        <v>0.49151</v>
      </c>
      <c r="K187" s="1">
        <v>9.0894796E-2</v>
      </c>
      <c r="L187" s="1">
        <v>0.31729162</v>
      </c>
      <c r="M187" s="1">
        <v>0.4913515</v>
      </c>
      <c r="N187" s="1">
        <v>0.50864849999999995</v>
      </c>
      <c r="O187" s="1">
        <v>0.69819010000000004</v>
      </c>
      <c r="P187" s="1">
        <v>0.30180994</v>
      </c>
      <c r="Q187" s="4">
        <v>1</v>
      </c>
      <c r="R187" s="14">
        <v>1</v>
      </c>
      <c r="S187" s="14">
        <v>1</v>
      </c>
    </row>
    <row r="188" spans="1:19">
      <c r="A188" s="7">
        <v>1</v>
      </c>
      <c r="B188" s="7" t="s">
        <v>201</v>
      </c>
      <c r="C188" s="7">
        <v>0.33379809999999999</v>
      </c>
      <c r="D188" s="7">
        <v>0.72373330000000002</v>
      </c>
      <c r="E188" s="7">
        <v>6.5717399999999995E-2</v>
      </c>
      <c r="F188" s="7">
        <v>0.76671314000000002</v>
      </c>
      <c r="G188" s="7">
        <v>5.2206203E-2</v>
      </c>
      <c r="H188" s="7">
        <v>0.94779380000000002</v>
      </c>
      <c r="I188" s="7">
        <v>0.10852152</v>
      </c>
      <c r="J188" s="7">
        <v>0.8914784</v>
      </c>
      <c r="K188" s="7">
        <v>0.13836180000000001</v>
      </c>
      <c r="L188" s="7">
        <v>0.45766118</v>
      </c>
      <c r="M188" s="7">
        <v>0.53856134</v>
      </c>
      <c r="N188" s="7">
        <v>0.46143869999999998</v>
      </c>
      <c r="O188" s="7">
        <v>0.91220319999999999</v>
      </c>
      <c r="P188" s="7">
        <v>8.7796780000000005E-2</v>
      </c>
      <c r="Q188" s="8">
        <v>1</v>
      </c>
      <c r="R188" s="16">
        <v>1</v>
      </c>
      <c r="S188" s="16">
        <v>1</v>
      </c>
    </row>
    <row r="189" spans="1:19">
      <c r="Q189" s="4"/>
      <c r="R189" s="21"/>
      <c r="S189" s="21"/>
    </row>
    <row r="190" spans="1:19">
      <c r="A190" s="1" t="s">
        <v>202</v>
      </c>
      <c r="Q190" s="4"/>
      <c r="R190" s="13"/>
      <c r="S190" s="14"/>
    </row>
    <row r="191" spans="1:19">
      <c r="A191" s="1">
        <v>0</v>
      </c>
      <c r="B191" s="1" t="s">
        <v>203</v>
      </c>
      <c r="C191" s="1">
        <v>0.80818164000000003</v>
      </c>
      <c r="D191" s="1">
        <v>7.5117394000000004E-2</v>
      </c>
      <c r="E191" s="1">
        <v>0.79597883999999997</v>
      </c>
      <c r="F191" s="1">
        <v>0.10931726999999999</v>
      </c>
      <c r="G191" s="1">
        <v>0.91919695999999995</v>
      </c>
      <c r="H191" s="1">
        <v>8.0803014000000006E-2</v>
      </c>
      <c r="I191" s="1">
        <v>0.65421929999999995</v>
      </c>
      <c r="J191" s="1">
        <v>0.34578072999999998</v>
      </c>
      <c r="K191" s="1">
        <v>0.34385379999999999</v>
      </c>
      <c r="L191" s="1">
        <v>6.9357349999999998E-2</v>
      </c>
      <c r="M191" s="1">
        <v>0.79650529999999997</v>
      </c>
      <c r="N191" s="1">
        <v>0.20349473000000001</v>
      </c>
      <c r="O191" s="1">
        <v>0.80505660000000001</v>
      </c>
      <c r="P191" s="1">
        <v>0.19494346000000001</v>
      </c>
      <c r="Q191" s="4">
        <v>0</v>
      </c>
      <c r="R191" s="13">
        <v>0</v>
      </c>
      <c r="S191" s="14">
        <v>0</v>
      </c>
    </row>
    <row r="192" spans="1:19">
      <c r="A192" s="7">
        <v>0</v>
      </c>
      <c r="B192" s="7" t="s">
        <v>204</v>
      </c>
      <c r="C192" s="7">
        <v>0.77244674999999996</v>
      </c>
      <c r="D192" s="7">
        <v>0.13635448</v>
      </c>
      <c r="E192" s="7">
        <v>0.70412799999999998</v>
      </c>
      <c r="F192" s="7">
        <v>0.37263030000000003</v>
      </c>
      <c r="G192" s="7">
        <v>0.81026359999999997</v>
      </c>
      <c r="H192" s="7">
        <v>0.18973638000000001</v>
      </c>
      <c r="I192" s="7">
        <v>0.79484177</v>
      </c>
      <c r="J192" s="7">
        <v>0.20515823</v>
      </c>
      <c r="K192" s="7">
        <v>0.1017528</v>
      </c>
      <c r="L192" s="7">
        <v>0.11964584</v>
      </c>
      <c r="M192" s="7">
        <v>0.59110426999999999</v>
      </c>
      <c r="N192" s="7">
        <v>0.40889576</v>
      </c>
      <c r="O192" s="7">
        <v>0.23348147999999999</v>
      </c>
      <c r="P192" s="7">
        <v>0.76651853000000003</v>
      </c>
      <c r="Q192" s="8">
        <v>0</v>
      </c>
      <c r="R192" s="15">
        <v>0</v>
      </c>
      <c r="S192" s="16">
        <v>1</v>
      </c>
    </row>
    <row r="193" spans="1:19">
      <c r="A193" s="1">
        <v>0</v>
      </c>
      <c r="B193" s="1" t="s">
        <v>205</v>
      </c>
      <c r="C193" s="1">
        <v>0.54151355999999995</v>
      </c>
      <c r="D193" s="1">
        <v>0.59856379999999998</v>
      </c>
      <c r="E193" s="1">
        <v>0.58054930000000005</v>
      </c>
      <c r="F193" s="1">
        <v>0.57371885</v>
      </c>
      <c r="G193" s="1">
        <v>0.60109615000000005</v>
      </c>
      <c r="H193" s="1">
        <v>0.39890382000000002</v>
      </c>
      <c r="I193" s="1">
        <v>0.50720900000000002</v>
      </c>
      <c r="J193" s="1">
        <v>0.49279103000000002</v>
      </c>
      <c r="K193" s="1">
        <v>0.21508711999999999</v>
      </c>
      <c r="L193" s="1">
        <v>0.10125743</v>
      </c>
      <c r="M193" s="1">
        <v>0.49112670000000003</v>
      </c>
      <c r="N193" s="1">
        <v>0.50887329999999997</v>
      </c>
      <c r="O193" s="1">
        <v>0.25379797999999998</v>
      </c>
      <c r="P193" s="1">
        <v>0.74620204999999995</v>
      </c>
      <c r="Q193" s="4">
        <v>0</v>
      </c>
      <c r="R193" s="13">
        <v>0</v>
      </c>
      <c r="S193" s="14">
        <v>0</v>
      </c>
    </row>
    <row r="194" spans="1:19">
      <c r="A194" s="1">
        <v>0</v>
      </c>
      <c r="B194" s="1" t="s">
        <v>206</v>
      </c>
      <c r="C194" s="1">
        <v>0.48751840000000002</v>
      </c>
      <c r="D194" s="1">
        <v>0.64636490000000002</v>
      </c>
      <c r="E194" s="1">
        <v>0.35534394000000002</v>
      </c>
      <c r="F194" s="1">
        <v>0.69571749999999999</v>
      </c>
      <c r="G194" s="1">
        <v>8.0896960000000004E-2</v>
      </c>
      <c r="H194" s="1">
        <v>0.91910296999999996</v>
      </c>
      <c r="I194" s="1">
        <v>0.40581899999999999</v>
      </c>
      <c r="J194" s="1">
        <v>0.59418099999999996</v>
      </c>
      <c r="K194" s="1">
        <v>5.3270629999999999E-2</v>
      </c>
      <c r="L194" s="1">
        <v>0.38246402000000002</v>
      </c>
      <c r="M194" s="1">
        <v>0.15426570000000001</v>
      </c>
      <c r="N194" s="1">
        <v>0.84573436000000002</v>
      </c>
      <c r="O194" s="1">
        <v>0.40875736000000001</v>
      </c>
      <c r="P194" s="1">
        <v>0.59124259999999995</v>
      </c>
      <c r="Q194" s="4">
        <v>0</v>
      </c>
      <c r="R194" s="14">
        <v>1</v>
      </c>
      <c r="S194" s="14">
        <v>1</v>
      </c>
    </row>
    <row r="195" spans="1:19">
      <c r="A195" s="1">
        <v>0</v>
      </c>
      <c r="B195" s="1" t="s">
        <v>207</v>
      </c>
      <c r="C195" s="1">
        <v>0.25197950000000002</v>
      </c>
      <c r="D195" s="1">
        <v>0.76670766000000001</v>
      </c>
      <c r="E195" s="1">
        <v>0.41520629999999997</v>
      </c>
      <c r="F195" s="1">
        <v>0.64907044000000003</v>
      </c>
      <c r="G195" s="1">
        <v>0.32164207</v>
      </c>
      <c r="H195" s="1">
        <v>0.67835789999999996</v>
      </c>
      <c r="I195" s="1">
        <v>0.13854115</v>
      </c>
      <c r="J195" s="1">
        <v>0.86145883999999995</v>
      </c>
      <c r="K195" s="1">
        <v>0.23263338</v>
      </c>
      <c r="L195" s="1">
        <v>0.32651580000000002</v>
      </c>
      <c r="M195" s="1">
        <v>0.19458434999999999</v>
      </c>
      <c r="N195" s="1">
        <v>0.80541560000000001</v>
      </c>
      <c r="O195" s="1">
        <v>0.15583833</v>
      </c>
      <c r="P195" s="1">
        <v>0.84416170000000001</v>
      </c>
      <c r="Q195" s="4">
        <v>0</v>
      </c>
      <c r="R195" s="14">
        <v>0</v>
      </c>
      <c r="S195" s="14">
        <v>0</v>
      </c>
    </row>
    <row r="196" spans="1:19">
      <c r="A196" s="1">
        <v>0</v>
      </c>
      <c r="B196" s="1" t="s">
        <v>208</v>
      </c>
      <c r="C196" s="1">
        <v>0.68125004</v>
      </c>
      <c r="D196" s="1">
        <v>0.48255196</v>
      </c>
      <c r="E196" s="1">
        <v>0.55660032999999998</v>
      </c>
      <c r="F196" s="1">
        <v>0.63056343999999998</v>
      </c>
      <c r="G196" s="1">
        <v>0.23430989999999999</v>
      </c>
      <c r="H196" s="1">
        <v>0.76569010000000004</v>
      </c>
      <c r="I196" s="1">
        <v>0.75546040000000003</v>
      </c>
      <c r="J196" s="1">
        <v>0.24453959</v>
      </c>
      <c r="K196" s="1">
        <v>7.0009835000000006E-2</v>
      </c>
      <c r="L196" s="1">
        <v>0.53045500000000001</v>
      </c>
      <c r="M196" s="1">
        <v>0.29112163000000002</v>
      </c>
      <c r="N196" s="1">
        <v>0.70887834000000005</v>
      </c>
      <c r="O196" s="1">
        <v>0.21656681999999999</v>
      </c>
      <c r="P196" s="1">
        <v>0.78343320000000005</v>
      </c>
      <c r="Q196" s="4">
        <v>0</v>
      </c>
      <c r="R196" s="13">
        <v>0</v>
      </c>
      <c r="S196" s="14">
        <v>0</v>
      </c>
    </row>
    <row r="197" spans="1:19">
      <c r="A197" s="1">
        <v>0</v>
      </c>
      <c r="B197" s="1" t="s">
        <v>209</v>
      </c>
      <c r="C197" s="1">
        <v>0.81849474</v>
      </c>
      <c r="D197" s="1">
        <v>9.1240699999999994E-2</v>
      </c>
      <c r="E197" s="1">
        <v>0.78453300000000004</v>
      </c>
      <c r="F197" s="1">
        <v>0.16532922999999999</v>
      </c>
      <c r="G197" s="1">
        <v>0.80426186</v>
      </c>
      <c r="H197" s="1">
        <v>0.19573818000000001</v>
      </c>
      <c r="I197" s="1">
        <v>0.98114210000000002</v>
      </c>
      <c r="J197" s="1">
        <v>1.8857881E-2</v>
      </c>
      <c r="K197" s="1">
        <v>0.36500946000000001</v>
      </c>
      <c r="L197" s="1">
        <v>3.5407505999999998E-2</v>
      </c>
      <c r="M197" s="1">
        <v>0.69816946999999996</v>
      </c>
      <c r="N197" s="1">
        <v>0.30183052999999999</v>
      </c>
      <c r="O197" s="1">
        <v>0.74549615000000002</v>
      </c>
      <c r="P197" s="1">
        <v>0.25450384999999998</v>
      </c>
      <c r="Q197" s="4">
        <v>0</v>
      </c>
      <c r="R197" s="13">
        <v>0</v>
      </c>
      <c r="S197" s="14">
        <v>0</v>
      </c>
    </row>
    <row r="198" spans="1:19">
      <c r="A198" s="1">
        <v>0</v>
      </c>
      <c r="B198" s="1" t="s">
        <v>210</v>
      </c>
      <c r="C198" s="1">
        <v>0.78249323000000004</v>
      </c>
      <c r="D198" s="1">
        <v>0.18296994</v>
      </c>
      <c r="E198" s="1">
        <v>0.74230309999999999</v>
      </c>
      <c r="F198" s="1">
        <v>0.30512685000000001</v>
      </c>
      <c r="G198" s="1">
        <v>0.72254026000000005</v>
      </c>
      <c r="H198" s="1">
        <v>0.27745974000000001</v>
      </c>
      <c r="I198" s="1">
        <v>0.78956866000000003</v>
      </c>
      <c r="J198" s="1">
        <v>0.21043133999999999</v>
      </c>
      <c r="K198" s="1">
        <v>0.3550951</v>
      </c>
      <c r="L198" s="1">
        <v>0.17360133</v>
      </c>
      <c r="M198" s="1">
        <v>0.77176493000000002</v>
      </c>
      <c r="N198" s="1">
        <v>0.22823499999999999</v>
      </c>
      <c r="O198" s="1">
        <v>0.93454630000000005</v>
      </c>
      <c r="P198" s="1">
        <v>6.5453769999999994E-2</v>
      </c>
      <c r="Q198" s="4">
        <v>0</v>
      </c>
      <c r="R198" s="13">
        <v>0</v>
      </c>
      <c r="S198" s="14">
        <v>0</v>
      </c>
    </row>
    <row r="199" spans="1:19">
      <c r="A199" s="1">
        <v>0</v>
      </c>
      <c r="B199" s="1" t="s">
        <v>211</v>
      </c>
      <c r="C199" s="1">
        <v>0.77350269999999999</v>
      </c>
      <c r="D199" s="1">
        <v>0.23639962</v>
      </c>
      <c r="E199" s="1">
        <v>0.73784404999999997</v>
      </c>
      <c r="F199" s="1">
        <v>0.31345043</v>
      </c>
      <c r="G199" s="1">
        <v>0.79200064999999997</v>
      </c>
      <c r="H199" s="1">
        <v>0.2079994</v>
      </c>
      <c r="I199" s="1">
        <v>0.92132380000000003</v>
      </c>
      <c r="J199" s="1">
        <v>7.8676179999999998E-2</v>
      </c>
      <c r="K199" s="1">
        <v>5.9541351999999999E-2</v>
      </c>
      <c r="L199" s="1">
        <v>0.32767087</v>
      </c>
      <c r="M199" s="1">
        <v>0.57872440000000003</v>
      </c>
      <c r="N199" s="1">
        <v>0.42127562000000002</v>
      </c>
      <c r="O199" s="1">
        <v>0.44323554999999998</v>
      </c>
      <c r="P199" s="1">
        <v>0.55676440000000005</v>
      </c>
      <c r="Q199" s="4">
        <v>0</v>
      </c>
      <c r="R199" s="13">
        <v>0</v>
      </c>
      <c r="S199" s="14">
        <v>0</v>
      </c>
    </row>
    <row r="200" spans="1:19">
      <c r="A200" s="1">
        <v>0</v>
      </c>
      <c r="B200" s="1" t="s">
        <v>212</v>
      </c>
      <c r="C200" s="1">
        <v>0.48510324999999999</v>
      </c>
      <c r="D200" s="1">
        <v>0.65508379999999999</v>
      </c>
      <c r="E200" s="1">
        <v>0.55028569999999999</v>
      </c>
      <c r="F200" s="1">
        <v>0.65199786000000004</v>
      </c>
      <c r="G200" s="1">
        <v>0.26096570000000002</v>
      </c>
      <c r="H200" s="1">
        <v>0.73903430000000003</v>
      </c>
      <c r="I200" s="1">
        <v>0.2710649</v>
      </c>
      <c r="J200" s="1">
        <v>0.72893505999999997</v>
      </c>
      <c r="K200" s="1">
        <v>9.5672919999999995E-2</v>
      </c>
      <c r="L200" s="1">
        <v>0.51245916000000002</v>
      </c>
      <c r="M200" s="1">
        <v>4.9030314999999998E-2</v>
      </c>
      <c r="N200" s="1">
        <v>0.95096963999999995</v>
      </c>
      <c r="O200" s="1">
        <v>7.7735743999999996E-2</v>
      </c>
      <c r="P200" s="1">
        <v>0.92226430000000004</v>
      </c>
      <c r="Q200" s="4">
        <v>0</v>
      </c>
      <c r="R200" s="13">
        <v>0</v>
      </c>
      <c r="S200" s="14">
        <v>0</v>
      </c>
    </row>
    <row r="201" spans="1:19">
      <c r="A201" s="1">
        <v>0</v>
      </c>
      <c r="B201" s="1" t="s">
        <v>213</v>
      </c>
      <c r="C201" s="1">
        <v>0.8090543</v>
      </c>
      <c r="D201" s="1">
        <v>6.83367E-2</v>
      </c>
      <c r="E201" s="1">
        <v>0.74739443999999999</v>
      </c>
      <c r="F201" s="1">
        <v>0.16186516000000001</v>
      </c>
      <c r="G201" s="1">
        <v>0.92986243999999996</v>
      </c>
      <c r="H201" s="1">
        <v>7.0137519999999995E-2</v>
      </c>
      <c r="I201" s="1">
        <v>0.91636550000000006</v>
      </c>
      <c r="J201" s="1">
        <v>8.3634429999999996E-2</v>
      </c>
      <c r="K201" s="1">
        <v>0.33473668000000001</v>
      </c>
      <c r="L201" s="1">
        <v>4.7049112999999997E-3</v>
      </c>
      <c r="M201" s="1">
        <v>0.64129840000000005</v>
      </c>
      <c r="N201" s="1">
        <v>0.35870162</v>
      </c>
      <c r="O201" s="1">
        <v>0.37311850000000002</v>
      </c>
      <c r="P201" s="1">
        <v>0.62688153999999996</v>
      </c>
      <c r="Q201" s="4">
        <v>1</v>
      </c>
      <c r="R201" s="14">
        <v>1</v>
      </c>
      <c r="S201" s="14">
        <v>0</v>
      </c>
    </row>
    <row r="202" spans="1:19">
      <c r="A202" s="1">
        <v>0</v>
      </c>
      <c r="B202" s="1" t="s">
        <v>214</v>
      </c>
      <c r="C202" s="1">
        <v>0.65862109999999996</v>
      </c>
      <c r="D202" s="1">
        <v>0.47719535000000002</v>
      </c>
      <c r="E202" s="1">
        <v>0.70757950000000003</v>
      </c>
      <c r="F202" s="1">
        <v>0.47328615000000002</v>
      </c>
      <c r="G202" s="1">
        <v>0.41387463000000002</v>
      </c>
      <c r="H202" s="1">
        <v>0.58612540000000002</v>
      </c>
      <c r="I202" s="1">
        <v>0.70646346000000004</v>
      </c>
      <c r="J202" s="1">
        <v>0.29353649999999998</v>
      </c>
      <c r="K202" s="1">
        <v>0.17641781000000001</v>
      </c>
      <c r="L202" s="1">
        <v>9.7233539999999993E-2</v>
      </c>
      <c r="M202" s="1">
        <v>0.58668730000000002</v>
      </c>
      <c r="N202" s="1">
        <v>0.41331264000000001</v>
      </c>
      <c r="O202" s="1">
        <v>0.50814413999999997</v>
      </c>
      <c r="P202" s="1">
        <v>0.49185590000000001</v>
      </c>
      <c r="Q202" s="4">
        <v>0</v>
      </c>
      <c r="R202" s="14">
        <v>0</v>
      </c>
      <c r="S202" s="14">
        <v>1</v>
      </c>
    </row>
    <row r="203" spans="1:19">
      <c r="A203" s="1">
        <v>0</v>
      </c>
      <c r="B203" s="1" t="s">
        <v>215</v>
      </c>
      <c r="C203" s="1">
        <v>0.79576590000000003</v>
      </c>
      <c r="D203" s="1">
        <v>8.7959245000000005E-2</v>
      </c>
      <c r="E203" s="1">
        <v>0.77772724999999998</v>
      </c>
      <c r="F203" s="1">
        <v>0.17021850999999999</v>
      </c>
      <c r="G203" s="1">
        <v>0.90083270000000004</v>
      </c>
      <c r="H203" s="1">
        <v>9.9167270000000002E-2</v>
      </c>
      <c r="I203" s="1">
        <v>0.90131824999999999</v>
      </c>
      <c r="J203" s="1">
        <v>9.8681690000000002E-2</v>
      </c>
      <c r="K203" s="1">
        <v>0.41349740000000001</v>
      </c>
      <c r="L203" s="1">
        <v>5.7593810000000002E-2</v>
      </c>
      <c r="M203" s="1">
        <v>0.60291075999999999</v>
      </c>
      <c r="N203" s="1">
        <v>0.39708924000000001</v>
      </c>
      <c r="O203" s="1">
        <v>0.45259070000000001</v>
      </c>
      <c r="P203" s="1">
        <v>0.54740929999999999</v>
      </c>
      <c r="Q203" s="4">
        <v>0</v>
      </c>
      <c r="R203" s="13">
        <v>0</v>
      </c>
      <c r="S203" s="14">
        <v>0</v>
      </c>
    </row>
    <row r="204" spans="1:19">
      <c r="A204" s="1">
        <v>0</v>
      </c>
      <c r="B204" s="1" t="s">
        <v>216</v>
      </c>
      <c r="C204" s="1">
        <v>0.66726819999999998</v>
      </c>
      <c r="D204" s="1">
        <v>0.55320935999999998</v>
      </c>
      <c r="E204" s="1">
        <v>0.65660023999999995</v>
      </c>
      <c r="F204" s="1">
        <v>0.3858627</v>
      </c>
      <c r="G204" s="1">
        <v>0.73090509999999997</v>
      </c>
      <c r="H204" s="1">
        <v>0.26909485</v>
      </c>
      <c r="I204" s="1">
        <v>0.50679059999999998</v>
      </c>
      <c r="J204" s="1">
        <v>0.49320944999999999</v>
      </c>
      <c r="K204" s="1">
        <v>0.16189535999999999</v>
      </c>
      <c r="L204" s="1">
        <v>0.42840499999999998</v>
      </c>
      <c r="M204" s="1">
        <v>0.11868136999999999</v>
      </c>
      <c r="N204" s="1">
        <v>0.88131857000000002</v>
      </c>
      <c r="O204" s="1">
        <v>0.19250075999999999</v>
      </c>
      <c r="P204" s="1">
        <v>0.80749923000000001</v>
      </c>
      <c r="Q204" s="4">
        <v>0</v>
      </c>
      <c r="R204" s="14">
        <v>0</v>
      </c>
      <c r="S204" s="14">
        <v>0</v>
      </c>
    </row>
    <row r="205" spans="1:19">
      <c r="A205" s="1">
        <v>0</v>
      </c>
      <c r="B205" s="1" t="s">
        <v>217</v>
      </c>
      <c r="C205" s="1">
        <v>0.17767230000000001</v>
      </c>
      <c r="D205" s="1">
        <v>0.77085554999999994</v>
      </c>
      <c r="E205" s="1">
        <v>0.50963159999999996</v>
      </c>
      <c r="F205" s="1">
        <v>0.67718</v>
      </c>
      <c r="G205" s="1">
        <v>0.22149938</v>
      </c>
      <c r="H205" s="1">
        <v>0.77850059999999999</v>
      </c>
      <c r="I205" s="1">
        <v>0.15021802000000001</v>
      </c>
      <c r="J205" s="1">
        <v>0.84978193000000002</v>
      </c>
      <c r="K205" s="1">
        <v>9.4580579999999997E-2</v>
      </c>
      <c r="L205" s="1">
        <v>0.24909976</v>
      </c>
      <c r="M205" s="1">
        <v>0.45931453</v>
      </c>
      <c r="N205" s="1">
        <v>0.54068539999999998</v>
      </c>
      <c r="O205" s="1">
        <v>0.74437624000000002</v>
      </c>
      <c r="P205" s="1">
        <v>0.25562380000000001</v>
      </c>
      <c r="Q205" s="4">
        <v>0</v>
      </c>
      <c r="R205" s="13">
        <v>0</v>
      </c>
      <c r="S205" s="14">
        <v>0</v>
      </c>
    </row>
    <row r="206" spans="1:19">
      <c r="A206" s="1">
        <v>0</v>
      </c>
      <c r="B206" s="1" t="s">
        <v>218</v>
      </c>
      <c r="C206" s="1">
        <v>0.7029628</v>
      </c>
      <c r="D206" s="1">
        <v>0.30152153999999998</v>
      </c>
      <c r="E206" s="1">
        <v>0.72334880000000001</v>
      </c>
      <c r="F206" s="1">
        <v>0.19043303</v>
      </c>
      <c r="G206" s="1">
        <v>0.85189503</v>
      </c>
      <c r="H206" s="1">
        <v>0.14810495000000001</v>
      </c>
      <c r="I206" s="1">
        <v>0.97483070000000005</v>
      </c>
      <c r="J206" s="1">
        <v>2.5169374000000001E-2</v>
      </c>
      <c r="K206" s="1">
        <v>0.1016213</v>
      </c>
      <c r="L206" s="1">
        <v>0.23491735999999999</v>
      </c>
      <c r="M206" s="1">
        <v>3.7788080000000002E-2</v>
      </c>
      <c r="N206" s="1">
        <v>0.96221197000000003</v>
      </c>
      <c r="O206" s="1">
        <v>0.40892884000000002</v>
      </c>
      <c r="P206" s="1">
        <v>0.59107109999999996</v>
      </c>
      <c r="Q206" s="4">
        <v>1</v>
      </c>
      <c r="R206" s="13">
        <v>0</v>
      </c>
      <c r="S206" s="14">
        <v>0</v>
      </c>
    </row>
    <row r="207" spans="1:19">
      <c r="A207" s="7">
        <v>0</v>
      </c>
      <c r="B207" s="7" t="s">
        <v>219</v>
      </c>
      <c r="C207" s="7">
        <v>0.62935764000000005</v>
      </c>
      <c r="D207" s="7">
        <v>0.52373670000000005</v>
      </c>
      <c r="E207" s="7">
        <v>0.65519475999999999</v>
      </c>
      <c r="F207" s="7">
        <v>0.575604</v>
      </c>
      <c r="G207" s="7">
        <v>0.65935310000000003</v>
      </c>
      <c r="H207" s="7">
        <v>0.34064689999999997</v>
      </c>
      <c r="I207" s="7">
        <v>0.75402915000000004</v>
      </c>
      <c r="J207" s="7">
        <v>0.24597089</v>
      </c>
      <c r="K207" s="7">
        <v>0.20744376</v>
      </c>
      <c r="L207" s="7">
        <v>0.12812218</v>
      </c>
      <c r="M207" s="7">
        <v>0.80989120000000003</v>
      </c>
      <c r="N207" s="7">
        <v>0.19010875999999999</v>
      </c>
      <c r="O207" s="7">
        <v>0.72576859999999999</v>
      </c>
      <c r="P207" s="7">
        <v>0.27423133999999999</v>
      </c>
      <c r="Q207" s="8">
        <v>0</v>
      </c>
      <c r="R207" s="15">
        <v>0</v>
      </c>
      <c r="S207" s="16">
        <v>0</v>
      </c>
    </row>
    <row r="208" spans="1:19">
      <c r="A208" s="1">
        <v>0</v>
      </c>
      <c r="B208" s="1" t="s">
        <v>220</v>
      </c>
      <c r="C208" s="1">
        <v>0.70426920000000004</v>
      </c>
      <c r="D208" s="1">
        <v>0.44839509999999999</v>
      </c>
      <c r="E208" s="1">
        <v>0.58799080000000004</v>
      </c>
      <c r="F208" s="1">
        <v>0.58506809999999998</v>
      </c>
      <c r="G208" s="1">
        <v>0.50190610000000002</v>
      </c>
      <c r="H208" s="1">
        <v>0.49809389999999998</v>
      </c>
      <c r="I208" s="1">
        <v>0.43276152000000001</v>
      </c>
      <c r="J208" s="1">
        <v>0.56723844999999995</v>
      </c>
      <c r="K208" s="1">
        <v>0.15704924000000001</v>
      </c>
      <c r="L208" s="1">
        <v>9.3913679999999999E-2</v>
      </c>
      <c r="M208" s="1">
        <v>0.68676596999999995</v>
      </c>
      <c r="N208" s="1">
        <v>0.31323405999999998</v>
      </c>
      <c r="O208" s="1">
        <v>0.64885230000000005</v>
      </c>
      <c r="P208" s="1">
        <v>0.35114764999999998</v>
      </c>
      <c r="Q208" s="4">
        <v>0</v>
      </c>
      <c r="R208" s="13">
        <v>0</v>
      </c>
      <c r="S208" s="14">
        <v>0</v>
      </c>
    </row>
    <row r="209" spans="1:19">
      <c r="A209" s="1">
        <v>0</v>
      </c>
      <c r="B209" s="1" t="s">
        <v>221</v>
      </c>
      <c r="C209" s="1">
        <v>0.80326193999999995</v>
      </c>
      <c r="D209" s="1">
        <v>0.15259523999999999</v>
      </c>
      <c r="E209" s="1">
        <v>0.79534614000000003</v>
      </c>
      <c r="F209" s="1">
        <v>7.9143203999999995E-2</v>
      </c>
      <c r="G209" s="1">
        <v>0.91020920000000005</v>
      </c>
      <c r="H209" s="1">
        <v>8.9790783999999998E-2</v>
      </c>
      <c r="I209" s="1">
        <v>0.99226919999999996</v>
      </c>
      <c r="J209" s="1">
        <v>7.7307597E-3</v>
      </c>
      <c r="K209" s="1">
        <v>0.22529423000000001</v>
      </c>
      <c r="L209" s="1">
        <v>5.9971504000000002E-2</v>
      </c>
      <c r="M209" s="1">
        <v>0.72443139999999995</v>
      </c>
      <c r="N209" s="1">
        <v>0.2755686</v>
      </c>
      <c r="O209" s="1">
        <v>0.51119225999999995</v>
      </c>
      <c r="P209" s="1">
        <v>0.48880776999999997</v>
      </c>
      <c r="Q209" s="4">
        <v>0</v>
      </c>
      <c r="R209" s="13">
        <v>0</v>
      </c>
      <c r="S209" s="14">
        <v>0</v>
      </c>
    </row>
    <row r="210" spans="1:19">
      <c r="A210" s="1">
        <v>0</v>
      </c>
      <c r="B210" s="1" t="s">
        <v>222</v>
      </c>
      <c r="C210" s="1">
        <v>0.79913149999999999</v>
      </c>
      <c r="D210" s="1">
        <v>6.821692E-2</v>
      </c>
      <c r="E210" s="1">
        <v>0.7245395</v>
      </c>
      <c r="F210" s="1">
        <v>0.38943013999999998</v>
      </c>
      <c r="G210" s="1">
        <v>0.84416559999999996</v>
      </c>
      <c r="H210" s="1">
        <v>0.15583435000000001</v>
      </c>
      <c r="I210" s="1">
        <v>0.91640480000000002</v>
      </c>
      <c r="J210" s="1">
        <v>8.3595275999999996E-2</v>
      </c>
      <c r="K210" s="1">
        <v>0.20708750000000001</v>
      </c>
      <c r="L210" s="1">
        <v>0.1725787</v>
      </c>
      <c r="M210" s="1">
        <v>0.73132699999999995</v>
      </c>
      <c r="N210" s="1">
        <v>0.268673</v>
      </c>
      <c r="O210" s="1">
        <v>0.67736953</v>
      </c>
      <c r="P210" s="1">
        <v>0.32263049999999999</v>
      </c>
      <c r="Q210" s="4">
        <v>0</v>
      </c>
      <c r="R210" s="13">
        <v>0</v>
      </c>
      <c r="S210" s="14">
        <v>0</v>
      </c>
    </row>
    <row r="211" spans="1:19">
      <c r="A211" s="1">
        <v>0</v>
      </c>
      <c r="B211" s="1" t="s">
        <v>223</v>
      </c>
      <c r="C211" s="1">
        <v>0.81794107000000005</v>
      </c>
      <c r="D211" s="1">
        <v>0.13658424999999999</v>
      </c>
      <c r="E211" s="1">
        <v>0.80107229999999996</v>
      </c>
      <c r="F211" s="1">
        <v>7.5643580000000002E-2</v>
      </c>
      <c r="G211" s="1">
        <v>0.88770740000000004</v>
      </c>
      <c r="H211" s="1">
        <v>0.11229255</v>
      </c>
      <c r="I211" s="1">
        <v>0.98669994000000005</v>
      </c>
      <c r="J211" s="1">
        <v>1.3300042999999999E-2</v>
      </c>
      <c r="K211" s="1">
        <v>0.38714822999999998</v>
      </c>
      <c r="L211" s="1">
        <v>1.5678864E-3</v>
      </c>
      <c r="M211" s="1">
        <v>0.81367929999999999</v>
      </c>
      <c r="N211" s="1">
        <v>0.18632067999999999</v>
      </c>
      <c r="O211" s="1">
        <v>0.89991312999999995</v>
      </c>
      <c r="P211" s="1">
        <v>0.10008684499999999</v>
      </c>
      <c r="Q211" s="4">
        <v>0</v>
      </c>
      <c r="R211" s="13">
        <v>0</v>
      </c>
      <c r="S211" s="14">
        <v>0</v>
      </c>
    </row>
    <row r="212" spans="1:19">
      <c r="A212" s="1">
        <v>0</v>
      </c>
      <c r="B212" s="1" t="s">
        <v>224</v>
      </c>
      <c r="C212" s="1">
        <v>0.35374883000000001</v>
      </c>
      <c r="D212" s="1">
        <v>0.72756549999999998</v>
      </c>
      <c r="E212" s="1">
        <v>0.52460439999999997</v>
      </c>
      <c r="F212" s="1">
        <v>0.65393436000000005</v>
      </c>
      <c r="G212" s="1">
        <v>0.46407995000000002</v>
      </c>
      <c r="H212" s="1">
        <v>0.53591999999999995</v>
      </c>
      <c r="I212" s="1">
        <v>6.2125746000000003E-2</v>
      </c>
      <c r="J212" s="1">
        <v>0.93787425999999996</v>
      </c>
      <c r="K212" s="1">
        <v>0.121468745</v>
      </c>
      <c r="L212" s="1">
        <v>0.26564944000000001</v>
      </c>
      <c r="M212" s="1">
        <v>0.17016391</v>
      </c>
      <c r="N212" s="1">
        <v>0.82983609999999997</v>
      </c>
      <c r="O212" s="1">
        <v>0.27084335999999998</v>
      </c>
      <c r="P212" s="1">
        <v>0.72915660000000004</v>
      </c>
      <c r="Q212" s="4">
        <v>0</v>
      </c>
      <c r="R212" s="13">
        <v>0</v>
      </c>
      <c r="S212" s="14">
        <v>0</v>
      </c>
    </row>
    <row r="213" spans="1:19">
      <c r="A213" s="1">
        <v>0</v>
      </c>
      <c r="B213" s="1" t="s">
        <v>225</v>
      </c>
      <c r="C213" s="1">
        <v>0.81436459999999999</v>
      </c>
      <c r="D213" s="1">
        <v>0.102304846</v>
      </c>
      <c r="E213" s="1">
        <v>0.80071999999999999</v>
      </c>
      <c r="F213" s="1">
        <v>7.9650133999999997E-2</v>
      </c>
      <c r="G213" s="1">
        <v>0.91679394000000003</v>
      </c>
      <c r="H213" s="1">
        <v>8.3205979999999999E-2</v>
      </c>
      <c r="I213" s="1">
        <v>0.96831049999999996</v>
      </c>
      <c r="J213" s="1">
        <v>3.1689509999999997E-2</v>
      </c>
      <c r="K213" s="1">
        <v>0.47239061999999998</v>
      </c>
      <c r="L213" s="1">
        <v>7.9540029999999998E-2</v>
      </c>
      <c r="M213" s="1">
        <v>0.77534086000000002</v>
      </c>
      <c r="N213" s="1">
        <v>0.2246592</v>
      </c>
      <c r="O213" s="1">
        <v>0.89583619999999997</v>
      </c>
      <c r="P213" s="1">
        <v>0.10416388</v>
      </c>
      <c r="Q213" s="4">
        <v>0</v>
      </c>
      <c r="R213" s="14">
        <v>1</v>
      </c>
      <c r="S213" s="14">
        <v>0</v>
      </c>
    </row>
    <row r="214" spans="1:19">
      <c r="A214" s="7">
        <v>0</v>
      </c>
      <c r="B214" s="7" t="s">
        <v>226</v>
      </c>
      <c r="C214" s="7">
        <v>0.80564415</v>
      </c>
      <c r="D214" s="7">
        <v>0.13124385</v>
      </c>
      <c r="E214" s="7">
        <v>0.77293429999999996</v>
      </c>
      <c r="F214" s="7">
        <v>0.28409817999999998</v>
      </c>
      <c r="G214" s="7">
        <v>0.7209293</v>
      </c>
      <c r="H214" s="7">
        <v>0.27907072999999999</v>
      </c>
      <c r="I214" s="7">
        <v>0.88903284000000005</v>
      </c>
      <c r="J214" s="7">
        <v>0.110967174</v>
      </c>
      <c r="K214" s="7">
        <v>0.29965197999999998</v>
      </c>
      <c r="L214" s="7">
        <v>8.1411534999999997E-3</v>
      </c>
      <c r="M214" s="7">
        <v>0.71835389999999999</v>
      </c>
      <c r="N214" s="7">
        <v>0.28164610000000001</v>
      </c>
      <c r="O214" s="7">
        <v>0.53052449999999995</v>
      </c>
      <c r="P214" s="7">
        <v>0.46947545000000002</v>
      </c>
      <c r="Q214" s="8">
        <v>0</v>
      </c>
      <c r="R214" s="15">
        <v>0</v>
      </c>
      <c r="S214" s="16">
        <v>0</v>
      </c>
    </row>
    <row r="215" spans="1:19">
      <c r="A215" s="7">
        <v>0</v>
      </c>
      <c r="B215" s="7" t="s">
        <v>227</v>
      </c>
      <c r="C215" s="7">
        <v>0.39745059999999999</v>
      </c>
      <c r="D215" s="7">
        <v>0.68057400000000001</v>
      </c>
      <c r="E215" s="7">
        <v>0.58466065</v>
      </c>
      <c r="F215" s="7">
        <v>0.54439395999999995</v>
      </c>
      <c r="G215" s="7">
        <v>0.68392500000000001</v>
      </c>
      <c r="H215" s="7">
        <v>0.31607499999999999</v>
      </c>
      <c r="I215" s="7">
        <v>7.1345790000000006E-2</v>
      </c>
      <c r="J215" s="7">
        <v>0.92865425000000001</v>
      </c>
      <c r="K215" s="7">
        <v>9.8259840000000001E-2</v>
      </c>
      <c r="L215" s="7">
        <v>0.21484469</v>
      </c>
      <c r="M215" s="7">
        <v>0.28030877999999998</v>
      </c>
      <c r="N215" s="7">
        <v>0.71969116</v>
      </c>
      <c r="O215" s="7">
        <v>0.14589983000000001</v>
      </c>
      <c r="P215" s="7">
        <v>0.85410017000000005</v>
      </c>
      <c r="Q215" s="8">
        <v>1</v>
      </c>
      <c r="R215" s="16">
        <v>1</v>
      </c>
      <c r="S215" s="16">
        <v>0</v>
      </c>
    </row>
    <row r="216" spans="1:19">
      <c r="A216" s="1">
        <v>0</v>
      </c>
      <c r="B216" s="1" t="s">
        <v>228</v>
      </c>
      <c r="C216" s="1">
        <v>0.61424005000000004</v>
      </c>
      <c r="D216" s="1">
        <v>0.49479403999999999</v>
      </c>
      <c r="E216" s="1">
        <v>0.69917770000000001</v>
      </c>
      <c r="F216" s="1">
        <v>0.39041720000000002</v>
      </c>
      <c r="G216" s="1">
        <v>0.70097169999999998</v>
      </c>
      <c r="H216" s="1">
        <v>0.29902825</v>
      </c>
      <c r="I216" s="1">
        <v>0.26529895999999997</v>
      </c>
      <c r="J216" s="1">
        <v>0.73470104000000003</v>
      </c>
      <c r="K216" s="1">
        <v>0.13330288000000001</v>
      </c>
      <c r="L216" s="1">
        <v>0.34844348000000003</v>
      </c>
      <c r="M216" s="1">
        <v>0.36899789999999999</v>
      </c>
      <c r="N216" s="1">
        <v>0.63100206999999997</v>
      </c>
      <c r="O216" s="1">
        <v>0.17880842</v>
      </c>
      <c r="P216" s="1">
        <v>0.82119154999999999</v>
      </c>
      <c r="Q216" s="4">
        <v>0</v>
      </c>
      <c r="R216" s="13">
        <v>0</v>
      </c>
      <c r="S216" s="14">
        <v>0</v>
      </c>
    </row>
    <row r="217" spans="1:19">
      <c r="A217" s="7">
        <v>0</v>
      </c>
      <c r="B217" s="7" t="s">
        <v>229</v>
      </c>
      <c r="C217" s="7">
        <v>0.19134000000000001</v>
      </c>
      <c r="D217" s="7">
        <v>0.74508779999999997</v>
      </c>
      <c r="E217" s="7">
        <v>0.36092531999999999</v>
      </c>
      <c r="F217" s="7">
        <v>0.6979725</v>
      </c>
      <c r="G217" s="7">
        <v>9.7486290000000003E-2</v>
      </c>
      <c r="H217" s="7">
        <v>0.90251373999999995</v>
      </c>
      <c r="I217" s="7">
        <v>0.35585480000000003</v>
      </c>
      <c r="J217" s="7">
        <v>0.64414525</v>
      </c>
      <c r="K217" s="7">
        <v>2.2208360999999999E-2</v>
      </c>
      <c r="L217" s="7">
        <v>0.33506393000000001</v>
      </c>
      <c r="M217" s="7">
        <v>0.1219889</v>
      </c>
      <c r="N217" s="7">
        <v>0.87801116999999995</v>
      </c>
      <c r="O217" s="7">
        <v>8.0841919999999998E-2</v>
      </c>
      <c r="P217" s="7">
        <v>0.91915809999999998</v>
      </c>
      <c r="Q217" s="8">
        <v>0</v>
      </c>
      <c r="R217" s="16">
        <v>0</v>
      </c>
      <c r="S217" s="16">
        <v>0</v>
      </c>
    </row>
    <row r="218" spans="1:19">
      <c r="A218" s="1">
        <v>0</v>
      </c>
      <c r="B218" s="1" t="s">
        <v>230</v>
      </c>
      <c r="C218" s="1">
        <v>0.63939804</v>
      </c>
      <c r="D218" s="1">
        <v>0.57417989999999997</v>
      </c>
      <c r="E218" s="1">
        <v>0.74723689999999998</v>
      </c>
      <c r="F218" s="1">
        <v>0.34495710000000002</v>
      </c>
      <c r="G218" s="1">
        <v>0.63677519999999999</v>
      </c>
      <c r="H218" s="1">
        <v>0.36322476999999997</v>
      </c>
      <c r="I218" s="1">
        <v>0.70732737000000001</v>
      </c>
      <c r="J218" s="1">
        <v>0.29267262999999999</v>
      </c>
      <c r="K218" s="1">
        <v>0.21694703000000001</v>
      </c>
      <c r="L218" s="1">
        <v>7.3860289999999995E-2</v>
      </c>
      <c r="M218" s="1">
        <v>0.61968190000000001</v>
      </c>
      <c r="N218" s="1">
        <v>0.38031808</v>
      </c>
      <c r="O218" s="1">
        <v>0.31106687</v>
      </c>
      <c r="P218" s="1">
        <v>0.68893320000000002</v>
      </c>
      <c r="Q218" s="4">
        <v>1</v>
      </c>
      <c r="R218" s="13">
        <v>0</v>
      </c>
      <c r="S218" s="14">
        <v>0</v>
      </c>
    </row>
    <row r="219" spans="1:19">
      <c r="A219" s="1">
        <v>0</v>
      </c>
      <c r="B219" s="1" t="s">
        <v>231</v>
      </c>
      <c r="C219" s="1">
        <v>0.81778395000000004</v>
      </c>
      <c r="D219" s="1">
        <v>0.13006050999999999</v>
      </c>
      <c r="E219" s="1">
        <v>0.79119360000000005</v>
      </c>
      <c r="F219" s="1">
        <v>5.9039756999999998E-2</v>
      </c>
      <c r="G219" s="1">
        <v>0.96847099999999997</v>
      </c>
      <c r="H219" s="1">
        <v>3.1529013000000002E-2</v>
      </c>
      <c r="I219" s="1">
        <v>0.97630600000000001</v>
      </c>
      <c r="J219" s="1">
        <v>2.3693903999999998E-2</v>
      </c>
      <c r="K219" s="1">
        <v>0.34132683000000003</v>
      </c>
      <c r="L219" s="1">
        <v>2.8062189000000001E-2</v>
      </c>
      <c r="M219" s="1">
        <v>0.75911130000000004</v>
      </c>
      <c r="N219" s="1">
        <v>0.24088873999999999</v>
      </c>
      <c r="O219" s="1">
        <v>0.69287670000000001</v>
      </c>
      <c r="P219" s="1">
        <v>0.30712333000000003</v>
      </c>
      <c r="Q219" s="4">
        <v>0</v>
      </c>
      <c r="R219" s="13">
        <v>0</v>
      </c>
      <c r="S219" s="14">
        <v>0</v>
      </c>
    </row>
    <row r="220" spans="1:19">
      <c r="A220" s="1">
        <v>0</v>
      </c>
      <c r="B220" s="1" t="s">
        <v>232</v>
      </c>
      <c r="C220" s="1">
        <v>0.73956275000000005</v>
      </c>
      <c r="D220" s="1">
        <v>0.32821822</v>
      </c>
      <c r="E220" s="1">
        <v>0.74148650000000005</v>
      </c>
      <c r="F220" s="1">
        <v>0.19648114</v>
      </c>
      <c r="G220" s="1">
        <v>0.93971866000000004</v>
      </c>
      <c r="H220" s="1">
        <v>6.0281407000000002E-2</v>
      </c>
      <c r="I220" s="1">
        <v>0.95706190000000002</v>
      </c>
      <c r="J220" s="1">
        <v>4.2938105999999997E-2</v>
      </c>
      <c r="K220" s="1">
        <v>8.9567850000000004E-2</v>
      </c>
      <c r="L220" s="1">
        <v>0.18955062</v>
      </c>
      <c r="M220" s="1">
        <v>0.1472367</v>
      </c>
      <c r="N220" s="1">
        <v>0.8527633</v>
      </c>
      <c r="O220" s="1">
        <v>0.14490125000000001</v>
      </c>
      <c r="P220" s="1">
        <v>0.85509880000000005</v>
      </c>
      <c r="Q220" s="4">
        <v>0</v>
      </c>
      <c r="R220" s="13">
        <v>0</v>
      </c>
      <c r="S220" s="14">
        <v>0</v>
      </c>
    </row>
    <row r="221" spans="1:19">
      <c r="A221" s="1">
        <v>0</v>
      </c>
      <c r="B221" s="1" t="s">
        <v>233</v>
      </c>
      <c r="C221" s="1">
        <v>0.73970639999999999</v>
      </c>
      <c r="D221" s="1">
        <v>0.1451654</v>
      </c>
      <c r="E221" s="1">
        <v>0.68004489999999995</v>
      </c>
      <c r="F221" s="1">
        <v>0.52158979999999999</v>
      </c>
      <c r="G221" s="1">
        <v>0.55885105999999996</v>
      </c>
      <c r="H221" s="1">
        <v>0.44114890000000001</v>
      </c>
      <c r="I221" s="1">
        <v>0.80080249999999997</v>
      </c>
      <c r="J221" s="1">
        <v>0.19919751999999999</v>
      </c>
      <c r="K221" s="1">
        <v>0.20766124</v>
      </c>
      <c r="L221" s="1">
        <v>0.13916039999999999</v>
      </c>
      <c r="M221" s="1">
        <v>0.73275000000000001</v>
      </c>
      <c r="N221" s="1">
        <v>0.26724997</v>
      </c>
      <c r="O221" s="1">
        <v>0.50972200000000001</v>
      </c>
      <c r="P221" s="1">
        <v>0.49027798</v>
      </c>
      <c r="Q221" s="4">
        <v>0</v>
      </c>
      <c r="R221" s="13">
        <v>0</v>
      </c>
      <c r="S221" s="14">
        <v>0</v>
      </c>
    </row>
    <row r="222" spans="1:19">
      <c r="A222" s="1">
        <v>0</v>
      </c>
      <c r="B222" s="1" t="s">
        <v>234</v>
      </c>
      <c r="C222" s="1">
        <v>0.70815349999999999</v>
      </c>
      <c r="D222" s="1">
        <v>0.44683616999999998</v>
      </c>
      <c r="E222" s="1">
        <v>0.67898464000000003</v>
      </c>
      <c r="F222" s="1">
        <v>0.42288880000000001</v>
      </c>
      <c r="G222" s="1">
        <v>0.29079369999999999</v>
      </c>
      <c r="H222" s="1">
        <v>0.70920634000000005</v>
      </c>
      <c r="I222" s="1">
        <v>0.81480752999999995</v>
      </c>
      <c r="J222" s="1">
        <v>0.18519251</v>
      </c>
      <c r="K222" s="1">
        <v>0.25529867000000001</v>
      </c>
      <c r="L222" s="1">
        <v>1.9491950000000001E-2</v>
      </c>
      <c r="M222" s="1">
        <v>0.65525675000000005</v>
      </c>
      <c r="N222" s="1">
        <v>0.34474325</v>
      </c>
      <c r="O222" s="1">
        <v>0.63740443999999996</v>
      </c>
      <c r="P222" s="1">
        <v>0.36259555999999998</v>
      </c>
      <c r="Q222" s="4">
        <v>0</v>
      </c>
      <c r="R222" s="13">
        <v>0</v>
      </c>
      <c r="S222" s="14">
        <v>0</v>
      </c>
    </row>
    <row r="223" spans="1:19">
      <c r="A223" s="1">
        <v>0</v>
      </c>
      <c r="B223" s="1" t="s">
        <v>235</v>
      </c>
      <c r="C223" s="1">
        <v>0.64500219999999997</v>
      </c>
      <c r="D223" s="1">
        <v>0.56851859999999999</v>
      </c>
      <c r="E223" s="1">
        <v>0.72852910000000004</v>
      </c>
      <c r="F223" s="1">
        <v>0.22362493</v>
      </c>
      <c r="G223" s="1">
        <v>0.50479039999999997</v>
      </c>
      <c r="H223" s="1">
        <v>0.49520960000000003</v>
      </c>
      <c r="I223" s="1">
        <v>0.35854494999999997</v>
      </c>
      <c r="J223" s="1">
        <v>0.64145505000000003</v>
      </c>
      <c r="K223" s="1">
        <v>0.30115150000000002</v>
      </c>
      <c r="L223" s="1">
        <v>0.24924511999999999</v>
      </c>
      <c r="M223" s="1">
        <v>9.7548200000000002E-2</v>
      </c>
      <c r="N223" s="1">
        <v>0.90245180000000003</v>
      </c>
      <c r="O223" s="1">
        <v>5.7346630000000003E-2</v>
      </c>
      <c r="P223" s="1">
        <v>0.94265336</v>
      </c>
      <c r="Q223" s="4">
        <v>0</v>
      </c>
      <c r="R223" s="13">
        <v>0</v>
      </c>
      <c r="S223" s="14">
        <v>0</v>
      </c>
    </row>
    <row r="224" spans="1:19">
      <c r="A224" s="1">
        <v>0</v>
      </c>
      <c r="B224" s="1" t="s">
        <v>236</v>
      </c>
      <c r="C224" s="1">
        <v>0.59356469999999995</v>
      </c>
      <c r="D224" s="1">
        <v>0.56356819999999996</v>
      </c>
      <c r="E224" s="1">
        <v>0.64919139999999997</v>
      </c>
      <c r="F224" s="1">
        <v>0.45713429999999999</v>
      </c>
      <c r="G224" s="1">
        <v>0.46093073000000001</v>
      </c>
      <c r="H224" s="1">
        <v>0.53906929999999997</v>
      </c>
      <c r="I224" s="1">
        <v>0.53520005999999998</v>
      </c>
      <c r="J224" s="1">
        <v>0.46479989999999999</v>
      </c>
      <c r="K224" s="1">
        <v>0.10181831</v>
      </c>
      <c r="L224" s="1">
        <v>0.42960122000000001</v>
      </c>
      <c r="M224" s="1">
        <v>0.19870973</v>
      </c>
      <c r="N224" s="1">
        <v>0.80129030000000001</v>
      </c>
      <c r="O224" s="1">
        <v>0.26083338</v>
      </c>
      <c r="P224" s="1">
        <v>0.73916660000000001</v>
      </c>
      <c r="Q224" s="4">
        <v>0</v>
      </c>
      <c r="R224" s="13">
        <v>0</v>
      </c>
      <c r="S224" s="14">
        <v>0</v>
      </c>
    </row>
    <row r="225" spans="1:19">
      <c r="A225" s="1">
        <v>0</v>
      </c>
      <c r="B225" s="1" t="s">
        <v>237</v>
      </c>
      <c r="C225" s="1">
        <v>0.47260194999999999</v>
      </c>
      <c r="D225" s="1">
        <v>0.69849265000000005</v>
      </c>
      <c r="E225" s="1">
        <v>0.55862146999999995</v>
      </c>
      <c r="F225" s="1">
        <v>0.66637800000000003</v>
      </c>
      <c r="G225" s="1">
        <v>0.48401174000000002</v>
      </c>
      <c r="H225" s="1">
        <v>0.51598829999999996</v>
      </c>
      <c r="I225" s="1">
        <v>0.21051854</v>
      </c>
      <c r="J225" s="1">
        <v>0.7894814</v>
      </c>
      <c r="K225" s="1">
        <v>0.123842165</v>
      </c>
      <c r="L225" s="1">
        <v>0.40148869999999998</v>
      </c>
      <c r="M225" s="1">
        <v>0.17485854000000001</v>
      </c>
      <c r="N225" s="1">
        <v>0.82514149999999997</v>
      </c>
      <c r="O225" s="1">
        <v>0.19531237000000001</v>
      </c>
      <c r="P225" s="1">
        <v>0.80468759999999995</v>
      </c>
      <c r="Q225" s="4">
        <v>0</v>
      </c>
      <c r="R225" s="13">
        <v>0</v>
      </c>
      <c r="S225" s="14">
        <v>0</v>
      </c>
    </row>
    <row r="226" spans="1:19">
      <c r="A226" s="1">
        <v>0</v>
      </c>
      <c r="B226" s="1" t="s">
        <v>238</v>
      </c>
      <c r="C226" s="1">
        <v>0.59900989999999998</v>
      </c>
      <c r="D226" s="1">
        <v>0.57511413</v>
      </c>
      <c r="E226" s="1">
        <v>0.67755259999999995</v>
      </c>
      <c r="F226" s="1">
        <v>0.47755396</v>
      </c>
      <c r="G226" s="1">
        <v>0.52029466999999996</v>
      </c>
      <c r="H226" s="1">
        <v>0.4797053</v>
      </c>
      <c r="I226" s="1">
        <v>0.22624172000000001</v>
      </c>
      <c r="J226" s="1">
        <v>0.77375822999999999</v>
      </c>
      <c r="K226" s="1">
        <v>3.5450905999999997E-2</v>
      </c>
      <c r="L226" s="1">
        <v>0.49126005</v>
      </c>
      <c r="M226" s="1">
        <v>0.10524928</v>
      </c>
      <c r="N226" s="1">
        <v>0.89475070000000001</v>
      </c>
      <c r="O226" s="1">
        <v>0.1192723</v>
      </c>
      <c r="P226" s="1">
        <v>0.8807277</v>
      </c>
      <c r="Q226" s="4">
        <v>1</v>
      </c>
      <c r="R226" s="14">
        <v>1</v>
      </c>
      <c r="S226" s="14">
        <v>0</v>
      </c>
    </row>
    <row r="227" spans="1:19">
      <c r="A227" s="7">
        <v>0</v>
      </c>
      <c r="B227" s="7" t="s">
        <v>239</v>
      </c>
      <c r="C227" s="7">
        <v>0.8166177</v>
      </c>
      <c r="D227" s="7">
        <v>8.1363946000000006E-2</v>
      </c>
      <c r="E227" s="7">
        <v>0.79214989999999996</v>
      </c>
      <c r="F227" s="7">
        <v>6.7185060000000005E-2</v>
      </c>
      <c r="G227" s="7">
        <v>0.95579170000000002</v>
      </c>
      <c r="H227" s="7">
        <v>4.4208276999999997E-2</v>
      </c>
      <c r="I227" s="7">
        <v>0.98014100000000004</v>
      </c>
      <c r="J227" s="7">
        <v>1.9859053000000002E-2</v>
      </c>
      <c r="K227" s="7">
        <v>0.39683669999999999</v>
      </c>
      <c r="L227" s="7">
        <v>1.7760578999999999E-2</v>
      </c>
      <c r="M227" s="7">
        <v>0.70440650000000005</v>
      </c>
      <c r="N227" s="7">
        <v>0.29559352999999999</v>
      </c>
      <c r="O227" s="7">
        <v>0.50153420000000004</v>
      </c>
      <c r="P227" s="7">
        <v>0.49846583999999999</v>
      </c>
      <c r="Q227" s="8">
        <v>0</v>
      </c>
      <c r="R227" s="15">
        <v>0</v>
      </c>
      <c r="S227" s="16">
        <v>0</v>
      </c>
    </row>
    <row r="228" spans="1:19">
      <c r="A228" s="1">
        <v>0</v>
      </c>
      <c r="B228" s="1" t="s">
        <v>240</v>
      </c>
      <c r="C228" s="1">
        <v>0.81342583999999996</v>
      </c>
      <c r="D228" s="1">
        <v>0.15228998999999999</v>
      </c>
      <c r="E228" s="1">
        <v>0.79255754</v>
      </c>
      <c r="F228" s="1">
        <v>5.8552264999999999E-2</v>
      </c>
      <c r="G228" s="1">
        <v>0.98424929999999999</v>
      </c>
      <c r="H228" s="1">
        <v>1.5750681999999998E-2</v>
      </c>
      <c r="I228" s="1">
        <v>0.98843734999999999</v>
      </c>
      <c r="J228" s="1">
        <v>1.1562599999999999E-2</v>
      </c>
      <c r="K228" s="1">
        <v>0.28825321999999998</v>
      </c>
      <c r="L228" s="1">
        <v>0.13737305</v>
      </c>
      <c r="M228" s="1">
        <v>0.74908050000000004</v>
      </c>
      <c r="N228" s="1">
        <v>0.25091945999999998</v>
      </c>
      <c r="O228" s="1">
        <v>0.84533769999999997</v>
      </c>
      <c r="P228" s="1">
        <v>0.15466234000000001</v>
      </c>
      <c r="Q228" s="4">
        <v>0</v>
      </c>
      <c r="R228" s="13">
        <v>0</v>
      </c>
      <c r="S228" s="14">
        <v>1</v>
      </c>
    </row>
    <row r="229" spans="1:19">
      <c r="A229" s="1">
        <v>0</v>
      </c>
      <c r="B229" s="1" t="s">
        <v>241</v>
      </c>
      <c r="C229" s="1">
        <v>0.80953335999999998</v>
      </c>
      <c r="D229" s="1">
        <v>8.3787984999999995E-2</v>
      </c>
      <c r="E229" s="1">
        <v>0.77671354999999997</v>
      </c>
      <c r="F229" s="1">
        <v>0.13239923000000001</v>
      </c>
      <c r="G229" s="1">
        <v>0.94825994999999996</v>
      </c>
      <c r="H229" s="1">
        <v>5.1740076000000003E-2</v>
      </c>
      <c r="I229" s="1">
        <v>0.97023844999999997</v>
      </c>
      <c r="J229" s="1">
        <v>2.9761553E-2</v>
      </c>
      <c r="K229" s="1">
        <v>0.26416188000000002</v>
      </c>
      <c r="L229" s="1">
        <v>6.5160999999999997E-2</v>
      </c>
      <c r="M229" s="1">
        <v>0.67862940000000005</v>
      </c>
      <c r="N229" s="1">
        <v>0.32137060000000001</v>
      </c>
      <c r="O229" s="1">
        <v>0.75459790000000004</v>
      </c>
      <c r="P229" s="1">
        <v>0.24540217</v>
      </c>
      <c r="Q229" s="4">
        <v>0</v>
      </c>
      <c r="R229" s="13">
        <v>0</v>
      </c>
      <c r="S229" s="14">
        <v>0</v>
      </c>
    </row>
    <row r="230" spans="1:19">
      <c r="A230" s="1">
        <v>0</v>
      </c>
      <c r="B230" s="1" t="s">
        <v>242</v>
      </c>
      <c r="C230" s="1">
        <v>0.65182465000000001</v>
      </c>
      <c r="D230" s="1">
        <v>0.55615323999999999</v>
      </c>
      <c r="E230" s="1">
        <v>0.66810159999999996</v>
      </c>
      <c r="F230" s="1">
        <v>0.55190969999999995</v>
      </c>
      <c r="G230" s="1">
        <v>0.68560827000000002</v>
      </c>
      <c r="H230" s="1">
        <v>0.3143917</v>
      </c>
      <c r="I230" s="1">
        <v>0.67285656999999999</v>
      </c>
      <c r="J230" s="1">
        <v>0.32714336999999999</v>
      </c>
      <c r="K230" s="1">
        <v>0.39593917000000001</v>
      </c>
      <c r="L230" s="1">
        <v>2.6766445E-2</v>
      </c>
      <c r="M230" s="1">
        <v>0.63227630000000001</v>
      </c>
      <c r="N230" s="1">
        <v>0.36772369999999999</v>
      </c>
      <c r="O230" s="1">
        <v>0.60206866000000003</v>
      </c>
      <c r="P230" s="1">
        <v>0.39793137000000001</v>
      </c>
      <c r="Q230" s="4">
        <v>0</v>
      </c>
      <c r="R230" s="13">
        <v>0</v>
      </c>
      <c r="S230" s="14">
        <v>0</v>
      </c>
    </row>
    <row r="231" spans="1:19">
      <c r="A231" s="1">
        <v>0</v>
      </c>
      <c r="B231" s="1" t="s">
        <v>243</v>
      </c>
      <c r="C231" s="1">
        <v>0.22239068000000001</v>
      </c>
      <c r="D231" s="1">
        <v>0.72607149999999998</v>
      </c>
      <c r="E231" s="1">
        <v>0.29225305000000001</v>
      </c>
      <c r="F231" s="1">
        <v>0.71820700000000004</v>
      </c>
      <c r="G231" s="1">
        <v>0.19772503999999999</v>
      </c>
      <c r="H231" s="1">
        <v>0.80227499999999996</v>
      </c>
      <c r="I231" s="1">
        <v>8.0332360000000005E-2</v>
      </c>
      <c r="J231" s="1">
        <v>0.91966766</v>
      </c>
      <c r="K231" s="1">
        <v>0.16396113000000001</v>
      </c>
      <c r="L231" s="1">
        <v>0.29640889999999998</v>
      </c>
      <c r="M231" s="1">
        <v>6.3968780000000003E-2</v>
      </c>
      <c r="N231" s="1">
        <v>0.93603119999999995</v>
      </c>
      <c r="O231" s="1">
        <v>7.5697769999999998E-2</v>
      </c>
      <c r="P231" s="1">
        <v>0.92430215999999998</v>
      </c>
      <c r="Q231" s="4">
        <v>0</v>
      </c>
      <c r="R231" s="13">
        <v>0</v>
      </c>
      <c r="S231" s="14">
        <v>0</v>
      </c>
    </row>
    <row r="232" spans="1:19">
      <c r="A232" s="1">
        <v>0</v>
      </c>
      <c r="B232" s="1" t="s">
        <v>244</v>
      </c>
      <c r="C232" s="1">
        <v>0.81081139999999996</v>
      </c>
      <c r="D232" s="1">
        <v>8.3808729999999998E-2</v>
      </c>
      <c r="E232" s="1">
        <v>0.78305599999999997</v>
      </c>
      <c r="F232" s="1">
        <v>0.12931662999999999</v>
      </c>
      <c r="G232" s="1">
        <v>0.82611005999999998</v>
      </c>
      <c r="H232" s="1">
        <v>0.17388993999999999</v>
      </c>
      <c r="I232" s="1">
        <v>0.9526964</v>
      </c>
      <c r="J232" s="1">
        <v>4.7303570000000003E-2</v>
      </c>
      <c r="K232" s="1">
        <v>0.37347894999999998</v>
      </c>
      <c r="L232" s="1">
        <v>6.6419399999999998E-3</v>
      </c>
      <c r="M232" s="1">
        <v>0.81021949999999998</v>
      </c>
      <c r="N232" s="1">
        <v>0.18978046000000001</v>
      </c>
      <c r="O232" s="1">
        <v>0.88998350000000004</v>
      </c>
      <c r="P232" s="1">
        <v>0.11001652000000001</v>
      </c>
      <c r="Q232" s="4">
        <v>0</v>
      </c>
      <c r="R232" s="13">
        <v>0</v>
      </c>
      <c r="S232" s="14">
        <v>0</v>
      </c>
    </row>
    <row r="233" spans="1:19">
      <c r="A233" s="1">
        <v>0</v>
      </c>
      <c r="B233" s="1" t="s">
        <v>245</v>
      </c>
      <c r="C233" s="1">
        <v>0.78079880000000002</v>
      </c>
      <c r="D233" s="1">
        <v>0.19932975</v>
      </c>
      <c r="E233" s="1">
        <v>0.77090309999999995</v>
      </c>
      <c r="F233" s="1">
        <v>0.22572415000000001</v>
      </c>
      <c r="G233" s="1">
        <v>0.63692899999999997</v>
      </c>
      <c r="H233" s="1">
        <v>0.36307107999999999</v>
      </c>
      <c r="I233" s="1">
        <v>0.88929117000000002</v>
      </c>
      <c r="J233" s="1">
        <v>0.11070888</v>
      </c>
      <c r="K233" s="1">
        <v>0.13473621</v>
      </c>
      <c r="L233" s="1">
        <v>0.217254</v>
      </c>
      <c r="M233" s="1">
        <v>0.65092903000000002</v>
      </c>
      <c r="N233" s="1">
        <v>0.34907096999999998</v>
      </c>
      <c r="O233" s="1">
        <v>0.75590396000000004</v>
      </c>
      <c r="P233" s="1">
        <v>0.24409601</v>
      </c>
      <c r="Q233" s="4">
        <v>0</v>
      </c>
      <c r="R233" s="13">
        <v>0</v>
      </c>
      <c r="S233" s="14">
        <v>0</v>
      </c>
    </row>
    <row r="234" spans="1:19">
      <c r="A234" s="1">
        <v>1</v>
      </c>
      <c r="B234" s="1" t="s">
        <v>246</v>
      </c>
      <c r="C234" s="1">
        <v>0.50505096000000005</v>
      </c>
      <c r="D234" s="1">
        <v>0.68977239999999995</v>
      </c>
      <c r="E234" s="1">
        <v>0.34392852000000002</v>
      </c>
      <c r="F234" s="1">
        <v>0.77251460000000005</v>
      </c>
      <c r="G234" s="1">
        <v>0.27218725999999999</v>
      </c>
      <c r="H234" s="1">
        <v>0.72781269999999998</v>
      </c>
      <c r="I234" s="1">
        <v>4.7031080000000003E-2</v>
      </c>
      <c r="J234" s="1">
        <v>0.95296890000000001</v>
      </c>
      <c r="K234" s="1">
        <v>0.17561202000000001</v>
      </c>
      <c r="L234" s="1">
        <v>0.39747605000000003</v>
      </c>
      <c r="M234" s="1">
        <v>0.27458440000000001</v>
      </c>
      <c r="N234" s="1">
        <v>0.72541560000000005</v>
      </c>
      <c r="O234" s="1">
        <v>0.38914704</v>
      </c>
      <c r="P234" s="1">
        <v>0.61085296</v>
      </c>
      <c r="Q234" s="4">
        <v>1</v>
      </c>
      <c r="R234" s="14">
        <v>1</v>
      </c>
      <c r="S234" s="14">
        <v>1</v>
      </c>
    </row>
    <row r="235" spans="1:19">
      <c r="A235" s="1">
        <v>1</v>
      </c>
      <c r="B235" s="1" t="s">
        <v>247</v>
      </c>
      <c r="C235" s="1">
        <v>2.9983421999999999E-2</v>
      </c>
      <c r="D235" s="1">
        <v>0.81099593999999997</v>
      </c>
      <c r="E235" s="1">
        <v>2.9418405000000002E-2</v>
      </c>
      <c r="F235" s="1">
        <v>0.78594710000000001</v>
      </c>
      <c r="G235" s="1">
        <v>1.5672202999999999E-2</v>
      </c>
      <c r="H235" s="1">
        <v>0.98432779999999998</v>
      </c>
      <c r="I235" s="1">
        <v>1.4890571E-3</v>
      </c>
      <c r="J235" s="1">
        <v>0.99851089999999998</v>
      </c>
      <c r="K235" s="1">
        <v>0.24809790000000001</v>
      </c>
      <c r="L235" s="1">
        <v>0.49019316000000002</v>
      </c>
      <c r="M235" s="1">
        <v>0.15934375000000001</v>
      </c>
      <c r="N235" s="1">
        <v>0.84065630000000002</v>
      </c>
      <c r="O235" s="1">
        <v>0.13468851000000001</v>
      </c>
      <c r="P235" s="1">
        <v>0.86531144000000004</v>
      </c>
      <c r="Q235" s="4">
        <v>1</v>
      </c>
      <c r="R235" s="14">
        <v>1</v>
      </c>
      <c r="S235" s="14">
        <v>1</v>
      </c>
    </row>
    <row r="236" spans="1:19">
      <c r="A236" s="1">
        <v>1</v>
      </c>
      <c r="B236" s="1" t="s">
        <v>248</v>
      </c>
      <c r="C236" s="1">
        <v>0.26190215</v>
      </c>
      <c r="D236" s="1">
        <v>0.76636325999999999</v>
      </c>
      <c r="E236" s="1">
        <v>0.18966466000000001</v>
      </c>
      <c r="F236" s="1">
        <v>0.78072613000000002</v>
      </c>
      <c r="G236" s="1">
        <v>0.11989526</v>
      </c>
      <c r="H236" s="1">
        <v>0.88010469999999996</v>
      </c>
      <c r="I236" s="1">
        <v>4.5901284000000001E-2</v>
      </c>
      <c r="J236" s="1">
        <v>0.95409876000000005</v>
      </c>
      <c r="K236" s="1">
        <v>0.22358670999999999</v>
      </c>
      <c r="L236" s="1">
        <v>0.24924244000000001</v>
      </c>
      <c r="M236" s="1">
        <v>0.41562359999999998</v>
      </c>
      <c r="N236" s="1">
        <v>0.58437634000000005</v>
      </c>
      <c r="O236" s="1">
        <v>0.28117662999999998</v>
      </c>
      <c r="P236" s="1">
        <v>0.71882330000000005</v>
      </c>
      <c r="Q236" s="4">
        <v>1</v>
      </c>
      <c r="R236" s="14">
        <v>1</v>
      </c>
      <c r="S236" s="14">
        <v>1</v>
      </c>
    </row>
    <row r="237" spans="1:19">
      <c r="A237" s="1">
        <v>1</v>
      </c>
      <c r="B237" s="1" t="s">
        <v>249</v>
      </c>
      <c r="C237" s="1">
        <v>0.35989310000000002</v>
      </c>
      <c r="D237" s="1">
        <v>0.6587459</v>
      </c>
      <c r="E237" s="1">
        <v>0.44026959999999998</v>
      </c>
      <c r="F237" s="1">
        <v>0.59179216999999995</v>
      </c>
      <c r="G237" s="1">
        <v>0.21705583000000001</v>
      </c>
      <c r="H237" s="1">
        <v>0.78294419999999998</v>
      </c>
      <c r="I237" s="1">
        <v>5.5250015E-2</v>
      </c>
      <c r="J237" s="1">
        <v>0.94474999999999998</v>
      </c>
      <c r="K237" s="1">
        <v>6.5821260000000006E-2</v>
      </c>
      <c r="L237" s="1">
        <v>0.39558073999999999</v>
      </c>
      <c r="M237" s="1">
        <v>3.5474556999999997E-2</v>
      </c>
      <c r="N237" s="1">
        <v>0.96452545999999995</v>
      </c>
      <c r="O237" s="1">
        <v>2.0154893E-2</v>
      </c>
      <c r="P237" s="1">
        <v>0.97984510000000002</v>
      </c>
      <c r="Q237" s="4">
        <v>1</v>
      </c>
      <c r="R237" s="14">
        <v>1</v>
      </c>
      <c r="S237" s="14">
        <v>1</v>
      </c>
    </row>
    <row r="238" spans="1:19">
      <c r="A238" s="1">
        <v>1</v>
      </c>
      <c r="B238" s="1" t="s">
        <v>250</v>
      </c>
      <c r="C238" s="1">
        <v>0.35280010000000001</v>
      </c>
      <c r="D238" s="1">
        <v>0.74032209999999998</v>
      </c>
      <c r="E238" s="1">
        <v>0.487095</v>
      </c>
      <c r="F238" s="1">
        <v>0.63532155999999995</v>
      </c>
      <c r="G238" s="1">
        <v>0.10853459</v>
      </c>
      <c r="H238" s="1">
        <v>0.89146550000000002</v>
      </c>
      <c r="I238" s="1">
        <v>0.2045623</v>
      </c>
      <c r="J238" s="1">
        <v>0.79543770000000003</v>
      </c>
      <c r="K238" s="1">
        <v>3.0150115000000002E-2</v>
      </c>
      <c r="L238" s="1">
        <v>0.55742340000000001</v>
      </c>
      <c r="M238" s="1">
        <v>1.2480221999999999E-2</v>
      </c>
      <c r="N238" s="1">
        <v>0.98751973999999998</v>
      </c>
      <c r="O238" s="1">
        <v>3.501899E-2</v>
      </c>
      <c r="P238" s="1">
        <v>0.96498099999999998</v>
      </c>
      <c r="Q238" s="4">
        <v>0</v>
      </c>
      <c r="R238" s="14">
        <v>1</v>
      </c>
      <c r="S238" s="14">
        <v>0</v>
      </c>
    </row>
    <row r="239" spans="1:19">
      <c r="A239" s="7">
        <v>1</v>
      </c>
      <c r="B239" s="7" t="s">
        <v>251</v>
      </c>
      <c r="C239" s="7">
        <v>0.70399610000000001</v>
      </c>
      <c r="D239" s="7">
        <v>0.43358996999999999</v>
      </c>
      <c r="E239" s="7">
        <v>0.74110600000000004</v>
      </c>
      <c r="F239" s="7">
        <v>0.40526040000000002</v>
      </c>
      <c r="G239" s="7">
        <v>0.88915219999999995</v>
      </c>
      <c r="H239" s="7">
        <v>0.110847816</v>
      </c>
      <c r="I239" s="7">
        <v>0.4710474</v>
      </c>
      <c r="J239" s="7">
        <v>0.5289526</v>
      </c>
      <c r="K239" s="7">
        <v>0.19839618000000001</v>
      </c>
      <c r="L239" s="7">
        <v>0.20595162</v>
      </c>
      <c r="M239" s="7">
        <v>0.24201618</v>
      </c>
      <c r="N239" s="7">
        <v>0.75798379999999999</v>
      </c>
      <c r="O239" s="7">
        <v>0.27175402999999998</v>
      </c>
      <c r="P239" s="7">
        <v>0.72824599999999995</v>
      </c>
      <c r="Q239" s="8">
        <v>0</v>
      </c>
      <c r="R239" s="16">
        <v>1</v>
      </c>
      <c r="S239" s="16">
        <v>1</v>
      </c>
    </row>
    <row r="240" spans="1:19">
      <c r="A240" s="7">
        <v>1</v>
      </c>
      <c r="B240" s="7" t="s">
        <v>252</v>
      </c>
      <c r="C240" s="7">
        <v>1.8416333999999999E-2</v>
      </c>
      <c r="D240" s="7">
        <v>0.80531406000000005</v>
      </c>
      <c r="E240" s="7">
        <v>0.14003678</v>
      </c>
      <c r="F240" s="7">
        <v>0.75098540000000003</v>
      </c>
      <c r="G240" s="7">
        <v>9.6509639999999997E-3</v>
      </c>
      <c r="H240" s="7">
        <v>0.99034904999999995</v>
      </c>
      <c r="I240" s="7">
        <v>6.9649094000000002E-3</v>
      </c>
      <c r="J240" s="7">
        <v>0.99303509999999995</v>
      </c>
      <c r="K240" s="7">
        <v>5.5416084999999997E-2</v>
      </c>
      <c r="L240" s="7">
        <v>0.25111620000000001</v>
      </c>
      <c r="M240" s="7">
        <v>4.8994660000000002E-2</v>
      </c>
      <c r="N240" s="7">
        <v>0.95100534000000003</v>
      </c>
      <c r="O240" s="7">
        <v>3.2638493999999997E-2</v>
      </c>
      <c r="P240" s="7">
        <v>0.96736149999999999</v>
      </c>
      <c r="Q240" s="8">
        <v>1</v>
      </c>
      <c r="R240" s="16">
        <v>1</v>
      </c>
      <c r="S240" s="16">
        <v>1</v>
      </c>
    </row>
    <row r="241" spans="1:19">
      <c r="A241" s="1">
        <v>1</v>
      </c>
      <c r="B241" s="1" t="s">
        <v>253</v>
      </c>
      <c r="C241" s="1">
        <v>0.11328718</v>
      </c>
      <c r="D241" s="1">
        <v>0.77763223999999997</v>
      </c>
      <c r="E241" s="1">
        <v>0.21623846999999999</v>
      </c>
      <c r="F241" s="1">
        <v>0.76321059999999996</v>
      </c>
      <c r="G241" s="1">
        <v>0.111368984</v>
      </c>
      <c r="H241" s="1">
        <v>0.88863099999999995</v>
      </c>
      <c r="I241" s="1">
        <v>6.919555E-3</v>
      </c>
      <c r="J241" s="1">
        <v>0.99308043999999995</v>
      </c>
      <c r="K241" s="1">
        <v>0.21448563000000001</v>
      </c>
      <c r="L241" s="1">
        <v>0.32573128000000001</v>
      </c>
      <c r="M241" s="1">
        <v>8.6380650000000003E-2</v>
      </c>
      <c r="N241" s="1">
        <v>0.91361934</v>
      </c>
      <c r="O241" s="1">
        <v>9.1090630000000006E-2</v>
      </c>
      <c r="P241" s="1">
        <v>0.90890939999999998</v>
      </c>
      <c r="Q241" s="4">
        <v>1</v>
      </c>
      <c r="R241" s="14">
        <v>1</v>
      </c>
      <c r="S241" s="14">
        <v>1</v>
      </c>
    </row>
    <row r="242" spans="1:19">
      <c r="A242" s="1">
        <v>1</v>
      </c>
      <c r="B242" s="1" t="s">
        <v>254</v>
      </c>
      <c r="C242" s="1">
        <v>0.22449126999999999</v>
      </c>
      <c r="D242" s="1">
        <v>0.71706057000000001</v>
      </c>
      <c r="E242" s="1">
        <v>0.5419119</v>
      </c>
      <c r="F242" s="1">
        <v>0.58597149999999998</v>
      </c>
      <c r="G242" s="1">
        <v>0.13286390000000001</v>
      </c>
      <c r="H242" s="1">
        <v>0.86713609999999997</v>
      </c>
      <c r="I242" s="1">
        <v>4.3030143E-2</v>
      </c>
      <c r="J242" s="1">
        <v>0.95696979999999998</v>
      </c>
      <c r="K242" s="1">
        <v>7.9182506E-2</v>
      </c>
      <c r="L242" s="1">
        <v>0.35967848000000002</v>
      </c>
      <c r="M242" s="1">
        <v>0.19262414999999999</v>
      </c>
      <c r="N242" s="1">
        <v>0.80737590000000004</v>
      </c>
      <c r="O242" s="1">
        <v>9.3807230000000005E-2</v>
      </c>
      <c r="P242" s="1">
        <v>0.90619269999999996</v>
      </c>
      <c r="Q242" s="4">
        <v>1</v>
      </c>
      <c r="R242" s="14">
        <v>1</v>
      </c>
      <c r="S242" s="14">
        <v>1</v>
      </c>
    </row>
    <row r="243" spans="1:19">
      <c r="A243" s="1">
        <v>1</v>
      </c>
      <c r="B243" s="1" t="s">
        <v>255</v>
      </c>
      <c r="C243" s="1">
        <v>0.57835703999999999</v>
      </c>
      <c r="D243" s="1">
        <v>0.61224054999999999</v>
      </c>
      <c r="E243" s="1">
        <v>0.70087929999999998</v>
      </c>
      <c r="F243" s="1">
        <v>0.38331767999999999</v>
      </c>
      <c r="G243" s="1">
        <v>0.47500828</v>
      </c>
      <c r="H243" s="1">
        <v>0.52499169999999995</v>
      </c>
      <c r="I243" s="1">
        <v>0.37209209999999998</v>
      </c>
      <c r="J243" s="1">
        <v>0.62790793</v>
      </c>
      <c r="K243" s="1">
        <v>0.170711</v>
      </c>
      <c r="L243" s="1">
        <v>0.23315896</v>
      </c>
      <c r="M243" s="1">
        <v>0.19554646000000001</v>
      </c>
      <c r="N243" s="1">
        <v>0.80445350000000004</v>
      </c>
      <c r="O243" s="1">
        <v>0.19702639</v>
      </c>
      <c r="P243" s="1">
        <v>0.80297370000000001</v>
      </c>
      <c r="Q243" s="4">
        <v>1</v>
      </c>
      <c r="R243" s="14">
        <v>1</v>
      </c>
      <c r="S243" s="14">
        <v>1</v>
      </c>
    </row>
    <row r="244" spans="1:19">
      <c r="A244" s="1">
        <v>1</v>
      </c>
      <c r="B244" s="1" t="s">
        <v>256</v>
      </c>
      <c r="C244" s="1">
        <v>0.36012100000000002</v>
      </c>
      <c r="D244" s="1">
        <v>0.74040866000000005</v>
      </c>
      <c r="E244" s="1">
        <v>0.55454250000000005</v>
      </c>
      <c r="F244" s="1">
        <v>0.65198299999999998</v>
      </c>
      <c r="G244" s="1">
        <v>0.44571936000000001</v>
      </c>
      <c r="H244" s="1">
        <v>0.55428069999999996</v>
      </c>
      <c r="I244" s="1">
        <v>0.14132348</v>
      </c>
      <c r="J244" s="1">
        <v>0.85867649999999995</v>
      </c>
      <c r="K244" s="1">
        <v>0.10789495</v>
      </c>
      <c r="L244" s="1">
        <v>0.34413319999999997</v>
      </c>
      <c r="M244" s="1">
        <v>0.14294493</v>
      </c>
      <c r="N244" s="1">
        <v>0.85705507000000003</v>
      </c>
      <c r="O244" s="1">
        <v>8.2805774999999998E-2</v>
      </c>
      <c r="P244" s="1">
        <v>0.91719424999999999</v>
      </c>
      <c r="Q244" s="4">
        <v>1</v>
      </c>
      <c r="R244" s="14">
        <v>1</v>
      </c>
      <c r="S244" s="14">
        <v>1</v>
      </c>
    </row>
    <row r="245" spans="1:19">
      <c r="A245" s="1">
        <v>1</v>
      </c>
      <c r="B245" s="1" t="s">
        <v>257</v>
      </c>
      <c r="C245" s="1">
        <v>0.72050464000000003</v>
      </c>
      <c r="D245" s="1">
        <v>0.45683755999999998</v>
      </c>
      <c r="E245" s="1">
        <v>0.58641370000000004</v>
      </c>
      <c r="F245" s="1">
        <v>0.61659280000000005</v>
      </c>
      <c r="G245" s="1">
        <v>0.68667305000000001</v>
      </c>
      <c r="H245" s="1">
        <v>0.31332693</v>
      </c>
      <c r="I245" s="1">
        <v>0.50504726</v>
      </c>
      <c r="J245" s="1">
        <v>0.49495267999999998</v>
      </c>
      <c r="K245" s="1">
        <v>0.18631025000000001</v>
      </c>
      <c r="L245" s="1">
        <v>0.2557895</v>
      </c>
      <c r="M245" s="1">
        <v>0.21402832999999999</v>
      </c>
      <c r="N245" s="1">
        <v>0.78597163999999997</v>
      </c>
      <c r="O245" s="1">
        <v>0.15125294</v>
      </c>
      <c r="P245" s="1">
        <v>0.84874709999999998</v>
      </c>
      <c r="Q245" s="4">
        <v>0</v>
      </c>
      <c r="R245" s="13">
        <v>1</v>
      </c>
      <c r="S245" s="14">
        <v>1</v>
      </c>
    </row>
    <row r="246" spans="1:19">
      <c r="A246" s="1">
        <v>1</v>
      </c>
      <c r="B246" s="1" t="s">
        <v>258</v>
      </c>
      <c r="C246" s="1">
        <v>0.21137900000000001</v>
      </c>
      <c r="D246" s="1">
        <v>0.77363720000000002</v>
      </c>
      <c r="E246" s="1">
        <v>7.7133103999999994E-2</v>
      </c>
      <c r="F246" s="1">
        <v>0.7788292</v>
      </c>
      <c r="G246" s="1">
        <v>4.5529793999999998E-2</v>
      </c>
      <c r="H246" s="1">
        <v>0.95447020000000005</v>
      </c>
      <c r="I246" s="1">
        <v>8.7124460000000004E-3</v>
      </c>
      <c r="J246" s="1">
        <v>0.99128749999999999</v>
      </c>
      <c r="K246" s="1">
        <v>9.6788554999999998E-2</v>
      </c>
      <c r="L246" s="1">
        <v>0.49318521999999998</v>
      </c>
      <c r="M246" s="1">
        <v>0.17000513</v>
      </c>
      <c r="N246" s="1">
        <v>0.82999486</v>
      </c>
      <c r="O246" s="1">
        <v>0.10575981399999999</v>
      </c>
      <c r="P246" s="1">
        <v>0.89424020000000004</v>
      </c>
      <c r="Q246" s="4">
        <v>1</v>
      </c>
      <c r="R246" s="14">
        <v>1</v>
      </c>
      <c r="S246" s="14">
        <v>1</v>
      </c>
    </row>
    <row r="247" spans="1:19">
      <c r="A247" s="1">
        <v>1</v>
      </c>
      <c r="B247" s="1" t="s">
        <v>259</v>
      </c>
      <c r="C247" s="1">
        <v>6.3031114999999999E-2</v>
      </c>
      <c r="D247" s="1">
        <v>0.80062849999999997</v>
      </c>
      <c r="E247" s="1">
        <v>0.13635824999999999</v>
      </c>
      <c r="F247" s="1">
        <v>0.80215139999999996</v>
      </c>
      <c r="G247" s="1">
        <v>0.14085016</v>
      </c>
      <c r="H247" s="1">
        <v>0.85914990000000002</v>
      </c>
      <c r="I247" s="1">
        <v>4.6668429999999997E-2</v>
      </c>
      <c r="J247" s="1">
        <v>0.95333159999999995</v>
      </c>
      <c r="K247" s="1">
        <v>0.18501860000000001</v>
      </c>
      <c r="L247" s="1">
        <v>0.38513481999999999</v>
      </c>
      <c r="M247" s="1">
        <v>0.16851752</v>
      </c>
      <c r="N247" s="1">
        <v>0.83148246999999997</v>
      </c>
      <c r="O247" s="1">
        <v>0.27858904000000001</v>
      </c>
      <c r="P247" s="1">
        <v>0.72141100000000002</v>
      </c>
      <c r="Q247" s="4">
        <v>1</v>
      </c>
      <c r="R247" s="14">
        <v>1</v>
      </c>
      <c r="S247" s="14">
        <v>1</v>
      </c>
    </row>
    <row r="248" spans="1:19">
      <c r="A248" s="1">
        <v>1</v>
      </c>
      <c r="B248" s="1" t="s">
        <v>260</v>
      </c>
      <c r="C248" s="1">
        <v>0.28154013</v>
      </c>
      <c r="D248" s="1">
        <v>0.74523399999999995</v>
      </c>
      <c r="E248" s="1">
        <v>0.35447469999999998</v>
      </c>
      <c r="F248" s="1">
        <v>0.72809409999999997</v>
      </c>
      <c r="G248" s="1">
        <v>0.13263517999999999</v>
      </c>
      <c r="H248" s="1">
        <v>0.86736480000000005</v>
      </c>
      <c r="I248" s="1">
        <v>8.501771E-3</v>
      </c>
      <c r="J248" s="1">
        <v>0.9914982</v>
      </c>
      <c r="K248" s="1">
        <v>0.12212845</v>
      </c>
      <c r="L248" s="1">
        <v>0.17773472000000001</v>
      </c>
      <c r="M248" s="1">
        <v>0.26637422999999999</v>
      </c>
      <c r="N248" s="1">
        <v>0.73362576999999995</v>
      </c>
      <c r="O248" s="1">
        <v>0.14175646</v>
      </c>
      <c r="P248" s="1">
        <v>0.85824350000000005</v>
      </c>
      <c r="Q248" s="4">
        <v>1</v>
      </c>
      <c r="R248" s="14">
        <v>1</v>
      </c>
      <c r="S248" s="14">
        <v>0</v>
      </c>
    </row>
    <row r="249" spans="1:19">
      <c r="A249" s="1">
        <v>1</v>
      </c>
      <c r="B249" s="1" t="s">
        <v>261</v>
      </c>
      <c r="C249" s="1">
        <v>0.68728509999999998</v>
      </c>
      <c r="D249" s="1">
        <v>0.19734952</v>
      </c>
      <c r="E249" s="1">
        <v>0.32498926</v>
      </c>
      <c r="F249" s="1">
        <v>0.71431789999999995</v>
      </c>
      <c r="G249" s="1">
        <v>0.14165016999999999</v>
      </c>
      <c r="H249" s="1">
        <v>0.85834980000000005</v>
      </c>
      <c r="I249" s="1">
        <v>0.63303745</v>
      </c>
      <c r="J249" s="1">
        <v>0.36696260000000003</v>
      </c>
      <c r="K249" s="1">
        <v>6.7870630000000001E-2</v>
      </c>
      <c r="L249" s="1">
        <v>0.45074636000000001</v>
      </c>
      <c r="M249" s="1">
        <v>0.40916037999999999</v>
      </c>
      <c r="N249" s="1">
        <v>0.59083956000000004</v>
      </c>
      <c r="O249" s="1">
        <v>0.40527004</v>
      </c>
      <c r="P249" s="1">
        <v>0.59472996</v>
      </c>
      <c r="Q249" s="4">
        <v>1</v>
      </c>
      <c r="R249" s="14">
        <v>1</v>
      </c>
      <c r="S249" s="14">
        <v>1</v>
      </c>
    </row>
    <row r="250" spans="1:19">
      <c r="A250" s="1">
        <v>1</v>
      </c>
      <c r="B250" s="1" t="s">
        <v>262</v>
      </c>
      <c r="C250" s="1">
        <v>0.23349244999999999</v>
      </c>
      <c r="D250" s="1">
        <v>0.74569832999999996</v>
      </c>
      <c r="E250" s="1">
        <v>0.3544331</v>
      </c>
      <c r="F250" s="1">
        <v>0.70986146000000006</v>
      </c>
      <c r="G250" s="1">
        <v>0.21203773000000001</v>
      </c>
      <c r="H250" s="1">
        <v>0.7879623</v>
      </c>
      <c r="I250" s="1">
        <v>6.6563233999999999E-2</v>
      </c>
      <c r="J250" s="1">
        <v>0.93343679999999996</v>
      </c>
      <c r="K250" s="1">
        <v>0.28823443999999998</v>
      </c>
      <c r="L250" s="1">
        <v>9.5906989999999998E-2</v>
      </c>
      <c r="M250" s="1">
        <v>0.44729856000000001</v>
      </c>
      <c r="N250" s="1">
        <v>0.55270149999999996</v>
      </c>
      <c r="O250" s="1">
        <v>0.26591461999999999</v>
      </c>
      <c r="P250" s="1">
        <v>0.7340854</v>
      </c>
      <c r="Q250" s="4">
        <v>1</v>
      </c>
      <c r="R250" s="14">
        <v>1</v>
      </c>
      <c r="S250" s="14">
        <v>1</v>
      </c>
    </row>
    <row r="251" spans="1:19">
      <c r="A251" s="1">
        <v>1</v>
      </c>
      <c r="B251" s="1" t="s">
        <v>263</v>
      </c>
      <c r="C251" s="1">
        <v>2.8310351000000001E-2</v>
      </c>
      <c r="D251" s="1">
        <v>0.80874760000000001</v>
      </c>
      <c r="E251" s="1">
        <v>0.114397824</v>
      </c>
      <c r="F251" s="1">
        <v>0.78130644999999999</v>
      </c>
      <c r="G251" s="1">
        <v>7.9023759999999998E-2</v>
      </c>
      <c r="H251" s="1">
        <v>0.92097620000000002</v>
      </c>
      <c r="I251" s="1">
        <v>1.9469451999999999E-3</v>
      </c>
      <c r="J251" s="1">
        <v>0.99805310000000003</v>
      </c>
      <c r="K251" s="1">
        <v>7.784431E-2</v>
      </c>
      <c r="L251" s="1">
        <v>0.31122544000000002</v>
      </c>
      <c r="M251" s="1">
        <v>4.3871899999999998E-2</v>
      </c>
      <c r="N251" s="1">
        <v>0.95612810000000004</v>
      </c>
      <c r="O251" s="1">
        <v>3.6673422999999997E-2</v>
      </c>
      <c r="P251" s="1">
        <v>0.96332649999999997</v>
      </c>
      <c r="Q251" s="4">
        <v>1</v>
      </c>
      <c r="R251" s="13">
        <v>1</v>
      </c>
      <c r="S251" s="14">
        <v>1</v>
      </c>
    </row>
    <row r="252" spans="1:19">
      <c r="A252" s="1">
        <v>1</v>
      </c>
      <c r="B252" s="1" t="s">
        <v>264</v>
      </c>
      <c r="C252" s="1">
        <v>4.0572904E-2</v>
      </c>
      <c r="D252" s="1">
        <v>0.79496383999999998</v>
      </c>
      <c r="E252" s="1">
        <v>8.4539920000000005E-2</v>
      </c>
      <c r="F252" s="1">
        <v>0.78316569999999996</v>
      </c>
      <c r="G252" s="1">
        <v>4.4108737000000002E-2</v>
      </c>
      <c r="H252" s="1">
        <v>0.95589124999999997</v>
      </c>
      <c r="I252" s="1">
        <v>7.7339234000000003E-3</v>
      </c>
      <c r="J252" s="1">
        <v>0.99226599999999998</v>
      </c>
      <c r="K252" s="1">
        <v>3.1943082999999997E-2</v>
      </c>
      <c r="L252" s="1">
        <v>0.5710809</v>
      </c>
      <c r="M252" s="1">
        <v>9.0065759999999995E-2</v>
      </c>
      <c r="N252" s="1">
        <v>0.90993420000000003</v>
      </c>
      <c r="O252" s="1">
        <v>4.1411877E-2</v>
      </c>
      <c r="P252" s="1">
        <v>0.9585882</v>
      </c>
      <c r="Q252" s="4">
        <v>1</v>
      </c>
      <c r="R252" s="14">
        <v>1</v>
      </c>
      <c r="S252" s="14">
        <v>1</v>
      </c>
    </row>
    <row r="253" spans="1:19">
      <c r="A253" s="1">
        <v>1</v>
      </c>
      <c r="B253" s="1" t="s">
        <v>265</v>
      </c>
      <c r="C253" s="1">
        <v>1.23077715E-2</v>
      </c>
      <c r="D253" s="1">
        <v>0.80253375000000005</v>
      </c>
      <c r="E253" s="1">
        <v>0.13494312999999999</v>
      </c>
      <c r="F253" s="1">
        <v>0.78243339999999995</v>
      </c>
      <c r="G253" s="1">
        <v>3.4256796999999999E-2</v>
      </c>
      <c r="H253" s="1">
        <v>0.96574324</v>
      </c>
      <c r="I253" s="1">
        <v>2.4511115999999999E-3</v>
      </c>
      <c r="J253" s="1">
        <v>0.99754889999999996</v>
      </c>
      <c r="K253" s="1">
        <v>7.3658860000000007E-2</v>
      </c>
      <c r="L253" s="1">
        <v>0.38989912999999998</v>
      </c>
      <c r="M253" s="1">
        <v>0.12060622</v>
      </c>
      <c r="N253" s="1">
        <v>0.8793938</v>
      </c>
      <c r="O253" s="1">
        <v>5.2377578000000001E-2</v>
      </c>
      <c r="P253" s="1">
        <v>0.94762250000000003</v>
      </c>
      <c r="Q253" s="4">
        <v>1</v>
      </c>
      <c r="R253" s="14">
        <v>1</v>
      </c>
      <c r="S253" s="14">
        <v>1</v>
      </c>
    </row>
    <row r="254" spans="1:19">
      <c r="A254" s="1">
        <v>1</v>
      </c>
      <c r="B254" s="1" t="s">
        <v>266</v>
      </c>
      <c r="C254" s="1">
        <v>3.8509282999999998E-2</v>
      </c>
      <c r="D254" s="1">
        <v>0.79289419999999999</v>
      </c>
      <c r="E254" s="1">
        <v>0.15931651999999999</v>
      </c>
      <c r="F254" s="1">
        <v>0.74045444000000005</v>
      </c>
      <c r="G254" s="1">
        <v>1.0952307E-2</v>
      </c>
      <c r="H254" s="1">
        <v>0.98904769999999997</v>
      </c>
      <c r="I254" s="1">
        <v>4.3309014E-3</v>
      </c>
      <c r="J254" s="1">
        <v>0.99566909999999997</v>
      </c>
      <c r="K254" s="1">
        <v>0.21134786</v>
      </c>
      <c r="L254" s="1">
        <v>0.31774762000000001</v>
      </c>
      <c r="M254" s="1">
        <v>0.16218442</v>
      </c>
      <c r="N254" s="1">
        <v>0.83781550000000005</v>
      </c>
      <c r="O254" s="1">
        <v>8.0783054000000007E-2</v>
      </c>
      <c r="P254" s="1">
        <v>0.91921693000000004</v>
      </c>
      <c r="Q254" s="4">
        <v>1</v>
      </c>
      <c r="R254" s="13">
        <v>0</v>
      </c>
      <c r="S254" s="14">
        <v>1</v>
      </c>
    </row>
    <row r="255" spans="1:19">
      <c r="A255" s="1">
        <v>1</v>
      </c>
      <c r="B255" s="1" t="s">
        <v>267</v>
      </c>
      <c r="C255" s="1">
        <v>0.55616736</v>
      </c>
      <c r="D255" s="1">
        <v>0.58036774000000002</v>
      </c>
      <c r="E255" s="1">
        <v>0.69095397000000003</v>
      </c>
      <c r="F255" s="1">
        <v>0.34916311999999999</v>
      </c>
      <c r="G255" s="1">
        <v>0.34350740000000002</v>
      </c>
      <c r="H255" s="1">
        <v>0.65649252999999996</v>
      </c>
      <c r="I255" s="1">
        <v>0.36883837000000003</v>
      </c>
      <c r="J255" s="1">
        <v>0.63116163000000003</v>
      </c>
      <c r="K255" s="1">
        <v>0.14605539000000001</v>
      </c>
      <c r="L255" s="1">
        <v>0.54736240000000003</v>
      </c>
      <c r="M255" s="1">
        <v>3.936344E-2</v>
      </c>
      <c r="N255" s="1">
        <v>0.96063655999999997</v>
      </c>
      <c r="O255" s="1">
        <v>2.6735981999999998E-2</v>
      </c>
      <c r="P255" s="1">
        <v>0.97326400000000002</v>
      </c>
      <c r="Q255" s="4">
        <v>1</v>
      </c>
      <c r="R255" s="13">
        <v>1</v>
      </c>
      <c r="S255" s="14">
        <v>1</v>
      </c>
    </row>
    <row r="256" spans="1:19">
      <c r="A256" s="1">
        <v>1</v>
      </c>
      <c r="B256" s="1" t="s">
        <v>268</v>
      </c>
      <c r="C256" s="1">
        <v>3.2408162999999997E-2</v>
      </c>
      <c r="D256" s="1">
        <v>0.79995936000000001</v>
      </c>
      <c r="E256" s="1">
        <v>0.25926860000000002</v>
      </c>
      <c r="F256" s="1">
        <v>0.75826510000000003</v>
      </c>
      <c r="G256" s="1">
        <v>0.33941144000000001</v>
      </c>
      <c r="H256" s="1">
        <v>0.66058855999999999</v>
      </c>
      <c r="I256" s="1">
        <v>1.3799205E-2</v>
      </c>
      <c r="J256" s="1">
        <v>0.98620074999999996</v>
      </c>
      <c r="K256" s="1">
        <v>9.3530020000000005E-2</v>
      </c>
      <c r="L256" s="1">
        <v>0.41230630000000001</v>
      </c>
      <c r="M256" s="1">
        <v>4.2735207999999997E-2</v>
      </c>
      <c r="N256" s="1">
        <v>0.95726480000000003</v>
      </c>
      <c r="O256" s="1">
        <v>1.5951876E-2</v>
      </c>
      <c r="P256" s="1">
        <v>0.98404809999999998</v>
      </c>
      <c r="Q256" s="4">
        <v>1</v>
      </c>
      <c r="R256" s="14">
        <v>1</v>
      </c>
      <c r="S256" s="14">
        <v>1</v>
      </c>
    </row>
    <row r="257" spans="1:19">
      <c r="A257" s="1">
        <v>1</v>
      </c>
      <c r="B257" s="1" t="s">
        <v>269</v>
      </c>
      <c r="C257" s="1">
        <v>2.6988140000000001E-2</v>
      </c>
      <c r="D257" s="1">
        <v>0.81223179999999995</v>
      </c>
      <c r="E257" s="1">
        <v>0.12732357</v>
      </c>
      <c r="F257" s="1">
        <v>0.78693133999999998</v>
      </c>
      <c r="G257" s="1">
        <v>4.3567553000000002E-2</v>
      </c>
      <c r="H257" s="1">
        <v>0.95643246000000004</v>
      </c>
      <c r="I257" s="1">
        <v>2.7211715999999999E-3</v>
      </c>
      <c r="J257" s="1">
        <v>0.99727887000000004</v>
      </c>
      <c r="K257" s="1">
        <v>8.0911280000000002E-2</v>
      </c>
      <c r="L257" s="1">
        <v>0.42449071999999999</v>
      </c>
      <c r="M257" s="1">
        <v>8.7834179999999998E-2</v>
      </c>
      <c r="N257" s="1">
        <v>0.91216580000000003</v>
      </c>
      <c r="O257" s="1">
        <v>9.8338030000000007E-2</v>
      </c>
      <c r="P257" s="1">
        <v>0.90166199999999996</v>
      </c>
      <c r="Q257" s="4">
        <v>0</v>
      </c>
      <c r="R257" s="14">
        <v>1</v>
      </c>
      <c r="S257" s="14">
        <v>1</v>
      </c>
    </row>
    <row r="258" spans="1:19">
      <c r="A258" s="1">
        <v>1</v>
      </c>
      <c r="B258" s="1" t="s">
        <v>270</v>
      </c>
      <c r="C258" s="1">
        <v>4.144718E-2</v>
      </c>
      <c r="D258" s="1">
        <v>0.79919419999999997</v>
      </c>
      <c r="E258" s="1">
        <v>0.14767498000000001</v>
      </c>
      <c r="F258" s="1">
        <v>0.77917044999999996</v>
      </c>
      <c r="G258" s="1">
        <v>1.27073955E-2</v>
      </c>
      <c r="H258" s="1">
        <v>0.98729264999999999</v>
      </c>
      <c r="I258" s="1">
        <v>1.7356774000000001E-3</v>
      </c>
      <c r="J258" s="1">
        <v>0.99826440000000005</v>
      </c>
      <c r="K258" s="1">
        <v>7.3624714999999993E-2</v>
      </c>
      <c r="L258" s="1">
        <v>0.55004969999999997</v>
      </c>
      <c r="M258" s="1">
        <v>8.6360599999999996E-2</v>
      </c>
      <c r="N258" s="1">
        <v>0.91363939999999999</v>
      </c>
      <c r="O258" s="1">
        <v>1.8704592999999999E-2</v>
      </c>
      <c r="P258" s="1">
        <v>0.98129546999999995</v>
      </c>
      <c r="Q258" s="4">
        <v>1</v>
      </c>
      <c r="R258" s="14">
        <v>1</v>
      </c>
      <c r="S258" s="14">
        <v>1</v>
      </c>
    </row>
    <row r="259" spans="1:19">
      <c r="A259" s="1">
        <v>1</v>
      </c>
      <c r="B259" s="1" t="s">
        <v>271</v>
      </c>
      <c r="C259" s="1">
        <v>7.2868879999999997E-2</v>
      </c>
      <c r="D259" s="1">
        <v>0.80907819999999997</v>
      </c>
      <c r="E259" s="1">
        <v>1.9383419999999998E-2</v>
      </c>
      <c r="F259" s="1">
        <v>0.79161429999999999</v>
      </c>
      <c r="G259" s="1">
        <v>7.9722200000000003E-3</v>
      </c>
      <c r="H259" s="1">
        <v>0.99202780000000002</v>
      </c>
      <c r="I259" s="1">
        <v>3.4937449999999999E-3</v>
      </c>
      <c r="J259" s="1">
        <v>0.99650629999999996</v>
      </c>
      <c r="K259" s="1">
        <v>6.1541297000000002E-2</v>
      </c>
      <c r="L259" s="1">
        <v>0.50130445000000001</v>
      </c>
      <c r="M259" s="1">
        <v>0.11464774599999999</v>
      </c>
      <c r="N259" s="1">
        <v>0.88535224999999995</v>
      </c>
      <c r="O259" s="1">
        <v>7.0146896E-2</v>
      </c>
      <c r="P259" s="1">
        <v>0.92985309999999999</v>
      </c>
      <c r="Q259" s="4">
        <v>1</v>
      </c>
      <c r="R259" s="14">
        <v>1</v>
      </c>
      <c r="S259" s="14">
        <v>1</v>
      </c>
    </row>
    <row r="260" spans="1:19">
      <c r="A260" s="1">
        <v>1</v>
      </c>
      <c r="B260" s="1" t="s">
        <v>272</v>
      </c>
      <c r="C260" s="1">
        <v>4.2137960000000002E-2</v>
      </c>
      <c r="D260" s="1">
        <v>0.78950005999999995</v>
      </c>
      <c r="E260" s="1">
        <v>0.25816408000000002</v>
      </c>
      <c r="F260" s="1">
        <v>0.73468129999999998</v>
      </c>
      <c r="G260" s="1">
        <v>7.3340139999999998E-2</v>
      </c>
      <c r="H260" s="1">
        <v>0.92665989999999998</v>
      </c>
      <c r="I260" s="1">
        <v>3.2509428E-2</v>
      </c>
      <c r="J260" s="1">
        <v>0.96749059999999998</v>
      </c>
      <c r="K260" s="1">
        <v>0.1698025</v>
      </c>
      <c r="L260" s="1">
        <v>0.34313487999999998</v>
      </c>
      <c r="M260" s="1">
        <v>0.16601832</v>
      </c>
      <c r="N260" s="1">
        <v>0.83398170000000005</v>
      </c>
      <c r="O260" s="1">
        <v>0.25486439999999999</v>
      </c>
      <c r="P260" s="1">
        <v>0.74513554999999998</v>
      </c>
      <c r="Q260" s="4">
        <v>0</v>
      </c>
      <c r="R260" s="14">
        <v>1</v>
      </c>
      <c r="S260" s="14">
        <v>1</v>
      </c>
    </row>
    <row r="261" spans="1:19">
      <c r="A261" s="1">
        <v>1</v>
      </c>
      <c r="B261" s="1" t="s">
        <v>273</v>
      </c>
      <c r="C261" s="1">
        <v>6.8145170000000005E-2</v>
      </c>
      <c r="D261" s="1">
        <v>0.80177003000000002</v>
      </c>
      <c r="E261" s="1">
        <v>4.8310585000000003E-2</v>
      </c>
      <c r="F261" s="1">
        <v>0.79990256000000004</v>
      </c>
      <c r="G261" s="1">
        <v>4.7271173E-3</v>
      </c>
      <c r="H261" s="1">
        <v>0.99527292999999994</v>
      </c>
      <c r="I261" s="1">
        <v>1.6276591000000001E-3</v>
      </c>
      <c r="J261" s="1">
        <v>0.99837240000000005</v>
      </c>
      <c r="K261" s="1">
        <v>8.2776039999999995E-2</v>
      </c>
      <c r="L261" s="1">
        <v>0.30539063</v>
      </c>
      <c r="M261" s="1">
        <v>0.17943585000000001</v>
      </c>
      <c r="N261" s="1">
        <v>0.82056410000000002</v>
      </c>
      <c r="O261" s="1">
        <v>4.1858594999999998E-2</v>
      </c>
      <c r="P261" s="1">
        <v>0.95814129999999997</v>
      </c>
      <c r="Q261" s="4">
        <v>1</v>
      </c>
      <c r="R261" s="14">
        <v>1</v>
      </c>
      <c r="S261" s="14">
        <v>1</v>
      </c>
    </row>
    <row r="262" spans="1:19">
      <c r="A262" s="1">
        <v>1</v>
      </c>
      <c r="B262" s="1" t="s">
        <v>274</v>
      </c>
      <c r="C262" s="1">
        <v>3.9711688000000002E-2</v>
      </c>
      <c r="D262" s="1">
        <v>0.79142049999999997</v>
      </c>
      <c r="E262" s="1">
        <v>0.12479137999999999</v>
      </c>
      <c r="F262" s="1">
        <v>0.75860139999999998</v>
      </c>
      <c r="G262" s="1">
        <v>8.917286E-3</v>
      </c>
      <c r="H262" s="1">
        <v>0.99108267000000005</v>
      </c>
      <c r="I262" s="1">
        <v>1.9251547999999999E-4</v>
      </c>
      <c r="J262" s="1">
        <v>0.99980754000000005</v>
      </c>
      <c r="K262" s="1">
        <v>0.14107786</v>
      </c>
      <c r="L262" s="1">
        <v>0.19408703999999999</v>
      </c>
      <c r="M262" s="1">
        <v>0.48441820000000002</v>
      </c>
      <c r="N262" s="1">
        <v>0.51558179999999998</v>
      </c>
      <c r="O262" s="1">
        <v>0.49714696000000003</v>
      </c>
      <c r="P262" s="1">
        <v>0.50285303999999997</v>
      </c>
      <c r="Q262" s="4">
        <v>1</v>
      </c>
      <c r="R262" s="14">
        <v>1</v>
      </c>
      <c r="S262" s="14">
        <v>1</v>
      </c>
    </row>
    <row r="263" spans="1:19">
      <c r="A263" s="7">
        <v>1</v>
      </c>
      <c r="B263" s="7" t="s">
        <v>275</v>
      </c>
      <c r="C263" s="7">
        <v>0.76536539999999997</v>
      </c>
      <c r="D263" s="7">
        <v>0.21745076999999999</v>
      </c>
      <c r="E263" s="7">
        <v>0.78064009999999995</v>
      </c>
      <c r="F263" s="7">
        <v>0.23184273999999999</v>
      </c>
      <c r="G263" s="7">
        <v>0.79520650000000004</v>
      </c>
      <c r="H263" s="7">
        <v>0.20479349999999999</v>
      </c>
      <c r="I263" s="7">
        <v>0.79995419999999995</v>
      </c>
      <c r="J263" s="7">
        <v>0.20004586999999999</v>
      </c>
      <c r="K263" s="7">
        <v>0.41616740000000002</v>
      </c>
      <c r="L263" s="7">
        <v>0.28506666000000003</v>
      </c>
      <c r="M263" s="7">
        <v>0.55132084999999997</v>
      </c>
      <c r="N263" s="7">
        <v>0.44867911999999999</v>
      </c>
      <c r="O263" s="7">
        <v>0.76944159999999995</v>
      </c>
      <c r="P263" s="7">
        <v>0.23055835</v>
      </c>
      <c r="Q263" s="8">
        <v>1</v>
      </c>
      <c r="R263" s="15">
        <v>0</v>
      </c>
      <c r="S263" s="16">
        <v>1</v>
      </c>
    </row>
    <row r="264" spans="1:19">
      <c r="A264" s="1">
        <v>1</v>
      </c>
      <c r="B264" s="1" t="s">
        <v>276</v>
      </c>
      <c r="C264" s="1">
        <v>2.589311E-2</v>
      </c>
      <c r="D264" s="1">
        <v>0.81363255000000001</v>
      </c>
      <c r="E264" s="1">
        <v>0.11370636000000001</v>
      </c>
      <c r="F264" s="1">
        <v>0.79376460000000004</v>
      </c>
      <c r="G264" s="1">
        <v>5.6890312999999998E-2</v>
      </c>
      <c r="H264" s="1">
        <v>0.94310970000000005</v>
      </c>
      <c r="I264" s="1">
        <v>8.1942040000000001E-3</v>
      </c>
      <c r="J264" s="1">
        <v>0.99180579999999996</v>
      </c>
      <c r="K264" s="1">
        <v>6.2582455999999995E-2</v>
      </c>
      <c r="L264" s="1">
        <v>0.39891293999999999</v>
      </c>
      <c r="M264" s="1">
        <v>0.15487614</v>
      </c>
      <c r="N264" s="1">
        <v>0.84512379999999998</v>
      </c>
      <c r="O264" s="1">
        <v>9.3221670000000006E-2</v>
      </c>
      <c r="P264" s="1">
        <v>0.90677834000000002</v>
      </c>
      <c r="Q264" s="4">
        <v>1</v>
      </c>
      <c r="R264" s="14">
        <v>1</v>
      </c>
      <c r="S264" s="14">
        <v>1</v>
      </c>
    </row>
    <row r="265" spans="1:19">
      <c r="A265" s="1">
        <v>1</v>
      </c>
      <c r="B265" s="1" t="s">
        <v>277</v>
      </c>
      <c r="C265" s="1">
        <v>0.20164831</v>
      </c>
      <c r="D265" s="1">
        <v>0.79514545000000003</v>
      </c>
      <c r="E265" s="1">
        <v>5.9486980000000002E-2</v>
      </c>
      <c r="F265" s="1">
        <v>0.80035080000000003</v>
      </c>
      <c r="G265" s="1">
        <v>0.12949163</v>
      </c>
      <c r="H265" s="1">
        <v>0.87050839999999996</v>
      </c>
      <c r="I265" s="1">
        <v>4.7116887000000003E-2</v>
      </c>
      <c r="J265" s="1">
        <v>0.95288306</v>
      </c>
      <c r="K265" s="1">
        <v>7.8188900000000006E-2</v>
      </c>
      <c r="L265" s="1">
        <v>0.49436444000000002</v>
      </c>
      <c r="M265" s="1">
        <v>0.111479856</v>
      </c>
      <c r="N265" s="1">
        <v>0.88852019999999998</v>
      </c>
      <c r="O265" s="1">
        <v>0.16168373999999999</v>
      </c>
      <c r="P265" s="1">
        <v>0.83831619999999996</v>
      </c>
      <c r="Q265" s="4">
        <v>0</v>
      </c>
      <c r="R265" s="14">
        <v>1</v>
      </c>
      <c r="S265" s="14">
        <v>1</v>
      </c>
    </row>
    <row r="266" spans="1:19">
      <c r="A266" s="1">
        <v>1</v>
      </c>
      <c r="B266" s="1" t="s">
        <v>278</v>
      </c>
      <c r="C266" s="1">
        <v>2.7161886999999999E-2</v>
      </c>
      <c r="D266" s="1">
        <v>0.80660620000000005</v>
      </c>
      <c r="E266" s="1">
        <v>8.6392829999999993E-3</v>
      </c>
      <c r="F266" s="1">
        <v>0.79188009999999998</v>
      </c>
      <c r="G266" s="1">
        <v>1.2619267999999999E-2</v>
      </c>
      <c r="H266" s="1">
        <v>0.98738073999999998</v>
      </c>
      <c r="I266" s="1">
        <v>3.3218408000000002E-4</v>
      </c>
      <c r="J266" s="1">
        <v>0.99966790000000005</v>
      </c>
      <c r="K266" s="1">
        <v>8.7669259999999995E-3</v>
      </c>
      <c r="L266" s="1">
        <v>0.58959013000000005</v>
      </c>
      <c r="M266" s="1">
        <v>4.6516679999999998E-2</v>
      </c>
      <c r="N266" s="1">
        <v>0.95348334000000001</v>
      </c>
      <c r="O266" s="1">
        <v>1.4923326000000001E-2</v>
      </c>
      <c r="P266" s="1">
        <v>0.98507670000000003</v>
      </c>
      <c r="Q266" s="4">
        <v>1</v>
      </c>
      <c r="R266" s="14">
        <v>1</v>
      </c>
      <c r="S266" s="14">
        <v>1</v>
      </c>
    </row>
    <row r="267" spans="1:19">
      <c r="A267" s="7">
        <v>1</v>
      </c>
      <c r="B267" s="7" t="s">
        <v>279</v>
      </c>
      <c r="C267" s="7">
        <v>2.7495120000000001E-2</v>
      </c>
      <c r="D267" s="7">
        <v>0.79551590000000005</v>
      </c>
      <c r="E267" s="7">
        <v>0.13505719999999999</v>
      </c>
      <c r="F267" s="7">
        <v>0.78841030000000001</v>
      </c>
      <c r="G267" s="7">
        <v>0.12383787</v>
      </c>
      <c r="H267" s="7">
        <v>0.8761622</v>
      </c>
      <c r="I267" s="7">
        <v>0.1578329</v>
      </c>
      <c r="J267" s="7">
        <v>0.84216709999999995</v>
      </c>
      <c r="K267" s="7">
        <v>8.5300829999999994E-2</v>
      </c>
      <c r="L267" s="7">
        <v>0.27089990000000003</v>
      </c>
      <c r="M267" s="7">
        <v>0.30217776000000002</v>
      </c>
      <c r="N267" s="7">
        <v>0.69782219999999995</v>
      </c>
      <c r="O267" s="7">
        <v>0.14498553</v>
      </c>
      <c r="P267" s="7">
        <v>0.85501450000000001</v>
      </c>
      <c r="Q267" s="8">
        <v>1</v>
      </c>
      <c r="R267" s="16">
        <v>1</v>
      </c>
      <c r="S267" s="16">
        <v>1</v>
      </c>
    </row>
    <row r="268" spans="1:19">
      <c r="A268" s="1">
        <v>1</v>
      </c>
      <c r="B268" s="1" t="s">
        <v>280</v>
      </c>
      <c r="C268" s="1">
        <v>0.22867218</v>
      </c>
      <c r="D268" s="1">
        <v>0.76047589999999998</v>
      </c>
      <c r="E268" s="1">
        <v>0.45879694999999998</v>
      </c>
      <c r="F268" s="1">
        <v>0.67395689999999997</v>
      </c>
      <c r="G268" s="1">
        <v>0.39691100000000001</v>
      </c>
      <c r="H268" s="1">
        <v>0.60308899999999999</v>
      </c>
      <c r="I268" s="1">
        <v>0.18845161999999999</v>
      </c>
      <c r="J268" s="1">
        <v>0.81154839999999995</v>
      </c>
      <c r="K268" s="1">
        <v>4.5355838000000002E-2</v>
      </c>
      <c r="L268" s="1">
        <v>0.37085170000000001</v>
      </c>
      <c r="M268" s="1">
        <v>5.2394780000000002E-2</v>
      </c>
      <c r="N268" s="1">
        <v>0.94760524999999995</v>
      </c>
      <c r="O268" s="1">
        <v>4.8955039999999998E-2</v>
      </c>
      <c r="P268" s="1">
        <v>0.95104489999999997</v>
      </c>
      <c r="Q268" s="4">
        <v>1</v>
      </c>
      <c r="R268" s="14">
        <v>1</v>
      </c>
      <c r="S268" s="14">
        <v>1</v>
      </c>
    </row>
    <row r="269" spans="1:19">
      <c r="A269" s="1">
        <v>1</v>
      </c>
      <c r="B269" s="1" t="s">
        <v>281</v>
      </c>
      <c r="C269" s="1">
        <v>0.22299272000000001</v>
      </c>
      <c r="D269" s="1">
        <v>0.71560460000000004</v>
      </c>
      <c r="E269" s="1">
        <v>0.60013970000000005</v>
      </c>
      <c r="F269" s="1">
        <v>0.52562160000000002</v>
      </c>
      <c r="G269" s="1">
        <v>0.14952016000000001</v>
      </c>
      <c r="H269" s="1">
        <v>0.85047980000000001</v>
      </c>
      <c r="I269" s="1">
        <v>2.3056129000000002E-2</v>
      </c>
      <c r="J269" s="1">
        <v>0.97694389999999998</v>
      </c>
      <c r="K269" s="1">
        <v>4.3977889999999999E-2</v>
      </c>
      <c r="L269" s="1">
        <v>0.56335299999999999</v>
      </c>
      <c r="M269" s="1">
        <v>7.9032749999999995E-3</v>
      </c>
      <c r="N269" s="1">
        <v>0.99209665999999996</v>
      </c>
      <c r="O269" s="1">
        <v>4.5733801999999997E-2</v>
      </c>
      <c r="P269" s="1">
        <v>0.95426624999999998</v>
      </c>
      <c r="Q269" s="4">
        <v>1</v>
      </c>
      <c r="R269" s="14">
        <v>1</v>
      </c>
      <c r="S269" s="14">
        <v>1</v>
      </c>
    </row>
    <row r="270" spans="1:19">
      <c r="A270" s="1">
        <v>1</v>
      </c>
      <c r="B270" s="1" t="s">
        <v>282</v>
      </c>
      <c r="C270" s="1">
        <v>0.24465497999999999</v>
      </c>
      <c r="D270" s="1">
        <v>0.72207664999999999</v>
      </c>
      <c r="E270" s="1">
        <v>0.27312025000000001</v>
      </c>
      <c r="F270" s="1">
        <v>0.73578613999999998</v>
      </c>
      <c r="G270" s="1">
        <v>7.9711184000000004E-2</v>
      </c>
      <c r="H270" s="1">
        <v>0.92028880000000002</v>
      </c>
      <c r="I270" s="1">
        <v>0.19287582</v>
      </c>
      <c r="J270" s="1">
        <v>0.80712419999999996</v>
      </c>
      <c r="K270" s="1">
        <v>0.17124958000000001</v>
      </c>
      <c r="L270" s="1">
        <v>0.17642496999999999</v>
      </c>
      <c r="M270" s="1">
        <v>0.46499111999999998</v>
      </c>
      <c r="N270" s="1">
        <v>0.53500884999999998</v>
      </c>
      <c r="O270" s="1">
        <v>0.44114756999999999</v>
      </c>
      <c r="P270" s="1">
        <v>0.55885240000000003</v>
      </c>
      <c r="Q270" s="4">
        <v>1</v>
      </c>
      <c r="R270" s="14">
        <v>1</v>
      </c>
      <c r="S270" s="14">
        <v>1</v>
      </c>
    </row>
    <row r="271" spans="1:19">
      <c r="A271" s="1">
        <v>1</v>
      </c>
      <c r="B271" s="1" t="s">
        <v>283</v>
      </c>
      <c r="C271" s="1">
        <v>7.3509229999999995E-2</v>
      </c>
      <c r="D271" s="1">
        <v>0.79800945999999995</v>
      </c>
      <c r="E271" s="1">
        <v>0.22473465000000001</v>
      </c>
      <c r="F271" s="1">
        <v>0.75815290000000002</v>
      </c>
      <c r="G271" s="1">
        <v>3.5252869999999999E-2</v>
      </c>
      <c r="H271" s="1">
        <v>0.96474709999999997</v>
      </c>
      <c r="I271" s="1">
        <v>9.8915530000000008E-3</v>
      </c>
      <c r="J271" s="1">
        <v>0.99010849999999995</v>
      </c>
      <c r="K271" s="1">
        <v>0.19955513999999999</v>
      </c>
      <c r="L271" s="1">
        <v>0.30802515000000003</v>
      </c>
      <c r="M271" s="1">
        <v>0.10237538</v>
      </c>
      <c r="N271" s="1">
        <v>0.89762459999999999</v>
      </c>
      <c r="O271" s="1">
        <v>4.6409002999999997E-2</v>
      </c>
      <c r="P271" s="1">
        <v>0.95359090000000002</v>
      </c>
      <c r="Q271" s="4">
        <v>1</v>
      </c>
      <c r="R271" s="14">
        <v>1</v>
      </c>
      <c r="S271" s="14">
        <v>1</v>
      </c>
    </row>
    <row r="272" spans="1:19">
      <c r="A272" s="1">
        <v>1</v>
      </c>
      <c r="B272" s="1" t="s">
        <v>284</v>
      </c>
      <c r="C272" s="1">
        <v>8.607501E-3</v>
      </c>
      <c r="D272" s="1">
        <v>0.81249534999999995</v>
      </c>
      <c r="E272" s="1">
        <v>9.8033389999999995E-3</v>
      </c>
      <c r="F272" s="1">
        <v>0.78925869999999998</v>
      </c>
      <c r="G272" s="1">
        <v>1.1786614000000001E-2</v>
      </c>
      <c r="H272" s="1">
        <v>0.98821336000000004</v>
      </c>
      <c r="I272" s="1">
        <v>4.3033129999999996E-3</v>
      </c>
      <c r="J272" s="1">
        <v>0.99569666000000001</v>
      </c>
      <c r="K272" s="1">
        <v>0.100447156</v>
      </c>
      <c r="L272" s="1">
        <v>0.49020287000000001</v>
      </c>
      <c r="M272" s="1">
        <v>0.10816351</v>
      </c>
      <c r="N272" s="1">
        <v>0.89183650000000003</v>
      </c>
      <c r="O272" s="1">
        <v>6.5873870000000001E-2</v>
      </c>
      <c r="P272" s="1">
        <v>0.93412614000000005</v>
      </c>
      <c r="Q272" s="4">
        <v>1</v>
      </c>
      <c r="R272" s="14">
        <v>1</v>
      </c>
      <c r="S272" s="14">
        <v>1</v>
      </c>
    </row>
    <row r="273" spans="1:19">
      <c r="A273" s="1">
        <v>1</v>
      </c>
      <c r="B273" s="1" t="s">
        <v>285</v>
      </c>
      <c r="C273" s="1">
        <v>5.9160534000000001E-2</v>
      </c>
      <c r="D273" s="1">
        <v>0.79287284999999996</v>
      </c>
      <c r="E273" s="1">
        <v>1.7670697999999999E-2</v>
      </c>
      <c r="F273" s="1">
        <v>0.80644179999999999</v>
      </c>
      <c r="G273" s="1">
        <v>1.8027956000000001E-2</v>
      </c>
      <c r="H273" s="1">
        <v>0.98197204000000005</v>
      </c>
      <c r="I273" s="1">
        <v>9.1586635E-4</v>
      </c>
      <c r="J273" s="1">
        <v>0.99908410000000003</v>
      </c>
      <c r="K273" s="1">
        <v>6.1931937999999999E-2</v>
      </c>
      <c r="L273" s="1">
        <v>0.53708160000000005</v>
      </c>
      <c r="M273" s="1">
        <v>4.7744952E-2</v>
      </c>
      <c r="N273" s="1">
        <v>0.95225510000000002</v>
      </c>
      <c r="O273" s="1">
        <v>3.3778710000000003E-2</v>
      </c>
      <c r="P273" s="1">
        <v>0.96622132999999999</v>
      </c>
      <c r="Q273" s="4">
        <v>1</v>
      </c>
      <c r="R273" s="14">
        <v>1</v>
      </c>
      <c r="S273" s="14">
        <v>1</v>
      </c>
    </row>
    <row r="274" spans="1:19">
      <c r="A274" s="7">
        <v>1</v>
      </c>
      <c r="B274" s="7" t="s">
        <v>286</v>
      </c>
      <c r="C274" s="7">
        <v>0.12939127</v>
      </c>
      <c r="D274" s="7">
        <v>0.78808909999999999</v>
      </c>
      <c r="E274" s="7">
        <v>0.14462618999999999</v>
      </c>
      <c r="F274" s="7">
        <v>0.76220304000000005</v>
      </c>
      <c r="G274" s="7">
        <v>0.10875619</v>
      </c>
      <c r="H274" s="7">
        <v>0.89124380000000003</v>
      </c>
      <c r="I274" s="7">
        <v>4.4560469999999998E-2</v>
      </c>
      <c r="J274" s="7">
        <v>0.9554395</v>
      </c>
      <c r="K274" s="7">
        <v>4.5378706999999997E-2</v>
      </c>
      <c r="L274" s="7">
        <v>0.46355626</v>
      </c>
      <c r="M274" s="7">
        <v>0.115950055</v>
      </c>
      <c r="N274" s="7">
        <v>0.88404990000000006</v>
      </c>
      <c r="O274" s="7">
        <v>6.1506356999999998E-2</v>
      </c>
      <c r="P274" s="7">
        <v>0.93849360000000004</v>
      </c>
      <c r="Q274" s="8">
        <v>1</v>
      </c>
      <c r="R274" s="16">
        <v>1</v>
      </c>
      <c r="S274" s="16">
        <v>1</v>
      </c>
    </row>
    <row r="275" spans="1:19">
      <c r="A275" s="1">
        <v>1</v>
      </c>
      <c r="B275" s="5" t="s">
        <v>287</v>
      </c>
      <c r="C275" s="5">
        <v>2.6762296000000001E-2</v>
      </c>
      <c r="D275" s="5">
        <v>0.79750209999999999</v>
      </c>
      <c r="E275" s="5">
        <v>0.19588912999999999</v>
      </c>
      <c r="F275" s="5">
        <v>0.75681209999999999</v>
      </c>
      <c r="G275" s="5">
        <v>9.5592745000000007E-2</v>
      </c>
      <c r="H275" s="5">
        <v>0.90440726000000005</v>
      </c>
      <c r="I275" s="5">
        <v>3.1842344000000002E-2</v>
      </c>
      <c r="J275" s="5">
        <v>0.96815764999999998</v>
      </c>
      <c r="K275" s="5">
        <v>6.6571779999999997E-2</v>
      </c>
      <c r="L275" s="5">
        <v>0.26750143999999998</v>
      </c>
      <c r="M275" s="5">
        <v>0.55110079999999995</v>
      </c>
      <c r="N275" s="5">
        <v>0.44889923999999998</v>
      </c>
      <c r="O275" s="5">
        <v>0.3793339</v>
      </c>
      <c r="P275" s="5">
        <v>0.6206661</v>
      </c>
      <c r="Q275" s="4">
        <v>1</v>
      </c>
      <c r="R275" s="14">
        <v>1</v>
      </c>
      <c r="S275" s="14">
        <v>1</v>
      </c>
    </row>
    <row r="276" spans="1:19">
      <c r="A276" s="1">
        <v>1</v>
      </c>
      <c r="B276" s="1" t="s">
        <v>288</v>
      </c>
      <c r="C276" s="1">
        <v>0.13567565000000001</v>
      </c>
      <c r="D276" s="1">
        <v>0.77864646999999998</v>
      </c>
      <c r="E276" s="1">
        <v>9.5710956E-2</v>
      </c>
      <c r="F276" s="1">
        <v>0.78068309999999996</v>
      </c>
      <c r="G276" s="1">
        <v>6.3185149999999995E-2</v>
      </c>
      <c r="H276" s="1">
        <v>0.93681479999999995</v>
      </c>
      <c r="I276" s="1">
        <v>1.9912480999999999E-2</v>
      </c>
      <c r="J276" s="1">
        <v>0.98008746000000002</v>
      </c>
      <c r="K276" s="1">
        <v>0.35809737000000003</v>
      </c>
      <c r="L276" s="1">
        <v>2.7629826E-2</v>
      </c>
      <c r="M276" s="1">
        <v>0.59566945000000004</v>
      </c>
      <c r="N276" s="1">
        <v>0.40433055000000001</v>
      </c>
      <c r="O276" s="1">
        <v>0.47213509999999997</v>
      </c>
      <c r="P276" s="1">
        <v>0.52786493000000001</v>
      </c>
      <c r="Q276" s="4">
        <v>0</v>
      </c>
      <c r="R276" s="13">
        <v>0</v>
      </c>
      <c r="S276" s="14">
        <v>1</v>
      </c>
    </row>
    <row r="277" spans="1:19">
      <c r="A277" s="1">
        <v>1</v>
      </c>
      <c r="B277" s="1" t="s">
        <v>289</v>
      </c>
      <c r="C277" s="1">
        <v>5.9838827999999997E-2</v>
      </c>
      <c r="D277" s="1">
        <v>0.80387160000000002</v>
      </c>
      <c r="E277" s="1">
        <v>7.3899283999999996E-2</v>
      </c>
      <c r="F277" s="1">
        <v>0.79557323000000002</v>
      </c>
      <c r="G277" s="1">
        <v>1.0030057E-2</v>
      </c>
      <c r="H277" s="1">
        <v>0.98996989999999996</v>
      </c>
      <c r="I277" s="1">
        <v>1.839011E-3</v>
      </c>
      <c r="J277" s="1">
        <v>0.99816099999999996</v>
      </c>
      <c r="K277" s="1">
        <v>1.8169721999999999E-2</v>
      </c>
      <c r="L277" s="1">
        <v>0.35733446000000002</v>
      </c>
      <c r="M277" s="1">
        <v>7.6387460000000004E-2</v>
      </c>
      <c r="N277" s="1">
        <v>0.92361249999999995</v>
      </c>
      <c r="O277" s="1">
        <v>2.2437675000000001E-2</v>
      </c>
      <c r="P277" s="1">
        <v>0.9775623</v>
      </c>
      <c r="Q277" s="4">
        <v>1</v>
      </c>
      <c r="R277" s="14">
        <v>1</v>
      </c>
      <c r="S277" s="14">
        <v>1</v>
      </c>
    </row>
    <row r="278" spans="1:19">
      <c r="A278" s="1">
        <v>1</v>
      </c>
      <c r="B278" s="1" t="s">
        <v>290</v>
      </c>
      <c r="C278" s="1">
        <v>0.22409805999999999</v>
      </c>
      <c r="D278" s="1">
        <v>0.75488292999999995</v>
      </c>
      <c r="E278" s="1">
        <v>3.6995596999999998E-2</v>
      </c>
      <c r="F278" s="1">
        <v>0.78602004000000003</v>
      </c>
      <c r="G278" s="1">
        <v>2.9332297E-2</v>
      </c>
      <c r="H278" s="1">
        <v>0.97066766000000004</v>
      </c>
      <c r="I278" s="1">
        <v>4.2728795999999996E-3</v>
      </c>
      <c r="J278" s="1">
        <v>0.99572720000000003</v>
      </c>
      <c r="K278" s="1">
        <v>0.12004046</v>
      </c>
      <c r="L278" s="1">
        <v>0.38498968</v>
      </c>
      <c r="M278" s="1">
        <v>0.41854015</v>
      </c>
      <c r="N278" s="1">
        <v>0.58145979999999997</v>
      </c>
      <c r="O278" s="1">
        <v>0.28317624000000002</v>
      </c>
      <c r="P278" s="1">
        <v>0.71682376000000003</v>
      </c>
      <c r="Q278" s="4">
        <v>1</v>
      </c>
      <c r="R278" s="14">
        <v>1</v>
      </c>
      <c r="S278" s="14">
        <v>1</v>
      </c>
    </row>
    <row r="279" spans="1:19">
      <c r="Q279" s="4"/>
      <c r="R279" s="13"/>
      <c r="S279" s="14"/>
    </row>
    <row r="280" spans="1:19">
      <c r="A280" s="1" t="s">
        <v>291</v>
      </c>
      <c r="Q280" s="4"/>
      <c r="R280" s="13"/>
      <c r="S280" s="14"/>
    </row>
    <row r="281" spans="1:19">
      <c r="A281" s="1">
        <v>0</v>
      </c>
      <c r="B281" s="1" t="s">
        <v>292</v>
      </c>
      <c r="C281" s="1">
        <v>0.67908173999999999</v>
      </c>
      <c r="D281" s="1">
        <v>0.44853662999999999</v>
      </c>
      <c r="E281" s="1">
        <v>0.74705429999999995</v>
      </c>
      <c r="F281" s="1">
        <v>0.42220095000000002</v>
      </c>
      <c r="G281" s="1">
        <v>0.77760359999999995</v>
      </c>
      <c r="H281" s="1">
        <v>0.22239642000000001</v>
      </c>
      <c r="I281" s="1">
        <v>0.32677980000000001</v>
      </c>
      <c r="J281" s="1">
        <v>0.67322015999999996</v>
      </c>
      <c r="K281" s="1">
        <v>8.5374599999999995E-2</v>
      </c>
      <c r="L281" s="1">
        <v>0.48244654999999997</v>
      </c>
      <c r="M281" s="1">
        <v>4.3926816E-2</v>
      </c>
      <c r="N281" s="1">
        <v>0.95607315999999998</v>
      </c>
      <c r="O281" s="1">
        <v>0.12694672000000001</v>
      </c>
      <c r="P281" s="1">
        <v>0.87305330000000003</v>
      </c>
      <c r="Q281" s="4">
        <v>0</v>
      </c>
      <c r="R281" s="13">
        <v>0</v>
      </c>
      <c r="S281" s="14">
        <v>1</v>
      </c>
    </row>
    <row r="282" spans="1:19">
      <c r="A282" s="1">
        <v>0</v>
      </c>
      <c r="B282" s="1" t="s">
        <v>293</v>
      </c>
      <c r="C282" s="1">
        <v>0.79968505999999995</v>
      </c>
      <c r="D282" s="1">
        <v>0.13962698000000001</v>
      </c>
      <c r="E282" s="1">
        <v>0.80281186000000004</v>
      </c>
      <c r="F282" s="1">
        <v>0.19966584000000001</v>
      </c>
      <c r="G282" s="1">
        <v>0.98058239999999997</v>
      </c>
      <c r="H282" s="1">
        <v>1.9417628999999999E-2</v>
      </c>
      <c r="I282" s="1">
        <v>0.95014540000000003</v>
      </c>
      <c r="J282" s="1">
        <v>4.9854549999999997E-2</v>
      </c>
      <c r="K282" s="1">
        <v>0.22462146</v>
      </c>
      <c r="L282" s="1">
        <v>4.8909303000000001E-2</v>
      </c>
      <c r="M282" s="1">
        <v>0.70694040000000002</v>
      </c>
      <c r="N282" s="1">
        <v>0.29305956</v>
      </c>
      <c r="O282" s="1">
        <v>0.78685063</v>
      </c>
      <c r="P282" s="1">
        <v>0.21314937</v>
      </c>
      <c r="Q282" s="4">
        <v>0</v>
      </c>
      <c r="R282" s="13">
        <v>0</v>
      </c>
      <c r="S282" s="14">
        <v>0</v>
      </c>
    </row>
    <row r="283" spans="1:19">
      <c r="A283" s="1">
        <v>0</v>
      </c>
      <c r="B283" s="1" t="s">
        <v>294</v>
      </c>
      <c r="C283" s="1">
        <v>0.81549320000000003</v>
      </c>
      <c r="D283" s="1">
        <v>8.9151785000000008E-3</v>
      </c>
      <c r="E283" s="1">
        <v>0.79256179999999998</v>
      </c>
      <c r="F283" s="1">
        <v>9.3846395999999999E-2</v>
      </c>
      <c r="G283" s="1">
        <v>0.97958540000000005</v>
      </c>
      <c r="H283" s="1">
        <v>2.0414656E-2</v>
      </c>
      <c r="I283" s="1">
        <v>0.99155176</v>
      </c>
      <c r="J283" s="1">
        <v>8.4483195000000007E-3</v>
      </c>
      <c r="K283" s="1">
        <v>0.38302594000000001</v>
      </c>
      <c r="L283" s="1">
        <v>3.3020984000000003E-2</v>
      </c>
      <c r="M283" s="1">
        <v>0.70054110000000003</v>
      </c>
      <c r="N283" s="1">
        <v>0.29945892000000002</v>
      </c>
      <c r="O283" s="1">
        <v>0.8496821</v>
      </c>
      <c r="P283" s="1">
        <v>0.15031791999999999</v>
      </c>
      <c r="Q283" s="4">
        <v>0</v>
      </c>
      <c r="R283" s="13">
        <v>0</v>
      </c>
      <c r="S283" s="14">
        <v>0</v>
      </c>
    </row>
    <row r="284" spans="1:19">
      <c r="A284" s="1">
        <v>0</v>
      </c>
      <c r="B284" s="1" t="s">
        <v>295</v>
      </c>
      <c r="C284" s="1">
        <v>0.76084094999999996</v>
      </c>
      <c r="D284" s="1">
        <v>0.22512995</v>
      </c>
      <c r="E284" s="1">
        <v>0.71040015999999995</v>
      </c>
      <c r="F284" s="1">
        <v>0.42358659999999998</v>
      </c>
      <c r="G284" s="1">
        <v>0.65538525999999997</v>
      </c>
      <c r="H284" s="1">
        <v>0.34461473999999997</v>
      </c>
      <c r="I284" s="1">
        <v>0.80695974999999998</v>
      </c>
      <c r="J284" s="1">
        <v>0.1930402</v>
      </c>
      <c r="K284" s="1">
        <v>0.36396253000000001</v>
      </c>
      <c r="L284" s="1">
        <v>6.5643549999999995E-2</v>
      </c>
      <c r="M284" s="1">
        <v>0.74645930000000005</v>
      </c>
      <c r="N284" s="1">
        <v>0.25354065999999997</v>
      </c>
      <c r="O284" s="1">
        <v>0.96157587</v>
      </c>
      <c r="P284" s="1">
        <v>3.8424153000000003E-2</v>
      </c>
      <c r="Q284" s="4">
        <v>0</v>
      </c>
      <c r="R284" s="13">
        <v>0</v>
      </c>
      <c r="S284" s="14">
        <v>0</v>
      </c>
    </row>
    <row r="285" spans="1:19">
      <c r="A285" s="1">
        <v>0</v>
      </c>
      <c r="B285" s="1" t="s">
        <v>296</v>
      </c>
      <c r="C285" s="1">
        <v>0.65869635000000004</v>
      </c>
      <c r="D285" s="1">
        <v>0.47329092</v>
      </c>
      <c r="E285" s="1">
        <v>0.70052974999999995</v>
      </c>
      <c r="F285" s="1">
        <v>0.5003782</v>
      </c>
      <c r="G285" s="1">
        <v>0.71877440000000004</v>
      </c>
      <c r="H285" s="1">
        <v>0.28122560000000002</v>
      </c>
      <c r="I285" s="1">
        <v>0.88612009999999997</v>
      </c>
      <c r="J285" s="1">
        <v>0.11387991</v>
      </c>
      <c r="K285" s="1">
        <v>0.12237047</v>
      </c>
      <c r="L285" s="1">
        <v>4.2159393000000003E-2</v>
      </c>
      <c r="M285" s="1">
        <v>0.65962905000000005</v>
      </c>
      <c r="N285" s="1">
        <v>0.34037099999999998</v>
      </c>
      <c r="O285" s="1">
        <v>0.57125090000000001</v>
      </c>
      <c r="P285" s="1">
        <v>0.42874908</v>
      </c>
      <c r="Q285" s="4">
        <v>0</v>
      </c>
      <c r="R285" s="13">
        <v>0</v>
      </c>
      <c r="S285" s="14">
        <v>0</v>
      </c>
    </row>
    <row r="286" spans="1:19">
      <c r="A286" s="1">
        <v>0</v>
      </c>
      <c r="B286" s="1" t="s">
        <v>297</v>
      </c>
      <c r="C286" s="1">
        <v>6.7502950000000006E-2</v>
      </c>
      <c r="D286" s="1">
        <v>0.76735489999999995</v>
      </c>
      <c r="E286" s="1">
        <v>0.41654511999999999</v>
      </c>
      <c r="F286" s="1">
        <v>0.68140579999999995</v>
      </c>
      <c r="G286" s="1">
        <v>0.31667113000000002</v>
      </c>
      <c r="H286" s="1">
        <v>0.68332886999999998</v>
      </c>
      <c r="I286" s="1">
        <v>2.1275525999999999E-2</v>
      </c>
      <c r="J286" s="1">
        <v>0.97872440000000005</v>
      </c>
      <c r="K286" s="1">
        <v>0.10105096500000001</v>
      </c>
      <c r="L286" s="1">
        <v>0.3053109</v>
      </c>
      <c r="M286" s="1">
        <v>4.685313E-2</v>
      </c>
      <c r="N286" s="1">
        <v>0.95314692999999995</v>
      </c>
      <c r="O286" s="1">
        <v>4.2463559999999997E-2</v>
      </c>
      <c r="P286" s="1">
        <v>0.95753639999999995</v>
      </c>
      <c r="Q286" s="4">
        <v>1</v>
      </c>
      <c r="R286" s="13">
        <v>0</v>
      </c>
      <c r="S286" s="14">
        <v>0</v>
      </c>
    </row>
    <row r="287" spans="1:19">
      <c r="A287" s="1">
        <v>0</v>
      </c>
      <c r="B287" s="1" t="s">
        <v>298</v>
      </c>
      <c r="C287" s="1">
        <v>0.31506634</v>
      </c>
      <c r="D287" s="1">
        <v>0.67570319999999995</v>
      </c>
      <c r="E287" s="1">
        <v>0.66825789999999996</v>
      </c>
      <c r="F287" s="1">
        <v>0.51271515999999995</v>
      </c>
      <c r="G287" s="1">
        <v>0.60970029999999997</v>
      </c>
      <c r="H287" s="1">
        <v>0.39029970000000003</v>
      </c>
      <c r="I287" s="1">
        <v>0.10394278999999999</v>
      </c>
      <c r="J287" s="1">
        <v>0.8960572</v>
      </c>
      <c r="K287" s="1">
        <v>0.10714636</v>
      </c>
      <c r="L287" s="1">
        <v>9.5321619999999996E-2</v>
      </c>
      <c r="M287" s="1">
        <v>0.38678615999999999</v>
      </c>
      <c r="N287" s="1">
        <v>0.61321384000000001</v>
      </c>
      <c r="O287" s="1">
        <v>0.64801883999999998</v>
      </c>
      <c r="P287" s="1">
        <v>0.35198109999999999</v>
      </c>
      <c r="Q287" s="4">
        <v>0</v>
      </c>
      <c r="R287" s="13">
        <v>0</v>
      </c>
      <c r="S287" s="14">
        <v>0</v>
      </c>
    </row>
    <row r="288" spans="1:19">
      <c r="A288" s="1">
        <v>0</v>
      </c>
      <c r="B288" s="1" t="s">
        <v>299</v>
      </c>
      <c r="C288" s="1">
        <v>0.33301177999999998</v>
      </c>
      <c r="D288" s="1">
        <v>0.70282489999999997</v>
      </c>
      <c r="E288" s="1">
        <v>0.26685851999999999</v>
      </c>
      <c r="F288" s="1">
        <v>0.75668895000000003</v>
      </c>
      <c r="G288" s="1">
        <v>0.26458537999999998</v>
      </c>
      <c r="H288" s="1">
        <v>0.73541460000000003</v>
      </c>
      <c r="I288" s="1">
        <v>9.9074789999999996E-2</v>
      </c>
      <c r="J288" s="1">
        <v>0.90092516</v>
      </c>
      <c r="K288" s="1">
        <v>0.19705838000000001</v>
      </c>
      <c r="L288" s="1">
        <v>0.425784</v>
      </c>
      <c r="M288" s="1">
        <v>0.10786879000000001</v>
      </c>
      <c r="N288" s="1">
        <v>0.89213120000000001</v>
      </c>
      <c r="O288" s="1">
        <v>0.22761086</v>
      </c>
      <c r="P288" s="1">
        <v>0.7723892</v>
      </c>
      <c r="Q288" s="4">
        <v>0</v>
      </c>
      <c r="R288" s="13">
        <v>0</v>
      </c>
      <c r="S288" s="14">
        <v>0</v>
      </c>
    </row>
    <row r="289" spans="1:19">
      <c r="A289" s="1">
        <v>0</v>
      </c>
      <c r="B289" s="1" t="s">
        <v>300</v>
      </c>
      <c r="C289" s="1">
        <v>0.79716164</v>
      </c>
      <c r="D289" s="1">
        <v>9.1226840000000003E-2</v>
      </c>
      <c r="E289" s="1">
        <v>0.78383510000000001</v>
      </c>
      <c r="F289" s="1">
        <v>0.27123269999999999</v>
      </c>
      <c r="G289" s="1">
        <v>0.89058804999999996</v>
      </c>
      <c r="H289" s="1">
        <v>0.10941195500000001</v>
      </c>
      <c r="I289" s="1">
        <v>0.97098463999999995</v>
      </c>
      <c r="J289" s="1">
        <v>2.9015389999999999E-2</v>
      </c>
      <c r="K289" s="1">
        <v>0.24299841999999999</v>
      </c>
      <c r="L289" s="1">
        <v>3.8037493999999998E-2</v>
      </c>
      <c r="M289" s="1">
        <v>0.80786144999999998</v>
      </c>
      <c r="N289" s="1">
        <v>0.19213852000000001</v>
      </c>
      <c r="O289" s="1">
        <v>0.74870247000000001</v>
      </c>
      <c r="P289" s="1">
        <v>0.25129755999999998</v>
      </c>
      <c r="Q289" s="4">
        <v>0</v>
      </c>
      <c r="R289" s="13">
        <v>0</v>
      </c>
      <c r="S289" s="14">
        <v>1</v>
      </c>
    </row>
    <row r="290" spans="1:19">
      <c r="A290" s="1">
        <v>0</v>
      </c>
      <c r="B290" s="1" t="s">
        <v>301</v>
      </c>
      <c r="C290" s="1">
        <v>0.12604417000000001</v>
      </c>
      <c r="D290" s="1">
        <v>0.78191029999999995</v>
      </c>
      <c r="E290" s="1">
        <v>0.40005479999999999</v>
      </c>
      <c r="F290" s="1">
        <v>0.70669890000000002</v>
      </c>
      <c r="G290" s="1">
        <v>0.20691080000000001</v>
      </c>
      <c r="H290" s="1">
        <v>0.79308915000000002</v>
      </c>
      <c r="I290" s="1">
        <v>0.11780127999999999</v>
      </c>
      <c r="J290" s="1">
        <v>0.88219875000000003</v>
      </c>
      <c r="K290" s="1">
        <v>9.3165090000000006E-2</v>
      </c>
      <c r="L290" s="1">
        <v>0.17148736000000001</v>
      </c>
      <c r="M290" s="1">
        <v>0.2053422</v>
      </c>
      <c r="N290" s="1">
        <v>0.79465779999999997</v>
      </c>
      <c r="O290" s="1">
        <v>0.15259631000000001</v>
      </c>
      <c r="P290" s="1">
        <v>0.84740364999999995</v>
      </c>
      <c r="Q290" s="4">
        <v>1</v>
      </c>
      <c r="R290" s="13">
        <v>0</v>
      </c>
      <c r="S290" s="14">
        <v>0</v>
      </c>
    </row>
    <row r="291" spans="1:19">
      <c r="A291" s="1">
        <v>0</v>
      </c>
      <c r="B291" s="1" t="s">
        <v>302</v>
      </c>
      <c r="C291" s="1">
        <v>0.51985689999999996</v>
      </c>
      <c r="D291" s="1">
        <v>0.66213460000000002</v>
      </c>
      <c r="E291" s="1">
        <v>0.49901423</v>
      </c>
      <c r="F291" s="1">
        <v>0.6855289</v>
      </c>
      <c r="G291" s="1">
        <v>0.1804993</v>
      </c>
      <c r="H291" s="1">
        <v>0.81950069999999997</v>
      </c>
      <c r="I291" s="1">
        <v>0.28953983999999999</v>
      </c>
      <c r="J291" s="1">
        <v>0.71046010000000004</v>
      </c>
      <c r="K291" s="1">
        <v>0.21543815999999999</v>
      </c>
      <c r="L291" s="1">
        <v>0.48449130000000001</v>
      </c>
      <c r="M291" s="1">
        <v>0.22306570000000001</v>
      </c>
      <c r="N291" s="1">
        <v>0.77693429999999997</v>
      </c>
      <c r="O291" s="1">
        <v>0.15466578</v>
      </c>
      <c r="P291" s="1">
        <v>0.84533420000000004</v>
      </c>
      <c r="Q291" s="4">
        <v>0</v>
      </c>
      <c r="R291" s="13">
        <v>0</v>
      </c>
      <c r="S291" s="14">
        <v>0</v>
      </c>
    </row>
    <row r="292" spans="1:19">
      <c r="A292" s="7">
        <v>0</v>
      </c>
      <c r="B292" s="7" t="s">
        <v>303</v>
      </c>
      <c r="C292" s="7">
        <v>0.81733389999999995</v>
      </c>
      <c r="D292" s="7">
        <v>1.5111216E-2</v>
      </c>
      <c r="E292" s="7">
        <v>0.79827493000000005</v>
      </c>
      <c r="F292" s="7">
        <v>9.9783629999999998E-2</v>
      </c>
      <c r="G292" s="7">
        <v>0.97872099999999995</v>
      </c>
      <c r="H292" s="7">
        <v>2.1278957000000001E-2</v>
      </c>
      <c r="I292" s="7">
        <v>0.98924016999999997</v>
      </c>
      <c r="J292" s="7">
        <v>1.0759830499999999E-2</v>
      </c>
      <c r="K292" s="7">
        <v>0.38020408</v>
      </c>
      <c r="L292" s="7">
        <v>7.3735075999999998E-3</v>
      </c>
      <c r="M292" s="7">
        <v>0.76924669999999995</v>
      </c>
      <c r="N292" s="7">
        <v>0.23075329999999999</v>
      </c>
      <c r="O292" s="7">
        <v>0.68717850000000003</v>
      </c>
      <c r="P292" s="7">
        <v>0.31282145</v>
      </c>
      <c r="Q292" s="8">
        <v>1</v>
      </c>
      <c r="R292" s="16">
        <v>1</v>
      </c>
      <c r="S292" s="16">
        <v>1</v>
      </c>
    </row>
    <row r="293" spans="1:19">
      <c r="A293" s="1">
        <v>0</v>
      </c>
      <c r="B293" s="1" t="s">
        <v>304</v>
      </c>
      <c r="C293" s="1">
        <v>0.77942719999999999</v>
      </c>
      <c r="D293" s="1">
        <v>0.26666450000000003</v>
      </c>
      <c r="E293" s="1">
        <v>0.71807500000000002</v>
      </c>
      <c r="F293" s="1">
        <v>0.4896472</v>
      </c>
      <c r="G293" s="1">
        <v>0.73205620000000005</v>
      </c>
      <c r="H293" s="1">
        <v>0.26794380000000001</v>
      </c>
      <c r="I293" s="1">
        <v>0.81902280000000005</v>
      </c>
      <c r="J293" s="1">
        <v>0.18097727999999999</v>
      </c>
      <c r="K293" s="1">
        <v>0.27169636000000003</v>
      </c>
      <c r="L293" s="1">
        <v>0.29558432000000001</v>
      </c>
      <c r="M293" s="1">
        <v>0.56097969999999997</v>
      </c>
      <c r="N293" s="1">
        <v>0.43902027999999998</v>
      </c>
      <c r="O293" s="1">
        <v>0.56772864000000001</v>
      </c>
      <c r="P293" s="1">
        <v>0.43227135999999999</v>
      </c>
      <c r="Q293" s="4">
        <v>0</v>
      </c>
      <c r="R293" s="13">
        <v>0</v>
      </c>
      <c r="S293" s="14">
        <v>0</v>
      </c>
    </row>
    <row r="294" spans="1:19">
      <c r="A294" s="1">
        <v>0</v>
      </c>
      <c r="B294" s="1" t="s">
        <v>305</v>
      </c>
      <c r="C294" s="1">
        <v>0.78446439999999995</v>
      </c>
      <c r="D294" s="1">
        <v>0.18589447000000001</v>
      </c>
      <c r="E294" s="1">
        <v>0.77298239999999996</v>
      </c>
      <c r="F294" s="1">
        <v>0.23330540999999999</v>
      </c>
      <c r="G294" s="1">
        <v>0.86866730000000003</v>
      </c>
      <c r="H294" s="1">
        <v>0.1313327</v>
      </c>
      <c r="I294" s="1">
        <v>0.8773976</v>
      </c>
      <c r="J294" s="1">
        <v>0.12260245</v>
      </c>
      <c r="K294" s="1">
        <v>0.27848237999999997</v>
      </c>
      <c r="L294" s="1">
        <v>0.32121283</v>
      </c>
      <c r="M294" s="1">
        <v>0.34857382999999997</v>
      </c>
      <c r="N294" s="1">
        <v>0.65142619999999996</v>
      </c>
      <c r="O294" s="1">
        <v>0.54214759999999995</v>
      </c>
      <c r="P294" s="1">
        <v>0.45785239999999999</v>
      </c>
      <c r="Q294" s="4">
        <v>1</v>
      </c>
      <c r="R294" s="13">
        <v>0</v>
      </c>
      <c r="S294" s="14">
        <v>0</v>
      </c>
    </row>
    <row r="295" spans="1:19">
      <c r="A295" s="1">
        <v>0</v>
      </c>
      <c r="B295" s="1" t="s">
        <v>306</v>
      </c>
      <c r="C295" s="1">
        <v>0.61464189999999996</v>
      </c>
      <c r="D295" s="1">
        <v>0.58237225000000004</v>
      </c>
      <c r="E295" s="1">
        <v>0.76151764</v>
      </c>
      <c r="F295" s="1">
        <v>0.32699889999999998</v>
      </c>
      <c r="G295" s="1">
        <v>0.89623719999999996</v>
      </c>
      <c r="H295" s="1">
        <v>0.10376277</v>
      </c>
      <c r="I295" s="1">
        <v>0.87781065999999996</v>
      </c>
      <c r="J295" s="1">
        <v>0.12218937000000001</v>
      </c>
      <c r="K295" s="1">
        <v>0.22952504000000001</v>
      </c>
      <c r="L295" s="1">
        <v>3.9043806E-2</v>
      </c>
      <c r="M295" s="1">
        <v>0.59540563999999996</v>
      </c>
      <c r="N295" s="1">
        <v>0.40459433</v>
      </c>
      <c r="O295" s="1">
        <v>0.41132439999999998</v>
      </c>
      <c r="P295" s="1">
        <v>0.58867555999999999</v>
      </c>
      <c r="Q295" s="4">
        <v>0</v>
      </c>
      <c r="R295" s="13">
        <v>0</v>
      </c>
      <c r="S295" s="14">
        <v>0</v>
      </c>
    </row>
    <row r="296" spans="1:19">
      <c r="A296" s="1">
        <v>0</v>
      </c>
      <c r="B296" s="1" t="s">
        <v>307</v>
      </c>
      <c r="C296" s="1">
        <v>0.50907089999999999</v>
      </c>
      <c r="D296" s="1">
        <v>0.68376064000000003</v>
      </c>
      <c r="E296" s="1">
        <v>0.75870040000000005</v>
      </c>
      <c r="F296" s="1">
        <v>0.41266113999999998</v>
      </c>
      <c r="G296" s="1">
        <v>0.58932709999999999</v>
      </c>
      <c r="H296" s="1">
        <v>0.41067290000000001</v>
      </c>
      <c r="I296" s="1">
        <v>0.24085906000000001</v>
      </c>
      <c r="J296" s="1">
        <v>0.75914097000000003</v>
      </c>
      <c r="K296" s="1">
        <v>9.5903619999999995E-2</v>
      </c>
      <c r="L296" s="1">
        <v>0.25305462000000001</v>
      </c>
      <c r="M296" s="1">
        <v>0.29393535999999998</v>
      </c>
      <c r="N296" s="1">
        <v>0.70606464000000002</v>
      </c>
      <c r="O296" s="1">
        <v>0.17480311000000001</v>
      </c>
      <c r="P296" s="1">
        <v>0.82519686000000003</v>
      </c>
      <c r="Q296" s="4">
        <v>1</v>
      </c>
      <c r="R296" s="13">
        <v>0</v>
      </c>
      <c r="S296" s="14">
        <v>1</v>
      </c>
    </row>
    <row r="297" spans="1:19">
      <c r="A297" s="1">
        <v>0</v>
      </c>
      <c r="B297" s="5" t="s">
        <v>308</v>
      </c>
      <c r="C297" s="5">
        <v>0.80256486000000005</v>
      </c>
      <c r="D297" s="5">
        <v>1.4618367E-2</v>
      </c>
      <c r="E297" s="5">
        <v>0.79112559999999998</v>
      </c>
      <c r="F297" s="5">
        <v>0.1698257</v>
      </c>
      <c r="G297" s="5">
        <v>0.88838165999999996</v>
      </c>
      <c r="H297" s="5">
        <v>0.11161833</v>
      </c>
      <c r="I297" s="5">
        <v>0.98872674000000005</v>
      </c>
      <c r="J297" s="5">
        <v>1.1273261999999999E-2</v>
      </c>
      <c r="K297" s="5">
        <v>0.25576757999999999</v>
      </c>
      <c r="L297" s="5">
        <v>1.6675929999999999E-2</v>
      </c>
      <c r="M297" s="5">
        <v>0.68972765999999996</v>
      </c>
      <c r="N297" s="5">
        <v>0.31027233999999998</v>
      </c>
      <c r="O297" s="5">
        <v>0.74519639999999998</v>
      </c>
      <c r="P297" s="5">
        <v>0.25480360000000002</v>
      </c>
      <c r="Q297" s="4">
        <v>0</v>
      </c>
      <c r="R297" s="13">
        <v>0</v>
      </c>
      <c r="S297" s="14">
        <v>0</v>
      </c>
    </row>
    <row r="298" spans="1:19">
      <c r="A298" s="7">
        <v>0</v>
      </c>
      <c r="B298" s="7" t="s">
        <v>309</v>
      </c>
      <c r="C298" s="7">
        <v>0.62801397000000003</v>
      </c>
      <c r="D298" s="7">
        <v>0.51815604999999998</v>
      </c>
      <c r="E298" s="7">
        <v>0.60865709999999995</v>
      </c>
      <c r="F298" s="7">
        <v>0.58902060000000001</v>
      </c>
      <c r="G298" s="7">
        <v>0.33506366999999998</v>
      </c>
      <c r="H298" s="7">
        <v>0.66493630000000004</v>
      </c>
      <c r="I298" s="7">
        <v>0.73440709999999998</v>
      </c>
      <c r="J298" s="7">
        <v>0.26559286999999998</v>
      </c>
      <c r="K298" s="7">
        <v>0.17826833</v>
      </c>
      <c r="L298" s="7">
        <v>0.35378273999999998</v>
      </c>
      <c r="M298" s="7">
        <v>0.52445410000000003</v>
      </c>
      <c r="N298" s="7">
        <v>0.47554587999999998</v>
      </c>
      <c r="O298" s="7">
        <v>0.67816776000000001</v>
      </c>
      <c r="P298" s="7">
        <v>0.32183230000000002</v>
      </c>
      <c r="Q298" s="8">
        <v>1</v>
      </c>
      <c r="R298" s="16">
        <v>1</v>
      </c>
      <c r="S298" s="16">
        <v>1</v>
      </c>
    </row>
    <row r="299" spans="1:19">
      <c r="A299" s="1">
        <v>0</v>
      </c>
      <c r="B299" s="1" t="s">
        <v>310</v>
      </c>
      <c r="C299" s="1">
        <v>0.78712020000000005</v>
      </c>
      <c r="D299" s="1">
        <v>8.7692889999999996E-2</v>
      </c>
      <c r="E299" s="1">
        <v>0.79551274000000005</v>
      </c>
      <c r="F299" s="1">
        <v>0.16372444999999999</v>
      </c>
      <c r="G299" s="1">
        <v>0.9717808</v>
      </c>
      <c r="H299" s="1">
        <v>2.8219244000000001E-2</v>
      </c>
      <c r="I299" s="1">
        <v>0.9618255</v>
      </c>
      <c r="J299" s="1">
        <v>3.8174562000000002E-2</v>
      </c>
      <c r="K299" s="1">
        <v>0.25235096000000001</v>
      </c>
      <c r="L299" s="1">
        <v>0.12270389499999999</v>
      </c>
      <c r="M299" s="1">
        <v>0.69945380000000001</v>
      </c>
      <c r="N299" s="1">
        <v>0.30054626000000001</v>
      </c>
      <c r="O299" s="1">
        <v>0.88928750000000001</v>
      </c>
      <c r="P299" s="1">
        <v>0.11071251</v>
      </c>
      <c r="Q299" s="4">
        <v>0</v>
      </c>
      <c r="R299" s="13">
        <v>0</v>
      </c>
      <c r="S299" s="14">
        <v>0</v>
      </c>
    </row>
    <row r="300" spans="1:19">
      <c r="A300" s="1">
        <v>0</v>
      </c>
      <c r="B300" s="1" t="s">
        <v>311</v>
      </c>
      <c r="C300" s="1">
        <v>0.81131920000000002</v>
      </c>
      <c r="D300" s="1">
        <v>1.6462267999999999E-2</v>
      </c>
      <c r="E300" s="1">
        <v>0.80568090000000003</v>
      </c>
      <c r="F300" s="1">
        <v>8.8867255000000006E-2</v>
      </c>
      <c r="G300" s="1">
        <v>0.98626893999999998</v>
      </c>
      <c r="H300" s="1">
        <v>1.3731042000000001E-2</v>
      </c>
      <c r="I300" s="1">
        <v>0.98595739999999998</v>
      </c>
      <c r="J300" s="1">
        <v>1.4042658E-2</v>
      </c>
      <c r="K300" s="1">
        <v>0.20298079999999999</v>
      </c>
      <c r="L300" s="1">
        <v>0.18072722999999999</v>
      </c>
      <c r="M300" s="1">
        <v>0.67781590000000003</v>
      </c>
      <c r="N300" s="1">
        <v>0.32218405999999999</v>
      </c>
      <c r="O300" s="1">
        <v>0.90803902999999997</v>
      </c>
      <c r="P300" s="1">
        <v>9.1961003999999999E-2</v>
      </c>
      <c r="Q300" s="4">
        <v>0</v>
      </c>
      <c r="R300" s="13">
        <v>0</v>
      </c>
      <c r="S300" s="14">
        <v>0</v>
      </c>
    </row>
    <row r="301" spans="1:19">
      <c r="A301" s="1">
        <v>0</v>
      </c>
      <c r="B301" s="1" t="s">
        <v>312</v>
      </c>
      <c r="C301" s="1">
        <v>0.74960979999999999</v>
      </c>
      <c r="D301" s="1">
        <v>0.21355508000000001</v>
      </c>
      <c r="E301" s="1">
        <v>0.7172172</v>
      </c>
      <c r="F301" s="1">
        <v>0.38515916</v>
      </c>
      <c r="G301" s="1">
        <v>0.85966414000000002</v>
      </c>
      <c r="H301" s="1">
        <v>0.14033581000000001</v>
      </c>
      <c r="I301" s="1">
        <v>0.90002567</v>
      </c>
      <c r="J301" s="1">
        <v>9.9974333999999998E-2</v>
      </c>
      <c r="K301" s="1">
        <v>0.19740716</v>
      </c>
      <c r="L301" s="1">
        <v>8.3125660000000004E-3</v>
      </c>
      <c r="M301" s="1">
        <v>0.67724127000000001</v>
      </c>
      <c r="N301" s="1">
        <v>0.32275880000000001</v>
      </c>
      <c r="O301" s="1">
        <v>0.57503400000000005</v>
      </c>
      <c r="P301" s="1">
        <v>0.42496592</v>
      </c>
      <c r="Q301" s="4">
        <v>0</v>
      </c>
      <c r="R301" s="13">
        <v>0</v>
      </c>
      <c r="S301" s="14">
        <v>0</v>
      </c>
    </row>
    <row r="302" spans="1:19">
      <c r="A302" s="1">
        <v>0</v>
      </c>
      <c r="B302" s="1" t="s">
        <v>313</v>
      </c>
      <c r="C302" s="1">
        <v>0.50463349999999996</v>
      </c>
      <c r="D302" s="1">
        <v>0.66627409999999998</v>
      </c>
      <c r="E302" s="1">
        <v>0.73436254000000001</v>
      </c>
      <c r="F302" s="1">
        <v>0.39952559999999998</v>
      </c>
      <c r="G302" s="1">
        <v>0.47149356999999997</v>
      </c>
      <c r="H302" s="1">
        <v>0.52850646000000001</v>
      </c>
      <c r="I302" s="1">
        <v>0.15035227000000001</v>
      </c>
      <c r="J302" s="1">
        <v>0.84964775999999997</v>
      </c>
      <c r="K302" s="1">
        <v>0.16206480000000001</v>
      </c>
      <c r="L302" s="1">
        <v>2.9860793E-2</v>
      </c>
      <c r="M302" s="1">
        <v>0.6932606</v>
      </c>
      <c r="N302" s="1">
        <v>0.30673936000000002</v>
      </c>
      <c r="O302" s="1">
        <v>0.58309084</v>
      </c>
      <c r="P302" s="1">
        <v>0.41690916</v>
      </c>
      <c r="Q302" s="4">
        <v>0</v>
      </c>
      <c r="R302" s="13">
        <v>0</v>
      </c>
      <c r="S302" s="14">
        <v>0</v>
      </c>
    </row>
    <row r="303" spans="1:19">
      <c r="A303" s="1">
        <v>0</v>
      </c>
      <c r="B303" s="1" t="s">
        <v>314</v>
      </c>
      <c r="C303" s="1">
        <v>0.80901979999999996</v>
      </c>
      <c r="D303" s="1">
        <v>9.2431869999999999E-3</v>
      </c>
      <c r="E303" s="1">
        <v>0.79495859999999996</v>
      </c>
      <c r="F303" s="1">
        <v>0.14150096000000001</v>
      </c>
      <c r="G303" s="1">
        <v>0.90615809999999997</v>
      </c>
      <c r="H303" s="1">
        <v>9.3841960000000002E-2</v>
      </c>
      <c r="I303" s="1">
        <v>0.98543809999999998</v>
      </c>
      <c r="J303" s="1">
        <v>1.4561871000000001E-2</v>
      </c>
      <c r="K303" s="1">
        <v>0.23522425</v>
      </c>
      <c r="L303" s="1">
        <v>0.121208414</v>
      </c>
      <c r="M303" s="1">
        <v>0.79297720000000005</v>
      </c>
      <c r="N303" s="1">
        <v>0.20702276999999999</v>
      </c>
      <c r="O303" s="1">
        <v>0.92478435999999997</v>
      </c>
      <c r="P303" s="1">
        <v>7.5215615E-2</v>
      </c>
      <c r="Q303" s="4">
        <v>0</v>
      </c>
      <c r="R303" s="13">
        <v>0</v>
      </c>
      <c r="S303" s="14">
        <v>0</v>
      </c>
    </row>
    <row r="304" spans="1:19">
      <c r="A304" s="1">
        <v>0</v>
      </c>
      <c r="B304" s="1" t="s">
        <v>315</v>
      </c>
      <c r="C304" s="1">
        <v>0.80114067</v>
      </c>
      <c r="D304" s="1">
        <v>1.6284643000000001E-2</v>
      </c>
      <c r="E304" s="1">
        <v>0.80422026000000002</v>
      </c>
      <c r="F304" s="1">
        <v>6.5130233999999995E-2</v>
      </c>
      <c r="G304" s="1">
        <v>0.96607034999999997</v>
      </c>
      <c r="H304" s="1">
        <v>3.3929679999999997E-2</v>
      </c>
      <c r="I304" s="1">
        <v>0.99442744000000005</v>
      </c>
      <c r="J304" s="1">
        <v>5.5725159999999996E-3</v>
      </c>
      <c r="K304" s="1">
        <v>0.41974877999999999</v>
      </c>
      <c r="L304" s="1">
        <v>0.12643172999999999</v>
      </c>
      <c r="M304" s="1">
        <v>0.75983065000000005</v>
      </c>
      <c r="N304" s="1">
        <v>0.24016931999999999</v>
      </c>
      <c r="O304" s="1">
        <v>0.75732080000000002</v>
      </c>
      <c r="P304" s="1">
        <v>0.24267915000000001</v>
      </c>
      <c r="Q304" s="4">
        <v>0</v>
      </c>
      <c r="R304" s="13">
        <v>0</v>
      </c>
      <c r="S304" s="14">
        <v>0</v>
      </c>
    </row>
    <row r="305" spans="1:19">
      <c r="A305" s="1">
        <v>0</v>
      </c>
      <c r="B305" s="1" t="s">
        <v>316</v>
      </c>
      <c r="C305" s="1">
        <v>0.62552439999999998</v>
      </c>
      <c r="D305" s="1">
        <v>0.5548748</v>
      </c>
      <c r="E305" s="1">
        <v>0.33356841999999998</v>
      </c>
      <c r="F305" s="1">
        <v>0.7017236</v>
      </c>
      <c r="G305" s="1">
        <v>0.2789546</v>
      </c>
      <c r="H305" s="1">
        <v>0.72104539999999995</v>
      </c>
      <c r="I305" s="1">
        <v>0.47241255999999998</v>
      </c>
      <c r="J305" s="1">
        <v>0.52758740000000004</v>
      </c>
      <c r="K305" s="1">
        <v>0.13534789999999999</v>
      </c>
      <c r="L305" s="1">
        <v>0.29846346000000001</v>
      </c>
      <c r="M305" s="1">
        <v>0.32310787000000002</v>
      </c>
      <c r="N305" s="1">
        <v>0.67689215999999996</v>
      </c>
      <c r="O305" s="1">
        <v>0.23180892</v>
      </c>
      <c r="P305" s="1">
        <v>0.76819104000000005</v>
      </c>
      <c r="Q305" s="4">
        <v>0</v>
      </c>
      <c r="R305" s="13">
        <v>0</v>
      </c>
      <c r="S305" s="14">
        <v>0</v>
      </c>
    </row>
    <row r="306" spans="1:19">
      <c r="A306" s="1">
        <v>0</v>
      </c>
      <c r="B306" s="1" t="s">
        <v>317</v>
      </c>
      <c r="C306" s="1">
        <v>0.59680736000000001</v>
      </c>
      <c r="D306" s="1">
        <v>0.61370060000000004</v>
      </c>
      <c r="E306" s="1">
        <v>0.68586179999999997</v>
      </c>
      <c r="F306" s="1">
        <v>0.54662679999999997</v>
      </c>
      <c r="G306" s="1">
        <v>0.80003464000000002</v>
      </c>
      <c r="H306" s="1">
        <v>0.19996537</v>
      </c>
      <c r="I306" s="1">
        <v>0.29831827</v>
      </c>
      <c r="J306" s="1">
        <v>0.70168173</v>
      </c>
      <c r="K306" s="1">
        <v>0.19528417000000001</v>
      </c>
      <c r="L306" s="1">
        <v>0.18725462000000001</v>
      </c>
      <c r="M306" s="1">
        <v>0.13488153</v>
      </c>
      <c r="N306" s="1">
        <v>0.86511850000000001</v>
      </c>
      <c r="O306" s="1">
        <v>0.103449896</v>
      </c>
      <c r="P306" s="1">
        <v>0.89655010000000002</v>
      </c>
      <c r="Q306" s="4">
        <v>1</v>
      </c>
      <c r="R306" s="14">
        <v>1</v>
      </c>
      <c r="S306" s="14">
        <v>0</v>
      </c>
    </row>
    <row r="307" spans="1:19">
      <c r="A307" s="1">
        <v>0</v>
      </c>
      <c r="B307" s="1" t="s">
        <v>318</v>
      </c>
      <c r="C307" s="1">
        <v>0.37219091999999998</v>
      </c>
      <c r="D307" s="1">
        <v>0.73203284000000002</v>
      </c>
      <c r="E307" s="1">
        <v>0.68567944000000003</v>
      </c>
      <c r="F307" s="1">
        <v>0.45097658000000002</v>
      </c>
      <c r="G307" s="1">
        <v>0.87091600000000002</v>
      </c>
      <c r="H307" s="1">
        <v>0.12908399000000001</v>
      </c>
      <c r="I307" s="1">
        <v>3.1760767000000002E-2</v>
      </c>
      <c r="J307" s="1">
        <v>0.96823925</v>
      </c>
      <c r="K307" s="1">
        <v>7.4366210000000002E-2</v>
      </c>
      <c r="L307" s="1">
        <v>0.46200736999999997</v>
      </c>
      <c r="M307" s="1">
        <v>5.5838714999999997E-2</v>
      </c>
      <c r="N307" s="1">
        <v>0.94416129999999998</v>
      </c>
      <c r="O307" s="1">
        <v>3.4175089999999998E-2</v>
      </c>
      <c r="P307" s="1">
        <v>0.96582495999999995</v>
      </c>
      <c r="Q307" s="4">
        <v>1</v>
      </c>
      <c r="R307" s="14">
        <v>1</v>
      </c>
      <c r="S307" s="14">
        <v>1</v>
      </c>
    </row>
    <row r="308" spans="1:19">
      <c r="A308" s="1">
        <v>0</v>
      </c>
      <c r="B308" s="1" t="s">
        <v>319</v>
      </c>
      <c r="C308" s="1">
        <v>0.71543853999999996</v>
      </c>
      <c r="D308" s="1">
        <v>0.40601176</v>
      </c>
      <c r="E308" s="1">
        <v>0.73099230000000004</v>
      </c>
      <c r="F308" s="1">
        <v>0.40275893000000001</v>
      </c>
      <c r="G308" s="1">
        <v>0.74810980000000005</v>
      </c>
      <c r="H308" s="1">
        <v>0.25189020000000001</v>
      </c>
      <c r="I308" s="1">
        <v>0.56898992999999998</v>
      </c>
      <c r="J308" s="1">
        <v>0.43101003999999998</v>
      </c>
      <c r="K308" s="1">
        <v>5.4124909999999998E-2</v>
      </c>
      <c r="L308" s="1">
        <v>0.5259971</v>
      </c>
      <c r="M308" s="1">
        <v>0.12147163599999999</v>
      </c>
      <c r="N308" s="1">
        <v>0.87852836000000001</v>
      </c>
      <c r="O308" s="1">
        <v>6.6583939999999994E-2</v>
      </c>
      <c r="P308" s="1">
        <v>0.93341600000000002</v>
      </c>
      <c r="Q308" s="4">
        <v>1</v>
      </c>
      <c r="R308" s="13">
        <v>0</v>
      </c>
      <c r="S308" s="14">
        <v>1</v>
      </c>
    </row>
    <row r="309" spans="1:19">
      <c r="A309" s="7">
        <v>0</v>
      </c>
      <c r="B309" s="7" t="s">
        <v>320</v>
      </c>
      <c r="C309" s="7">
        <v>0.80554789999999998</v>
      </c>
      <c r="D309" s="7">
        <v>6.3876080000000002E-2</v>
      </c>
      <c r="E309" s="7">
        <v>0.79067589999999999</v>
      </c>
      <c r="F309" s="7">
        <v>0.28829159999999998</v>
      </c>
      <c r="G309" s="7">
        <v>0.76409519999999997</v>
      </c>
      <c r="H309" s="7">
        <v>0.23590480999999999</v>
      </c>
      <c r="I309" s="7">
        <v>0.91231229999999996</v>
      </c>
      <c r="J309" s="7">
        <v>8.7687699999999993E-2</v>
      </c>
      <c r="K309" s="7">
        <v>0.13726044000000001</v>
      </c>
      <c r="L309" s="7">
        <v>6.5277100000000005E-2</v>
      </c>
      <c r="M309" s="7">
        <v>0.71496499999999996</v>
      </c>
      <c r="N309" s="7">
        <v>0.28503497999999999</v>
      </c>
      <c r="O309" s="7">
        <v>0.36903435000000001</v>
      </c>
      <c r="P309" s="7">
        <v>0.63096569999999996</v>
      </c>
      <c r="Q309" s="8">
        <v>0</v>
      </c>
      <c r="R309" s="16">
        <v>0</v>
      </c>
      <c r="S309" s="16">
        <v>1</v>
      </c>
    </row>
    <row r="310" spans="1:19">
      <c r="A310" s="1">
        <v>0</v>
      </c>
      <c r="B310" s="1" t="s">
        <v>321</v>
      </c>
      <c r="C310" s="1">
        <v>0.72844255000000002</v>
      </c>
      <c r="D310" s="1">
        <v>0.28874832</v>
      </c>
      <c r="E310" s="1">
        <v>0.72496260000000001</v>
      </c>
      <c r="F310" s="1">
        <v>0.40584037000000001</v>
      </c>
      <c r="G310" s="1">
        <v>0.79898095000000002</v>
      </c>
      <c r="H310" s="1">
        <v>0.201019</v>
      </c>
      <c r="I310" s="1">
        <v>0.84301316999999998</v>
      </c>
      <c r="J310" s="1">
        <v>0.15698688999999999</v>
      </c>
      <c r="K310" s="1">
        <v>0.25731609999999999</v>
      </c>
      <c r="L310" s="1">
        <v>3.720656E-2</v>
      </c>
      <c r="M310" s="1">
        <v>0.60049839999999999</v>
      </c>
      <c r="N310" s="1">
        <v>0.39950160000000001</v>
      </c>
      <c r="O310" s="1">
        <v>0.64229952999999995</v>
      </c>
      <c r="P310" s="1">
        <v>0.35770049999999998</v>
      </c>
      <c r="Q310" s="4">
        <v>0</v>
      </c>
      <c r="R310" s="13">
        <v>0</v>
      </c>
      <c r="S310" s="14">
        <v>0</v>
      </c>
    </row>
    <row r="311" spans="1:19">
      <c r="A311" s="1">
        <v>0</v>
      </c>
      <c r="B311" s="1" t="s">
        <v>322</v>
      </c>
      <c r="C311" s="1">
        <v>0.72506415999999996</v>
      </c>
      <c r="D311" s="1">
        <v>0.44564930000000003</v>
      </c>
      <c r="E311" s="1">
        <v>0.79155070000000005</v>
      </c>
      <c r="F311" s="1">
        <v>0.21479537000000001</v>
      </c>
      <c r="G311" s="1">
        <v>0.92119479999999998</v>
      </c>
      <c r="H311" s="1">
        <v>7.8805159999999999E-2</v>
      </c>
      <c r="I311" s="1">
        <v>0.89696759999999998</v>
      </c>
      <c r="J311" s="1">
        <v>0.10303236</v>
      </c>
      <c r="K311" s="1">
        <v>0.2269352</v>
      </c>
      <c r="L311" s="1">
        <v>0.1583012</v>
      </c>
      <c r="M311" s="1">
        <v>0.31334796999999998</v>
      </c>
      <c r="N311" s="1">
        <v>0.68665200000000004</v>
      </c>
      <c r="O311" s="1">
        <v>0.41626000000000002</v>
      </c>
      <c r="P311" s="1">
        <v>0.58374000000000004</v>
      </c>
      <c r="Q311" s="4">
        <v>0</v>
      </c>
      <c r="R311" s="13">
        <v>0</v>
      </c>
      <c r="S311" s="14">
        <v>0</v>
      </c>
    </row>
    <row r="312" spans="1:19">
      <c r="A312" s="1">
        <v>0</v>
      </c>
      <c r="B312" s="1" t="s">
        <v>323</v>
      </c>
      <c r="C312" s="1">
        <v>0.73302822999999995</v>
      </c>
      <c r="D312" s="1">
        <v>0.41194619999999998</v>
      </c>
      <c r="E312" s="1">
        <v>0.75589114000000002</v>
      </c>
      <c r="F312" s="1">
        <v>0.34892040000000002</v>
      </c>
      <c r="G312" s="1">
        <v>0.84750859999999995</v>
      </c>
      <c r="H312" s="1">
        <v>0.15249135999999999</v>
      </c>
      <c r="I312" s="1">
        <v>0.78124919999999998</v>
      </c>
      <c r="J312" s="1">
        <v>0.21875075999999999</v>
      </c>
      <c r="K312" s="1">
        <v>9.531734E-2</v>
      </c>
      <c r="L312" s="1">
        <v>0.41309884000000002</v>
      </c>
      <c r="M312" s="1">
        <v>0.36583608000000001</v>
      </c>
      <c r="N312" s="1">
        <v>0.63416399999999995</v>
      </c>
      <c r="O312" s="1">
        <v>0.27639416</v>
      </c>
      <c r="P312" s="1">
        <v>0.72360590000000002</v>
      </c>
      <c r="Q312" s="4">
        <v>1</v>
      </c>
      <c r="R312" s="13">
        <v>1</v>
      </c>
      <c r="S312" s="14">
        <v>0</v>
      </c>
    </row>
    <row r="313" spans="1:19">
      <c r="A313" s="1">
        <v>0</v>
      </c>
      <c r="B313" s="1" t="s">
        <v>324</v>
      </c>
      <c r="C313" s="1">
        <v>0.55192863999999997</v>
      </c>
      <c r="D313" s="1">
        <v>0.646065</v>
      </c>
      <c r="E313" s="1">
        <v>0.59920969999999996</v>
      </c>
      <c r="F313" s="1">
        <v>0.54911100000000002</v>
      </c>
      <c r="G313" s="1">
        <v>0.19877423</v>
      </c>
      <c r="H313" s="1">
        <v>0.80122579999999999</v>
      </c>
      <c r="I313" s="1">
        <v>0.13960533999999999</v>
      </c>
      <c r="J313" s="1">
        <v>0.86039465999999998</v>
      </c>
      <c r="K313" s="1">
        <v>0.22875303</v>
      </c>
      <c r="L313" s="1">
        <v>0.42105251999999999</v>
      </c>
      <c r="M313" s="1">
        <v>0.1374291</v>
      </c>
      <c r="N313" s="1">
        <v>0.86257090000000003</v>
      </c>
      <c r="O313" s="1">
        <v>0.49935410000000002</v>
      </c>
      <c r="P313" s="1">
        <v>0.50064589999999998</v>
      </c>
      <c r="Q313" s="4">
        <v>0</v>
      </c>
      <c r="R313" s="13">
        <v>0</v>
      </c>
      <c r="S313" s="14">
        <v>0</v>
      </c>
    </row>
    <row r="314" spans="1:19">
      <c r="A314" s="1">
        <v>0</v>
      </c>
      <c r="B314" s="1" t="s">
        <v>325</v>
      </c>
      <c r="C314" s="1">
        <v>0.45695745999999998</v>
      </c>
      <c r="D314" s="1">
        <v>0.70139927000000002</v>
      </c>
      <c r="E314" s="1">
        <v>0.64116656999999999</v>
      </c>
      <c r="F314" s="1">
        <v>0.57264150000000003</v>
      </c>
      <c r="G314" s="1">
        <v>0.54685384000000004</v>
      </c>
      <c r="H314" s="1">
        <v>0.4531461</v>
      </c>
      <c r="I314" s="1">
        <v>0.11288761</v>
      </c>
      <c r="J314" s="1">
        <v>0.88711244</v>
      </c>
      <c r="K314" s="1">
        <v>6.9929174999999996E-2</v>
      </c>
      <c r="L314" s="1">
        <v>0.40359473000000001</v>
      </c>
      <c r="M314" s="1">
        <v>6.7906424000000007E-2</v>
      </c>
      <c r="N314" s="1">
        <v>0.93209355999999999</v>
      </c>
      <c r="O314" s="1">
        <v>7.9586219999999999E-2</v>
      </c>
      <c r="P314" s="1">
        <v>0.92041379999999995</v>
      </c>
      <c r="Q314" s="4">
        <v>0</v>
      </c>
      <c r="R314" s="13">
        <v>0</v>
      </c>
      <c r="S314" s="14">
        <v>0</v>
      </c>
    </row>
    <row r="315" spans="1:19">
      <c r="A315" s="1">
        <v>0</v>
      </c>
      <c r="B315" s="1" t="s">
        <v>326</v>
      </c>
      <c r="C315" s="1">
        <v>0.75548340000000003</v>
      </c>
      <c r="D315" s="1">
        <v>0.26737702000000002</v>
      </c>
      <c r="E315" s="1">
        <v>0.76899680000000004</v>
      </c>
      <c r="F315" s="1">
        <v>0.37642977</v>
      </c>
      <c r="G315" s="1">
        <v>0.87903385999999994</v>
      </c>
      <c r="H315" s="1">
        <v>0.120966144</v>
      </c>
      <c r="I315" s="1">
        <v>0.69369124999999998</v>
      </c>
      <c r="J315" s="1">
        <v>0.30630875000000002</v>
      </c>
      <c r="K315" s="1">
        <v>0.22992224999999999</v>
      </c>
      <c r="L315" s="1">
        <v>0.22340541999999999</v>
      </c>
      <c r="M315" s="1">
        <v>0.67850650000000001</v>
      </c>
      <c r="N315" s="1">
        <v>0.32149354000000002</v>
      </c>
      <c r="O315" s="1">
        <v>0.51453680000000002</v>
      </c>
      <c r="P315" s="1">
        <v>0.48546319999999998</v>
      </c>
      <c r="Q315" s="4">
        <v>0</v>
      </c>
      <c r="R315" s="13">
        <v>0</v>
      </c>
      <c r="S315" s="14">
        <v>0</v>
      </c>
    </row>
    <row r="316" spans="1:19">
      <c r="A316" s="1">
        <v>0</v>
      </c>
      <c r="B316" s="1" t="s">
        <v>327</v>
      </c>
      <c r="C316" s="1">
        <v>0.47101343000000001</v>
      </c>
      <c r="D316" s="1">
        <v>0.51809340000000004</v>
      </c>
      <c r="E316" s="1">
        <v>0.54758680000000004</v>
      </c>
      <c r="F316" s="1">
        <v>0.54409719999999995</v>
      </c>
      <c r="G316" s="1">
        <v>0.25448176</v>
      </c>
      <c r="H316" s="1">
        <v>0.74551820000000002</v>
      </c>
      <c r="I316" s="1">
        <v>0.60344450000000005</v>
      </c>
      <c r="J316" s="1">
        <v>0.39655550000000001</v>
      </c>
      <c r="K316" s="1">
        <v>0.22931389999999999</v>
      </c>
      <c r="L316" s="1">
        <v>0.41950959999999998</v>
      </c>
      <c r="M316" s="1">
        <v>0.15380347</v>
      </c>
      <c r="N316" s="1">
        <v>0.84619659999999997</v>
      </c>
      <c r="O316" s="1">
        <v>0.26260146000000001</v>
      </c>
      <c r="P316" s="1">
        <v>0.73739849999999996</v>
      </c>
      <c r="Q316" s="4">
        <v>0</v>
      </c>
      <c r="R316" s="13">
        <v>0</v>
      </c>
      <c r="S316" s="14">
        <v>0</v>
      </c>
    </row>
    <row r="317" spans="1:19">
      <c r="A317" s="1">
        <v>0</v>
      </c>
      <c r="B317" s="1" t="s">
        <v>328</v>
      </c>
      <c r="C317" s="1">
        <v>0.80939686</v>
      </c>
      <c r="D317" s="1">
        <v>7.1818660000000003E-3</v>
      </c>
      <c r="E317" s="1">
        <v>0.77232259999999997</v>
      </c>
      <c r="F317" s="1">
        <v>0.20683446999999999</v>
      </c>
      <c r="G317" s="1">
        <v>0.94182896999999999</v>
      </c>
      <c r="H317" s="1">
        <v>5.8171003999999998E-2</v>
      </c>
      <c r="I317" s="1">
        <v>0.98590239999999996</v>
      </c>
      <c r="J317" s="1">
        <v>1.4097517E-2</v>
      </c>
      <c r="K317" s="1">
        <v>0.22692397</v>
      </c>
      <c r="L317" s="1">
        <v>6.7290550000000005E-2</v>
      </c>
      <c r="M317" s="1">
        <v>0.64750445000000001</v>
      </c>
      <c r="N317" s="1">
        <v>0.35249550000000002</v>
      </c>
      <c r="O317" s="1">
        <v>0.58034783999999995</v>
      </c>
      <c r="P317" s="1">
        <v>0.41965213000000001</v>
      </c>
      <c r="Q317" s="4">
        <v>0</v>
      </c>
      <c r="R317" s="13">
        <v>0</v>
      </c>
      <c r="S317" s="14">
        <v>0</v>
      </c>
    </row>
    <row r="318" spans="1:19">
      <c r="A318" s="1">
        <v>0</v>
      </c>
      <c r="B318" s="1" t="s">
        <v>329</v>
      </c>
      <c r="C318" s="1">
        <v>0.79292183999999999</v>
      </c>
      <c r="D318" s="1">
        <v>3.8335238000000001E-2</v>
      </c>
      <c r="E318" s="1">
        <v>0.77661084999999996</v>
      </c>
      <c r="F318" s="1">
        <v>0.18477377</v>
      </c>
      <c r="G318" s="1">
        <v>0.92777730000000003</v>
      </c>
      <c r="H318" s="1">
        <v>7.2222750000000002E-2</v>
      </c>
      <c r="I318" s="1">
        <v>0.9861972</v>
      </c>
      <c r="J318" s="1">
        <v>1.3802826000000001E-2</v>
      </c>
      <c r="K318" s="1">
        <v>0.25622866</v>
      </c>
      <c r="L318" s="1">
        <v>5.3733087999999998E-2</v>
      </c>
      <c r="M318" s="1">
        <v>0.80200099999999996</v>
      </c>
      <c r="N318" s="1">
        <v>0.19799896</v>
      </c>
      <c r="O318" s="1">
        <v>0.78532429999999998</v>
      </c>
      <c r="P318" s="1">
        <v>0.2146757</v>
      </c>
      <c r="Q318" s="4">
        <v>0</v>
      </c>
      <c r="R318" s="13">
        <v>0</v>
      </c>
      <c r="S318" s="14">
        <v>0</v>
      </c>
    </row>
    <row r="319" spans="1:19">
      <c r="A319" s="1">
        <v>0</v>
      </c>
      <c r="B319" s="5" t="s">
        <v>330</v>
      </c>
      <c r="C319" s="5">
        <v>0.81138390000000005</v>
      </c>
      <c r="D319" s="5">
        <v>4.0973710000000003E-2</v>
      </c>
      <c r="E319" s="5">
        <v>0.79809319999999995</v>
      </c>
      <c r="F319" s="5">
        <v>0.11076237</v>
      </c>
      <c r="G319" s="5">
        <v>0.95379159999999996</v>
      </c>
      <c r="H319" s="5">
        <v>4.6208340000000001E-2</v>
      </c>
      <c r="I319" s="5">
        <v>0.87688500000000003</v>
      </c>
      <c r="J319" s="5">
        <v>0.12311496</v>
      </c>
      <c r="K319" s="5">
        <v>0.26734543</v>
      </c>
      <c r="L319" s="5">
        <v>0.15691063999999999</v>
      </c>
      <c r="M319" s="5">
        <v>0.55416259999999995</v>
      </c>
      <c r="N319" s="5">
        <v>0.44583739999999999</v>
      </c>
      <c r="O319" s="5">
        <v>0.50303359999999997</v>
      </c>
      <c r="P319" s="5">
        <v>0.49696642000000002</v>
      </c>
      <c r="Q319" s="4">
        <v>0</v>
      </c>
      <c r="R319" s="13">
        <v>0</v>
      </c>
      <c r="S319" s="14">
        <v>0</v>
      </c>
    </row>
    <row r="320" spans="1:19">
      <c r="A320" s="1">
        <v>0</v>
      </c>
      <c r="B320" s="1" t="s">
        <v>331</v>
      </c>
      <c r="C320" s="1">
        <v>0.81108250000000004</v>
      </c>
      <c r="D320" s="1">
        <v>5.0453315999999998E-2</v>
      </c>
      <c r="E320" s="1">
        <v>0.80296040000000002</v>
      </c>
      <c r="F320" s="1">
        <v>8.8903919999999997E-2</v>
      </c>
      <c r="G320" s="1">
        <v>0.97982320000000001</v>
      </c>
      <c r="H320" s="1">
        <v>2.0176847000000001E-2</v>
      </c>
      <c r="I320" s="1">
        <v>0.97948049999999998</v>
      </c>
      <c r="J320" s="1">
        <v>2.0519453999999999E-2</v>
      </c>
      <c r="K320" s="1">
        <v>0.31637674999999998</v>
      </c>
      <c r="L320" s="1">
        <v>0.21715122000000001</v>
      </c>
      <c r="M320" s="1">
        <v>0.72222819999999999</v>
      </c>
      <c r="N320" s="1">
        <v>0.27777180000000001</v>
      </c>
      <c r="O320" s="1">
        <v>0.69128769999999995</v>
      </c>
      <c r="P320" s="1">
        <v>0.30871232999999998</v>
      </c>
      <c r="Q320" s="4">
        <v>0</v>
      </c>
      <c r="R320" s="13">
        <v>0</v>
      </c>
      <c r="S320" s="14">
        <v>0</v>
      </c>
    </row>
    <row r="321" spans="1:19">
      <c r="A321" s="1">
        <v>0</v>
      </c>
      <c r="B321" s="1" t="s">
        <v>332</v>
      </c>
      <c r="C321" s="1">
        <v>0.68836609999999998</v>
      </c>
      <c r="D321" s="1">
        <v>0.43873936000000002</v>
      </c>
      <c r="E321" s="1">
        <v>0.74894039999999995</v>
      </c>
      <c r="F321" s="1">
        <v>0.39298256999999998</v>
      </c>
      <c r="G321" s="1">
        <v>0.82873523000000004</v>
      </c>
      <c r="H321" s="1">
        <v>0.17126474</v>
      </c>
      <c r="I321" s="1">
        <v>0.77942370000000005</v>
      </c>
      <c r="J321" s="1">
        <v>0.22057629000000001</v>
      </c>
      <c r="K321" s="1">
        <v>0.2523763</v>
      </c>
      <c r="L321" s="1">
        <v>5.7415582E-2</v>
      </c>
      <c r="M321" s="1">
        <v>0.66501359999999998</v>
      </c>
      <c r="N321" s="1">
        <v>0.33498640000000002</v>
      </c>
      <c r="O321" s="1">
        <v>0.70190686000000002</v>
      </c>
      <c r="P321" s="1">
        <v>0.29809317000000002</v>
      </c>
      <c r="Q321" s="4">
        <v>0</v>
      </c>
      <c r="R321" s="13">
        <v>0</v>
      </c>
      <c r="S321" s="14">
        <v>0</v>
      </c>
    </row>
    <row r="322" spans="1:19">
      <c r="A322" s="1">
        <v>0</v>
      </c>
      <c r="B322" s="1" t="s">
        <v>333</v>
      </c>
      <c r="C322" s="1">
        <v>0.75167375999999997</v>
      </c>
      <c r="D322" s="1">
        <v>0.31477495999999999</v>
      </c>
      <c r="E322" s="1">
        <v>0.78865149999999995</v>
      </c>
      <c r="F322" s="1">
        <v>0.27867845000000002</v>
      </c>
      <c r="G322" s="1">
        <v>0.62875040000000004</v>
      </c>
      <c r="H322" s="1">
        <v>0.37124955999999998</v>
      </c>
      <c r="I322" s="1">
        <v>0.83872429999999998</v>
      </c>
      <c r="J322" s="1">
        <v>0.16127569999999999</v>
      </c>
      <c r="K322" s="1">
        <v>0.39394546000000003</v>
      </c>
      <c r="L322" s="1">
        <v>0.15011999000000001</v>
      </c>
      <c r="M322" s="1">
        <v>0.611904</v>
      </c>
      <c r="N322" s="1">
        <v>0.38809602999999998</v>
      </c>
      <c r="O322" s="1">
        <v>0.60332596000000005</v>
      </c>
      <c r="P322" s="1">
        <v>0.39667400000000003</v>
      </c>
      <c r="Q322" s="4">
        <v>0</v>
      </c>
      <c r="R322" s="13">
        <v>0</v>
      </c>
      <c r="S322" s="14">
        <v>0</v>
      </c>
    </row>
    <row r="323" spans="1:19">
      <c r="A323" s="1">
        <v>0</v>
      </c>
      <c r="B323" s="1" t="s">
        <v>334</v>
      </c>
      <c r="C323" s="1">
        <v>0.74143314000000005</v>
      </c>
      <c r="D323" s="1">
        <v>0.20520910000000001</v>
      </c>
      <c r="E323" s="1">
        <v>0.79312729999999998</v>
      </c>
      <c r="F323" s="1">
        <v>0.15052368999999999</v>
      </c>
      <c r="G323" s="1">
        <v>0.95560193000000004</v>
      </c>
      <c r="H323" s="1">
        <v>4.4398119999999999E-2</v>
      </c>
      <c r="I323" s="1">
        <v>0.98921610000000004</v>
      </c>
      <c r="J323" s="1">
        <v>1.0783937E-2</v>
      </c>
      <c r="K323" s="1">
        <v>0.49174294000000002</v>
      </c>
      <c r="L323" s="1">
        <v>0.16236566999999999</v>
      </c>
      <c r="M323" s="1">
        <v>0.94094940000000005</v>
      </c>
      <c r="N323" s="1">
        <v>5.9050564E-2</v>
      </c>
      <c r="O323" s="1">
        <v>0.98147669999999998</v>
      </c>
      <c r="P323" s="1">
        <v>1.8523326E-2</v>
      </c>
      <c r="Q323" s="4">
        <v>0</v>
      </c>
      <c r="R323" s="13">
        <v>0</v>
      </c>
      <c r="S323" s="14">
        <v>0</v>
      </c>
    </row>
    <row r="324" spans="1:19">
      <c r="A324" s="1">
        <v>1</v>
      </c>
      <c r="B324" s="1" t="s">
        <v>335</v>
      </c>
      <c r="C324" s="1">
        <v>0.41988449999999999</v>
      </c>
      <c r="D324" s="1">
        <v>0.73109007000000004</v>
      </c>
      <c r="E324" s="1">
        <v>0.73560435000000002</v>
      </c>
      <c r="F324" s="1">
        <v>0.43651180000000001</v>
      </c>
      <c r="G324" s="1">
        <v>0.86761712999999996</v>
      </c>
      <c r="H324" s="1">
        <v>0.13238294</v>
      </c>
      <c r="I324" s="1">
        <v>8.1886134999999999E-2</v>
      </c>
      <c r="J324" s="1">
        <v>0.91811379999999998</v>
      </c>
      <c r="K324" s="1">
        <v>8.2862586000000002E-2</v>
      </c>
      <c r="L324" s="1">
        <v>0.33847153000000002</v>
      </c>
      <c r="M324" s="1">
        <v>6.7599339999999994E-2</v>
      </c>
      <c r="N324" s="1">
        <v>0.93240064</v>
      </c>
      <c r="O324" s="1">
        <v>3.447016E-2</v>
      </c>
      <c r="P324" s="1">
        <v>0.96552979999999999</v>
      </c>
      <c r="Q324" s="4">
        <v>1</v>
      </c>
      <c r="R324" s="14">
        <v>1</v>
      </c>
      <c r="S324" s="14">
        <v>1</v>
      </c>
    </row>
    <row r="325" spans="1:19">
      <c r="A325" s="1">
        <v>1</v>
      </c>
      <c r="B325" s="1" t="s">
        <v>336</v>
      </c>
      <c r="C325" s="1">
        <v>0.75229869999999999</v>
      </c>
      <c r="D325" s="1">
        <v>0.28702230000000001</v>
      </c>
      <c r="E325" s="1">
        <v>0.69518749999999996</v>
      </c>
      <c r="F325" s="1">
        <v>0.57475810000000005</v>
      </c>
      <c r="G325" s="1">
        <v>0.49839926000000001</v>
      </c>
      <c r="H325" s="1">
        <v>0.50160079999999996</v>
      </c>
      <c r="I325" s="1">
        <v>0.39498066999999998</v>
      </c>
      <c r="J325" s="1">
        <v>0.60501932999999997</v>
      </c>
      <c r="K325" s="1">
        <v>0.21823049999999999</v>
      </c>
      <c r="L325" s="1">
        <v>0.33432247999999998</v>
      </c>
      <c r="M325" s="1">
        <v>0.39303058000000002</v>
      </c>
      <c r="N325" s="1">
        <v>0.60696936000000001</v>
      </c>
      <c r="O325" s="1">
        <v>0.40290606000000001</v>
      </c>
      <c r="P325" s="1">
        <v>0.59709394000000005</v>
      </c>
      <c r="Q325" s="4">
        <v>0</v>
      </c>
      <c r="R325" s="13">
        <v>1</v>
      </c>
      <c r="S325" s="14">
        <v>1</v>
      </c>
    </row>
    <row r="326" spans="1:19">
      <c r="A326" s="1">
        <v>1</v>
      </c>
      <c r="B326" s="1" t="s">
        <v>337</v>
      </c>
      <c r="C326" s="1">
        <v>0.13149830000000001</v>
      </c>
      <c r="D326" s="1">
        <v>0.76459765000000002</v>
      </c>
      <c r="E326" s="1">
        <v>0.56070169999999997</v>
      </c>
      <c r="F326" s="1">
        <v>0.6856392</v>
      </c>
      <c r="G326" s="1">
        <v>0.22696992999999999</v>
      </c>
      <c r="H326" s="1">
        <v>0.77303003999999997</v>
      </c>
      <c r="I326" s="1">
        <v>7.4065930000000002E-2</v>
      </c>
      <c r="J326" s="1">
        <v>0.92593409999999998</v>
      </c>
      <c r="K326" s="1">
        <v>8.4387110000000001E-2</v>
      </c>
      <c r="L326" s="1">
        <v>0.42932734</v>
      </c>
      <c r="M326" s="1">
        <v>2.3615545000000002E-2</v>
      </c>
      <c r="N326" s="1">
        <v>0.97638446000000001</v>
      </c>
      <c r="O326" s="1">
        <v>1.5916096000000001E-2</v>
      </c>
      <c r="P326" s="1">
        <v>0.98408395000000004</v>
      </c>
      <c r="Q326" s="4">
        <v>1</v>
      </c>
      <c r="R326" s="14">
        <v>1</v>
      </c>
      <c r="S326" s="14">
        <v>1</v>
      </c>
    </row>
    <row r="327" spans="1:19">
      <c r="A327" s="1">
        <v>1</v>
      </c>
      <c r="B327" s="1" t="s">
        <v>338</v>
      </c>
      <c r="C327" s="1">
        <v>4.8529170000000003E-2</v>
      </c>
      <c r="D327" s="1">
        <v>0.80705499999999997</v>
      </c>
      <c r="E327" s="1">
        <v>0.28607503000000001</v>
      </c>
      <c r="F327" s="1">
        <v>0.76083780000000001</v>
      </c>
      <c r="G327" s="1">
        <v>0.12821494</v>
      </c>
      <c r="H327" s="1">
        <v>0.87178504000000001</v>
      </c>
      <c r="I327" s="1">
        <v>1.2002249E-2</v>
      </c>
      <c r="J327" s="1">
        <v>0.98799780000000004</v>
      </c>
      <c r="K327" s="1">
        <v>0.12066715</v>
      </c>
      <c r="L327" s="1">
        <v>0.23022671</v>
      </c>
      <c r="M327" s="1">
        <v>0.18991369999999999</v>
      </c>
      <c r="N327" s="1">
        <v>0.81008630000000004</v>
      </c>
      <c r="O327" s="1">
        <v>9.0354110000000001E-2</v>
      </c>
      <c r="P327" s="1">
        <v>0.90964590000000001</v>
      </c>
      <c r="Q327" s="4">
        <v>1</v>
      </c>
      <c r="R327" s="14">
        <v>1</v>
      </c>
      <c r="S327" s="14">
        <v>1</v>
      </c>
    </row>
    <row r="328" spans="1:19">
      <c r="A328" s="1">
        <v>1</v>
      </c>
      <c r="B328" s="1" t="s">
        <v>339</v>
      </c>
      <c r="C328" s="1">
        <v>0.40156417999999999</v>
      </c>
      <c r="D328" s="1">
        <v>0.71879289999999996</v>
      </c>
      <c r="E328" s="1">
        <v>0.46121040000000002</v>
      </c>
      <c r="F328" s="1">
        <v>0.71052059999999995</v>
      </c>
      <c r="G328" s="1">
        <v>0.4108328</v>
      </c>
      <c r="H328" s="1">
        <v>0.5891672</v>
      </c>
      <c r="I328" s="1">
        <v>6.4623349999999996E-2</v>
      </c>
      <c r="J328" s="1">
        <v>0.9353766</v>
      </c>
      <c r="K328" s="1">
        <v>3.1500958000000003E-2</v>
      </c>
      <c r="L328" s="1">
        <v>0.49624973999999999</v>
      </c>
      <c r="M328" s="1">
        <v>4.6430605999999999E-2</v>
      </c>
      <c r="N328" s="1">
        <v>0.95356934999999998</v>
      </c>
      <c r="O328" s="1">
        <v>3.7631629999999999E-2</v>
      </c>
      <c r="P328" s="1">
        <v>0.96236836999999997</v>
      </c>
      <c r="Q328" s="4">
        <v>1</v>
      </c>
      <c r="R328" s="14">
        <v>1</v>
      </c>
      <c r="S328" s="14">
        <v>1</v>
      </c>
    </row>
    <row r="329" spans="1:19">
      <c r="A329" s="1">
        <v>1</v>
      </c>
      <c r="B329" s="1" t="s">
        <v>340</v>
      </c>
      <c r="C329" s="1">
        <v>4.2852927000000002E-3</v>
      </c>
      <c r="D329" s="1">
        <v>0.80058450000000003</v>
      </c>
      <c r="E329" s="1">
        <v>1.1762551E-2</v>
      </c>
      <c r="F329" s="1">
        <v>0.79116916999999998</v>
      </c>
      <c r="G329" s="1">
        <v>1.4541906E-2</v>
      </c>
      <c r="H329" s="1">
        <v>0.98545813999999998</v>
      </c>
      <c r="I329" s="1">
        <v>9.7484690000000001E-4</v>
      </c>
      <c r="J329" s="1">
        <v>0.9990251</v>
      </c>
      <c r="K329" s="1">
        <v>9.1855674999999998E-2</v>
      </c>
      <c r="L329" s="1">
        <v>0.36718023</v>
      </c>
      <c r="M329" s="1">
        <v>0.10887138</v>
      </c>
      <c r="N329" s="1">
        <v>0.89112860000000005</v>
      </c>
      <c r="O329" s="1">
        <v>3.4654369999999997E-2</v>
      </c>
      <c r="P329" s="1">
        <v>0.96534560000000003</v>
      </c>
      <c r="Q329" s="4">
        <v>1</v>
      </c>
      <c r="R329" s="14">
        <v>1</v>
      </c>
      <c r="S329" s="14">
        <v>1</v>
      </c>
    </row>
    <row r="330" spans="1:19">
      <c r="A330" s="7">
        <v>1</v>
      </c>
      <c r="B330" s="7" t="s">
        <v>341</v>
      </c>
      <c r="C330" s="7">
        <v>0.50243526999999999</v>
      </c>
      <c r="D330" s="7">
        <v>0.68601285999999995</v>
      </c>
      <c r="E330" s="7">
        <v>0.42256397000000001</v>
      </c>
      <c r="F330" s="7">
        <v>0.7155861</v>
      </c>
      <c r="G330" s="7">
        <v>0.29331905000000003</v>
      </c>
      <c r="H330" s="7">
        <v>0.70668094999999997</v>
      </c>
      <c r="I330" s="7">
        <v>0.44564477000000002</v>
      </c>
      <c r="J330" s="7">
        <v>0.55435526000000002</v>
      </c>
      <c r="K330" s="7">
        <v>0.18990093</v>
      </c>
      <c r="L330" s="7">
        <v>0.27300092999999998</v>
      </c>
      <c r="M330" s="7">
        <v>0.29695135</v>
      </c>
      <c r="N330" s="7">
        <v>0.70304860000000002</v>
      </c>
      <c r="O330" s="7">
        <v>0.10015907</v>
      </c>
      <c r="P330" s="7">
        <v>0.89984094999999997</v>
      </c>
      <c r="Q330" s="8">
        <v>0</v>
      </c>
      <c r="R330" s="16">
        <v>1</v>
      </c>
      <c r="S330" s="16">
        <v>1</v>
      </c>
    </row>
    <row r="331" spans="1:19">
      <c r="A331" s="1">
        <v>1</v>
      </c>
      <c r="B331" s="1" t="s">
        <v>342</v>
      </c>
      <c r="C331" s="1">
        <v>0.18989499000000001</v>
      </c>
      <c r="D331" s="1">
        <v>0.75645269999999998</v>
      </c>
      <c r="E331" s="1">
        <v>0.13433422</v>
      </c>
      <c r="F331" s="1">
        <v>0.77523076999999996</v>
      </c>
      <c r="G331" s="1">
        <v>4.1888849999999998E-2</v>
      </c>
      <c r="H331" s="1">
        <v>0.95811117000000001</v>
      </c>
      <c r="I331" s="1">
        <v>1.8190041000000001E-2</v>
      </c>
      <c r="J331" s="1">
        <v>0.98180999999999996</v>
      </c>
      <c r="K331" s="1">
        <v>0.10692893000000001</v>
      </c>
      <c r="L331" s="1">
        <v>0.3345225</v>
      </c>
      <c r="M331" s="1">
        <v>0.43804714</v>
      </c>
      <c r="N331" s="1">
        <v>0.56195280000000003</v>
      </c>
      <c r="O331" s="1">
        <v>0.22154593</v>
      </c>
      <c r="P331" s="1">
        <v>0.77845399999999998</v>
      </c>
      <c r="Q331" s="4">
        <v>1</v>
      </c>
      <c r="R331" s="14">
        <v>1</v>
      </c>
      <c r="S331" s="14">
        <v>1</v>
      </c>
    </row>
    <row r="332" spans="1:19">
      <c r="A332" s="1">
        <v>1</v>
      </c>
      <c r="B332" s="1" t="s">
        <v>343</v>
      </c>
      <c r="C332" s="1">
        <v>0.52224590000000004</v>
      </c>
      <c r="D332" s="1">
        <v>0.65422539999999996</v>
      </c>
      <c r="E332" s="1">
        <v>0.2725361</v>
      </c>
      <c r="F332" s="1">
        <v>0.77214545000000001</v>
      </c>
      <c r="G332" s="1">
        <v>0.333088</v>
      </c>
      <c r="H332" s="1">
        <v>0.66691195999999997</v>
      </c>
      <c r="I332" s="1">
        <v>0.42968240000000002</v>
      </c>
      <c r="J332" s="1">
        <v>0.57031759999999998</v>
      </c>
      <c r="K332" s="1">
        <v>0.12349955</v>
      </c>
      <c r="L332" s="1">
        <v>0.22531309999999999</v>
      </c>
      <c r="M332" s="1">
        <v>0.30639594999999997</v>
      </c>
      <c r="N332" s="1">
        <v>0.69360405000000003</v>
      </c>
      <c r="O332" s="1">
        <v>0.23619865000000001</v>
      </c>
      <c r="P332" s="1">
        <v>0.76380134</v>
      </c>
      <c r="Q332" s="4">
        <v>0</v>
      </c>
      <c r="R332" s="14">
        <v>1</v>
      </c>
      <c r="S332" s="14">
        <v>1</v>
      </c>
    </row>
    <row r="333" spans="1:19">
      <c r="A333" s="1">
        <v>1</v>
      </c>
      <c r="B333" s="1" t="s">
        <v>344</v>
      </c>
      <c r="C333" s="1">
        <v>9.3230369999999993E-3</v>
      </c>
      <c r="D333" s="1">
        <v>0.79365169999999996</v>
      </c>
      <c r="E333" s="1">
        <v>6.3931199999999994E-2</v>
      </c>
      <c r="F333" s="1">
        <v>0.79403780000000002</v>
      </c>
      <c r="G333" s="1">
        <v>3.5363577E-2</v>
      </c>
      <c r="H333" s="1">
        <v>0.96463644999999998</v>
      </c>
      <c r="I333" s="1">
        <v>6.0033324999999998E-2</v>
      </c>
      <c r="J333" s="1">
        <v>0.93996674000000002</v>
      </c>
      <c r="K333" s="1">
        <v>0.29366451999999998</v>
      </c>
      <c r="L333" s="1">
        <v>0.30315816000000001</v>
      </c>
      <c r="M333" s="1">
        <v>0.13720523000000001</v>
      </c>
      <c r="N333" s="1">
        <v>0.86279470000000003</v>
      </c>
      <c r="O333" s="1">
        <v>5.79678E-2</v>
      </c>
      <c r="P333" s="1">
        <v>0.94203216000000001</v>
      </c>
      <c r="Q333" s="4">
        <v>1</v>
      </c>
      <c r="R333" s="14">
        <v>1</v>
      </c>
      <c r="S333" s="14">
        <v>1</v>
      </c>
    </row>
    <row r="334" spans="1:19">
      <c r="A334" s="7">
        <v>1</v>
      </c>
      <c r="B334" s="7" t="s">
        <v>345</v>
      </c>
      <c r="C334" s="7">
        <v>0.5018551</v>
      </c>
      <c r="D334" s="7">
        <v>0.6739655</v>
      </c>
      <c r="E334" s="7">
        <v>0.74181920000000001</v>
      </c>
      <c r="F334" s="7">
        <v>0.43695339999999999</v>
      </c>
      <c r="G334" s="7">
        <v>0.73825379999999996</v>
      </c>
      <c r="H334" s="7">
        <v>0.26174619999999998</v>
      </c>
      <c r="I334" s="7">
        <v>0.11601387000000001</v>
      </c>
      <c r="J334" s="7">
        <v>0.88398620000000006</v>
      </c>
      <c r="K334" s="7">
        <v>0.15678006</v>
      </c>
      <c r="L334" s="7">
        <v>0.39090910000000001</v>
      </c>
      <c r="M334" s="7">
        <v>0.27234507000000002</v>
      </c>
      <c r="N334" s="7">
        <v>0.72765500000000005</v>
      </c>
      <c r="O334" s="7">
        <v>0.25684564999999998</v>
      </c>
      <c r="P334" s="7">
        <v>0.74315439999999999</v>
      </c>
      <c r="Q334" s="8">
        <v>1</v>
      </c>
      <c r="R334" s="16">
        <v>1</v>
      </c>
      <c r="S334" s="16">
        <v>1</v>
      </c>
    </row>
    <row r="335" spans="1:19">
      <c r="A335" s="1">
        <v>1</v>
      </c>
      <c r="B335" s="1" t="s">
        <v>346</v>
      </c>
      <c r="C335" s="1">
        <v>0.35169445999999999</v>
      </c>
      <c r="D335" s="1">
        <v>0.69722812999999995</v>
      </c>
      <c r="E335" s="1">
        <v>0.30474143999999997</v>
      </c>
      <c r="F335" s="1">
        <v>0.75238996999999996</v>
      </c>
      <c r="G335" s="1">
        <v>0.15720141000000001</v>
      </c>
      <c r="H335" s="1">
        <v>0.84279859999999995</v>
      </c>
      <c r="I335" s="1">
        <v>4.3378945000000002E-2</v>
      </c>
      <c r="J335" s="1">
        <v>0.95662104999999997</v>
      </c>
      <c r="K335" s="1">
        <v>0.13140637999999999</v>
      </c>
      <c r="L335" s="1">
        <v>0.27143803</v>
      </c>
      <c r="M335" s="1">
        <v>7.2825669999999995E-2</v>
      </c>
      <c r="N335" s="1">
        <v>0.92717430000000001</v>
      </c>
      <c r="O335" s="1">
        <v>0.12549846000000001</v>
      </c>
      <c r="P335" s="1">
        <v>0.87450150000000004</v>
      </c>
      <c r="Q335" s="4">
        <v>1</v>
      </c>
      <c r="R335" s="14">
        <v>1</v>
      </c>
      <c r="S335" s="14">
        <v>1</v>
      </c>
    </row>
    <row r="336" spans="1:19">
      <c r="A336" s="1">
        <v>1</v>
      </c>
      <c r="B336" s="1" t="s">
        <v>347</v>
      </c>
      <c r="C336" s="1">
        <v>0.1031135</v>
      </c>
      <c r="D336" s="1">
        <v>0.78607607000000002</v>
      </c>
      <c r="E336" s="1">
        <v>0.31938654</v>
      </c>
      <c r="F336" s="1">
        <v>0.70749574999999998</v>
      </c>
      <c r="G336" s="1">
        <v>9.0943599999999999E-2</v>
      </c>
      <c r="H336" s="1">
        <v>0.90905639999999999</v>
      </c>
      <c r="I336" s="1">
        <v>3.7917380000000001E-2</v>
      </c>
      <c r="J336" s="1">
        <v>0.96208260000000001</v>
      </c>
      <c r="K336" s="1">
        <v>0.13023534</v>
      </c>
      <c r="L336" s="1">
        <v>0.41789221999999998</v>
      </c>
      <c r="M336" s="1">
        <v>7.3650530000000006E-2</v>
      </c>
      <c r="N336" s="1">
        <v>0.92634950000000005</v>
      </c>
      <c r="O336" s="1">
        <v>0.20812261000000001</v>
      </c>
      <c r="P336" s="1">
        <v>0.79187739999999995</v>
      </c>
      <c r="Q336" s="4">
        <v>1</v>
      </c>
      <c r="R336" s="14">
        <v>1</v>
      </c>
      <c r="S336" s="14">
        <v>1</v>
      </c>
    </row>
    <row r="337" spans="1:19">
      <c r="A337" s="1">
        <v>1</v>
      </c>
      <c r="B337" s="1" t="s">
        <v>348</v>
      </c>
      <c r="C337" s="1">
        <v>0.26661069999999998</v>
      </c>
      <c r="D337" s="1">
        <v>0.73207129999999998</v>
      </c>
      <c r="E337" s="1">
        <v>0.52007000000000003</v>
      </c>
      <c r="F337" s="1">
        <v>0.61547070000000004</v>
      </c>
      <c r="G337" s="1">
        <v>7.6883845000000006E-2</v>
      </c>
      <c r="H337" s="1">
        <v>0.92311620000000005</v>
      </c>
      <c r="I337" s="1">
        <v>1.3478772E-2</v>
      </c>
      <c r="J337" s="1">
        <v>0.98652123999999997</v>
      </c>
      <c r="K337" s="1">
        <v>4.168972E-2</v>
      </c>
      <c r="L337" s="1">
        <v>0.52560836</v>
      </c>
      <c r="M337" s="1">
        <v>1.23753315E-2</v>
      </c>
      <c r="N337" s="1">
        <v>0.98762464999999999</v>
      </c>
      <c r="O337" s="1">
        <v>2.7447388E-2</v>
      </c>
      <c r="P337" s="1">
        <v>0.97255265999999996</v>
      </c>
      <c r="Q337" s="4">
        <v>1</v>
      </c>
      <c r="R337" s="14">
        <v>1</v>
      </c>
      <c r="S337" s="14">
        <v>1</v>
      </c>
    </row>
    <row r="338" spans="1:19">
      <c r="A338" s="1">
        <v>1</v>
      </c>
      <c r="B338" s="1" t="s">
        <v>349</v>
      </c>
      <c r="C338" s="1">
        <v>0.15685542</v>
      </c>
      <c r="D338" s="1">
        <v>0.78372319999999995</v>
      </c>
      <c r="E338" s="1">
        <v>0.17660835</v>
      </c>
      <c r="F338" s="1">
        <v>0.75266</v>
      </c>
      <c r="G338" s="1">
        <v>0.12181053999999999</v>
      </c>
      <c r="H338" s="1">
        <v>0.87818943999999999</v>
      </c>
      <c r="I338" s="1">
        <v>2.7530333000000001E-2</v>
      </c>
      <c r="J338" s="1">
        <v>0.97246969999999999</v>
      </c>
      <c r="K338" s="1">
        <v>0.16810592999999999</v>
      </c>
      <c r="L338" s="1">
        <v>0.21647611</v>
      </c>
      <c r="M338" s="1">
        <v>0.23637295999999999</v>
      </c>
      <c r="N338" s="1">
        <v>0.76362704999999997</v>
      </c>
      <c r="O338" s="1">
        <v>8.3305359999999995E-2</v>
      </c>
      <c r="P338" s="1">
        <v>0.91669469999999997</v>
      </c>
      <c r="Q338" s="4">
        <v>0</v>
      </c>
      <c r="R338" s="13">
        <v>0</v>
      </c>
      <c r="S338" s="14">
        <v>0</v>
      </c>
    </row>
    <row r="339" spans="1:19">
      <c r="A339" s="1">
        <v>1</v>
      </c>
      <c r="B339" s="1" t="s">
        <v>350</v>
      </c>
      <c r="C339" s="1">
        <v>0.53538275000000002</v>
      </c>
      <c r="D339" s="1">
        <v>0.58941860000000001</v>
      </c>
      <c r="E339" s="1">
        <v>0.22953972</v>
      </c>
      <c r="F339" s="1">
        <v>0.74207115000000001</v>
      </c>
      <c r="G339" s="1">
        <v>0.27059719999999998</v>
      </c>
      <c r="H339" s="1">
        <v>0.72940284</v>
      </c>
      <c r="I339" s="1">
        <v>0.33231342000000003</v>
      </c>
      <c r="J339" s="1">
        <v>0.66768649999999996</v>
      </c>
      <c r="K339" s="1">
        <v>7.953942E-2</v>
      </c>
      <c r="L339" s="1">
        <v>0.52539380000000002</v>
      </c>
      <c r="M339" s="1">
        <v>0.49361769999999999</v>
      </c>
      <c r="N339" s="1">
        <v>0.50638229999999995</v>
      </c>
      <c r="O339" s="1">
        <v>0.44875660000000001</v>
      </c>
      <c r="P339" s="1">
        <v>0.55124335999999996</v>
      </c>
      <c r="Q339" s="4">
        <v>0</v>
      </c>
      <c r="R339" s="13">
        <v>0</v>
      </c>
      <c r="S339" s="14">
        <v>1</v>
      </c>
    </row>
    <row r="340" spans="1:19">
      <c r="A340" s="1">
        <v>1</v>
      </c>
      <c r="B340" s="1" t="s">
        <v>351</v>
      </c>
      <c r="C340" s="1">
        <v>0.67174319999999998</v>
      </c>
      <c r="D340" s="1">
        <v>0.458729</v>
      </c>
      <c r="E340" s="1">
        <v>0.31215903</v>
      </c>
      <c r="F340" s="1">
        <v>0.75344615999999998</v>
      </c>
      <c r="G340" s="1">
        <v>0.48821967999999999</v>
      </c>
      <c r="H340" s="1">
        <v>0.51178025999999999</v>
      </c>
      <c r="I340" s="1">
        <v>0.30038133</v>
      </c>
      <c r="J340" s="1">
        <v>0.69961863999999996</v>
      </c>
      <c r="K340" s="1">
        <v>0.35180782999999999</v>
      </c>
      <c r="L340" s="1">
        <v>0.17238563000000001</v>
      </c>
      <c r="M340" s="1">
        <v>0.63741254999999997</v>
      </c>
      <c r="N340" s="1">
        <v>0.36258744999999998</v>
      </c>
      <c r="O340" s="1">
        <v>0.42860853999999998</v>
      </c>
      <c r="P340" s="1">
        <v>0.57139145999999996</v>
      </c>
      <c r="Q340" s="4">
        <v>1</v>
      </c>
      <c r="R340" s="14">
        <v>1</v>
      </c>
      <c r="S340" s="14">
        <v>1</v>
      </c>
    </row>
    <row r="341" spans="1:19">
      <c r="A341" s="1">
        <v>1</v>
      </c>
      <c r="B341" s="5" t="s">
        <v>352</v>
      </c>
      <c r="C341" s="5">
        <v>0.52614399999999995</v>
      </c>
      <c r="D341" s="5">
        <v>0.68006915000000001</v>
      </c>
      <c r="E341" s="5">
        <v>0.24422373</v>
      </c>
      <c r="F341" s="5">
        <v>0.7587545</v>
      </c>
      <c r="G341" s="5">
        <v>0.46797242999999999</v>
      </c>
      <c r="H341" s="5">
        <v>0.53202753999999997</v>
      </c>
      <c r="I341" s="5">
        <v>0.3133206</v>
      </c>
      <c r="J341" s="5">
        <v>0.68667935999999996</v>
      </c>
      <c r="K341" s="5">
        <v>4.6618211999999999E-2</v>
      </c>
      <c r="L341" s="5">
        <v>0.26654679999999997</v>
      </c>
      <c r="M341" s="5">
        <v>0.63933589999999996</v>
      </c>
      <c r="N341" s="5">
        <v>0.36066419999999999</v>
      </c>
      <c r="O341" s="5">
        <v>0.5701387</v>
      </c>
      <c r="P341" s="5">
        <v>0.42986128000000001</v>
      </c>
      <c r="Q341" s="4">
        <v>1</v>
      </c>
      <c r="R341" s="13">
        <v>0</v>
      </c>
      <c r="S341" s="14">
        <v>1</v>
      </c>
    </row>
    <row r="342" spans="1:19">
      <c r="A342" s="7">
        <v>1</v>
      </c>
      <c r="B342" s="7" t="s">
        <v>353</v>
      </c>
      <c r="C342" s="7">
        <v>0.58341295000000004</v>
      </c>
      <c r="D342" s="7">
        <v>0.62003949999999997</v>
      </c>
      <c r="E342" s="7">
        <v>0.49772253999999999</v>
      </c>
      <c r="F342" s="7">
        <v>0.63884909999999995</v>
      </c>
      <c r="G342" s="7">
        <v>0.16766489000000001</v>
      </c>
      <c r="H342" s="7">
        <v>0.83233509999999999</v>
      </c>
      <c r="I342" s="7">
        <v>0.39848994999999998</v>
      </c>
      <c r="J342" s="7">
        <v>0.60151005000000002</v>
      </c>
      <c r="K342" s="7">
        <v>0.30636390000000002</v>
      </c>
      <c r="L342" s="7">
        <v>0.28035726999999999</v>
      </c>
      <c r="M342" s="7">
        <v>0.56071656999999997</v>
      </c>
      <c r="N342" s="7">
        <v>0.43928346000000001</v>
      </c>
      <c r="O342" s="7">
        <v>0.37098110000000001</v>
      </c>
      <c r="P342" s="7">
        <v>0.62901890000000005</v>
      </c>
      <c r="Q342" s="8">
        <v>1</v>
      </c>
      <c r="R342" s="16">
        <v>1</v>
      </c>
      <c r="S342" s="16">
        <v>1</v>
      </c>
    </row>
    <row r="343" spans="1:19">
      <c r="A343" s="1">
        <v>1</v>
      </c>
      <c r="B343" s="1" t="s">
        <v>354</v>
      </c>
      <c r="C343" s="1">
        <v>7.5661560000000003E-2</v>
      </c>
      <c r="D343" s="1">
        <v>0.81303703999999999</v>
      </c>
      <c r="E343" s="1">
        <v>3.988862E-2</v>
      </c>
      <c r="F343" s="1">
        <v>0.77685004000000002</v>
      </c>
      <c r="G343" s="1">
        <v>1.9775352E-2</v>
      </c>
      <c r="H343" s="1">
        <v>0.98022467000000002</v>
      </c>
      <c r="I343" s="1">
        <v>1.7426638000000001E-2</v>
      </c>
      <c r="J343" s="1">
        <v>0.98257333000000002</v>
      </c>
      <c r="K343" s="1">
        <v>5.9622750000000002E-2</v>
      </c>
      <c r="L343" s="1">
        <v>0.26526110000000003</v>
      </c>
      <c r="M343" s="1">
        <v>6.9505540000000005E-2</v>
      </c>
      <c r="N343" s="1">
        <v>0.9304945</v>
      </c>
      <c r="O343" s="1">
        <v>3.6051716999999997E-2</v>
      </c>
      <c r="P343" s="1">
        <v>0.96394829999999998</v>
      </c>
      <c r="Q343" s="4">
        <v>1</v>
      </c>
      <c r="R343" s="14">
        <v>1</v>
      </c>
      <c r="S343" s="14">
        <v>1</v>
      </c>
    </row>
    <row r="344" spans="1:19">
      <c r="A344" s="1">
        <v>1</v>
      </c>
      <c r="B344" s="1" t="s">
        <v>355</v>
      </c>
      <c r="C344" s="1">
        <v>8.9997750000000001E-2</v>
      </c>
      <c r="D344" s="1">
        <v>0.78763780000000005</v>
      </c>
      <c r="E344" s="1">
        <v>0.60380129999999999</v>
      </c>
      <c r="F344" s="1">
        <v>0.60663164000000003</v>
      </c>
      <c r="G344" s="1">
        <v>0.63176299999999996</v>
      </c>
      <c r="H344" s="1">
        <v>0.36823707999999999</v>
      </c>
      <c r="I344" s="1">
        <v>4.6258103000000002E-2</v>
      </c>
      <c r="J344" s="1">
        <v>0.95374185</v>
      </c>
      <c r="K344" s="1">
        <v>0.11319053</v>
      </c>
      <c r="L344" s="1">
        <v>0.44080964</v>
      </c>
      <c r="M344" s="1">
        <v>2.2629331999999999E-2</v>
      </c>
      <c r="N344" s="1">
        <v>0.97737059999999998</v>
      </c>
      <c r="O344" s="1">
        <v>8.0314696000000005E-2</v>
      </c>
      <c r="P344" s="1">
        <v>0.91968530000000004</v>
      </c>
      <c r="Q344" s="4">
        <v>1</v>
      </c>
      <c r="R344" s="14">
        <v>1</v>
      </c>
      <c r="S344" s="14">
        <v>1</v>
      </c>
    </row>
    <row r="345" spans="1:19">
      <c r="A345" s="1">
        <v>1</v>
      </c>
      <c r="B345" s="1" t="s">
        <v>356</v>
      </c>
      <c r="C345" s="1">
        <v>0.28489888000000002</v>
      </c>
      <c r="D345" s="1">
        <v>0.75678915000000002</v>
      </c>
      <c r="E345" s="1">
        <v>4.6102325999999999E-2</v>
      </c>
      <c r="F345" s="1">
        <v>0.79721934000000005</v>
      </c>
      <c r="G345" s="1">
        <v>4.3031760000000002E-2</v>
      </c>
      <c r="H345" s="1">
        <v>0.95696820000000005</v>
      </c>
      <c r="I345" s="1">
        <v>5.1764283000000001E-2</v>
      </c>
      <c r="J345" s="1">
        <v>0.94823570000000001</v>
      </c>
      <c r="K345" s="1">
        <v>0.23568800000000001</v>
      </c>
      <c r="L345" s="1">
        <v>0.38742270000000001</v>
      </c>
      <c r="M345" s="1">
        <v>0.27736541999999997</v>
      </c>
      <c r="N345" s="1">
        <v>0.72263454999999999</v>
      </c>
      <c r="O345" s="1">
        <v>9.7636500000000001E-2</v>
      </c>
      <c r="P345" s="1">
        <v>0.90236353999999996</v>
      </c>
      <c r="Q345" s="4">
        <v>0</v>
      </c>
      <c r="R345" s="13">
        <v>1</v>
      </c>
      <c r="S345" s="14">
        <v>1</v>
      </c>
    </row>
    <row r="346" spans="1:19">
      <c r="A346" s="7">
        <v>1</v>
      </c>
      <c r="B346" s="7" t="s">
        <v>357</v>
      </c>
      <c r="C346" s="7">
        <v>0.37862158000000001</v>
      </c>
      <c r="D346" s="7">
        <v>0.71062380000000003</v>
      </c>
      <c r="E346" s="7">
        <v>8.9995110000000003E-2</v>
      </c>
      <c r="F346" s="7">
        <v>0.78655980000000003</v>
      </c>
      <c r="G346" s="7">
        <v>2.8290336999999999E-2</v>
      </c>
      <c r="H346" s="7">
        <v>0.97170959999999995</v>
      </c>
      <c r="I346" s="7">
        <v>2.5988641999999999E-2</v>
      </c>
      <c r="J346" s="7">
        <v>0.97401139999999997</v>
      </c>
      <c r="K346" s="7">
        <v>0.29212934000000002</v>
      </c>
      <c r="L346" s="7">
        <v>0.29740172999999998</v>
      </c>
      <c r="M346" s="7">
        <v>0.63886887000000003</v>
      </c>
      <c r="N346" s="7">
        <v>0.36113109999999998</v>
      </c>
      <c r="O346" s="7">
        <v>0.9011692</v>
      </c>
      <c r="P346" s="7">
        <v>9.8830864000000004E-2</v>
      </c>
      <c r="Q346" s="8">
        <v>0</v>
      </c>
      <c r="R346" s="15">
        <v>0</v>
      </c>
      <c r="S346" s="16">
        <v>1</v>
      </c>
    </row>
    <row r="347" spans="1:19">
      <c r="A347" s="1">
        <v>1</v>
      </c>
      <c r="B347" s="1" t="s">
        <v>358</v>
      </c>
      <c r="C347" s="1">
        <v>0.70220669999999996</v>
      </c>
      <c r="D347" s="1">
        <v>0.40979314</v>
      </c>
      <c r="E347" s="1">
        <v>0.63336110000000001</v>
      </c>
      <c r="F347" s="1">
        <v>0.54824823</v>
      </c>
      <c r="G347" s="1">
        <v>0.65327626000000005</v>
      </c>
      <c r="H347" s="1">
        <v>0.34672370000000002</v>
      </c>
      <c r="I347" s="1">
        <v>0.90540134999999999</v>
      </c>
      <c r="J347" s="1">
        <v>9.4598665999999998E-2</v>
      </c>
      <c r="K347" s="1">
        <v>0.21884179000000001</v>
      </c>
      <c r="L347" s="1">
        <v>0.20607085999999999</v>
      </c>
      <c r="M347" s="1">
        <v>0.48198711999999999</v>
      </c>
      <c r="N347" s="1">
        <v>0.51801293999999998</v>
      </c>
      <c r="O347" s="1">
        <v>0.57580876000000003</v>
      </c>
      <c r="P347" s="1">
        <v>0.42419127000000001</v>
      </c>
      <c r="Q347" s="4">
        <v>1</v>
      </c>
      <c r="R347" s="14">
        <v>1</v>
      </c>
      <c r="S347" s="14">
        <v>1</v>
      </c>
    </row>
    <row r="348" spans="1:19">
      <c r="A348" s="1">
        <v>1</v>
      </c>
      <c r="B348" s="1" t="s">
        <v>359</v>
      </c>
      <c r="C348" s="1">
        <v>0.39237623999999999</v>
      </c>
      <c r="D348" s="1">
        <v>0.67169314999999996</v>
      </c>
      <c r="E348" s="1">
        <v>0.41580899999999998</v>
      </c>
      <c r="F348" s="1">
        <v>0.70014732999999996</v>
      </c>
      <c r="G348" s="1">
        <v>0.15158764</v>
      </c>
      <c r="H348" s="1">
        <v>0.84841239999999996</v>
      </c>
      <c r="I348" s="1">
        <v>6.9862859999999999E-2</v>
      </c>
      <c r="J348" s="1">
        <v>0.93013710000000005</v>
      </c>
      <c r="K348" s="1">
        <v>0.10480425</v>
      </c>
      <c r="L348" s="1">
        <v>0.49659716999999998</v>
      </c>
      <c r="M348" s="1">
        <v>0.19664659000000001</v>
      </c>
      <c r="N348" s="1">
        <v>0.80335336999999996</v>
      </c>
      <c r="O348" s="1">
        <v>9.6689603999999998E-2</v>
      </c>
      <c r="P348" s="1">
        <v>0.90331035999999998</v>
      </c>
      <c r="Q348" s="4">
        <v>1</v>
      </c>
      <c r="R348" s="14">
        <v>1</v>
      </c>
      <c r="S348" s="14">
        <v>1</v>
      </c>
    </row>
    <row r="349" spans="1:19">
      <c r="A349" s="1">
        <v>1</v>
      </c>
      <c r="B349" s="1" t="s">
        <v>360</v>
      </c>
      <c r="C349" s="1">
        <v>8.0145830000000001E-2</v>
      </c>
      <c r="D349" s="1">
        <v>0.77645724999999999</v>
      </c>
      <c r="E349" s="1">
        <v>1.3597496000000001E-2</v>
      </c>
      <c r="F349" s="1">
        <v>0.80765030000000004</v>
      </c>
      <c r="G349" s="1">
        <v>1.4336052E-2</v>
      </c>
      <c r="H349" s="1">
        <v>0.98566390000000004</v>
      </c>
      <c r="I349" s="1">
        <v>3.0145122E-2</v>
      </c>
      <c r="J349" s="1">
        <v>0.96985482999999995</v>
      </c>
      <c r="K349" s="1">
        <v>9.0750170000000005E-2</v>
      </c>
      <c r="L349" s="1">
        <v>0.45968123999999999</v>
      </c>
      <c r="M349" s="1">
        <v>0.30604723</v>
      </c>
      <c r="N349" s="1">
        <v>0.69395280000000004</v>
      </c>
      <c r="O349" s="1">
        <v>0.1045552</v>
      </c>
      <c r="P349" s="1">
        <v>0.89544486999999995</v>
      </c>
      <c r="Q349" s="4">
        <v>1</v>
      </c>
      <c r="R349" s="14">
        <v>1</v>
      </c>
      <c r="S349" s="14">
        <v>1</v>
      </c>
    </row>
    <row r="350" spans="1:19">
      <c r="A350" s="1">
        <v>1</v>
      </c>
      <c r="B350" s="1" t="s">
        <v>361</v>
      </c>
      <c r="C350" s="1">
        <v>8.3020709999999998E-2</v>
      </c>
      <c r="D350" s="1">
        <v>0.76509684</v>
      </c>
      <c r="E350" s="1">
        <v>0.23890913</v>
      </c>
      <c r="F350" s="1">
        <v>0.74430065999999995</v>
      </c>
      <c r="G350" s="1">
        <v>0.19861059</v>
      </c>
      <c r="H350" s="1">
        <v>0.80138946</v>
      </c>
      <c r="I350" s="1">
        <v>4.7904256999999999E-2</v>
      </c>
      <c r="J350" s="1">
        <v>0.95209575000000002</v>
      </c>
      <c r="K350" s="1">
        <v>2.8100422E-2</v>
      </c>
      <c r="L350" s="1">
        <v>0.34649825000000001</v>
      </c>
      <c r="M350" s="1">
        <v>7.5908229999999993E-2</v>
      </c>
      <c r="N350" s="1">
        <v>0.92409169999999996</v>
      </c>
      <c r="O350" s="1">
        <v>2.8453375999999999E-2</v>
      </c>
      <c r="P350" s="1">
        <v>0.97154664999999996</v>
      </c>
      <c r="Q350" s="4">
        <v>1</v>
      </c>
      <c r="R350" s="14">
        <v>1</v>
      </c>
      <c r="S350" s="14">
        <v>1</v>
      </c>
    </row>
    <row r="351" spans="1:19">
      <c r="A351" s="1">
        <v>1</v>
      </c>
      <c r="B351" s="1" t="s">
        <v>362</v>
      </c>
      <c r="C351" s="1">
        <v>2.3725350999999999E-2</v>
      </c>
      <c r="D351" s="1">
        <v>0.76516013999999999</v>
      </c>
      <c r="E351" s="1">
        <v>0.18295354</v>
      </c>
      <c r="F351" s="1">
        <v>0.73397559999999995</v>
      </c>
      <c r="G351" s="1">
        <v>3.8878336999999999E-2</v>
      </c>
      <c r="H351" s="1">
        <v>0.96112160000000002</v>
      </c>
      <c r="I351" s="1">
        <v>2.6135730999999999E-2</v>
      </c>
      <c r="J351" s="1">
        <v>0.97386430000000002</v>
      </c>
      <c r="K351" s="1">
        <v>6.6476314999999999E-3</v>
      </c>
      <c r="L351" s="1">
        <v>0.50351024</v>
      </c>
      <c r="M351" s="1">
        <v>0.13227174</v>
      </c>
      <c r="N351" s="1">
        <v>0.86772822999999999</v>
      </c>
      <c r="O351" s="1">
        <v>0.20431321999999999</v>
      </c>
      <c r="P351" s="1">
        <v>0.79568680000000003</v>
      </c>
      <c r="Q351" s="4">
        <v>1</v>
      </c>
      <c r="R351" s="14">
        <v>1</v>
      </c>
      <c r="S351" s="14">
        <v>1</v>
      </c>
    </row>
    <row r="352" spans="1:19">
      <c r="A352" s="1">
        <v>1</v>
      </c>
      <c r="B352" s="1" t="s">
        <v>363</v>
      </c>
      <c r="C352" s="1">
        <v>0.49382789999999999</v>
      </c>
      <c r="D352" s="1">
        <v>0.59282959999999996</v>
      </c>
      <c r="E352" s="1">
        <v>0.66561764000000001</v>
      </c>
      <c r="F352" s="1">
        <v>0.56169440000000004</v>
      </c>
      <c r="G352" s="1">
        <v>0.68033177</v>
      </c>
      <c r="H352" s="1">
        <v>0.31966820000000001</v>
      </c>
      <c r="I352" s="1">
        <v>0.76327820000000002</v>
      </c>
      <c r="J352" s="1">
        <v>0.23672182999999999</v>
      </c>
      <c r="K352" s="1">
        <v>0.35152090000000003</v>
      </c>
      <c r="L352" s="1">
        <v>0.29616037000000001</v>
      </c>
      <c r="M352" s="1">
        <v>0.58786136</v>
      </c>
      <c r="N352" s="1">
        <v>0.41213857999999998</v>
      </c>
      <c r="O352" s="1">
        <v>0.43204910000000002</v>
      </c>
      <c r="P352" s="1">
        <v>0.56795090000000004</v>
      </c>
      <c r="Q352" s="4">
        <v>0</v>
      </c>
      <c r="R352" s="13">
        <v>1</v>
      </c>
      <c r="S352" s="14">
        <v>1</v>
      </c>
    </row>
    <row r="353" spans="1:19">
      <c r="A353" s="1">
        <v>1</v>
      </c>
      <c r="B353" s="1" t="s">
        <v>364</v>
      </c>
      <c r="C353" s="1">
        <v>0.30581101999999999</v>
      </c>
      <c r="D353" s="1">
        <v>0.71184740000000002</v>
      </c>
      <c r="E353" s="1">
        <v>0.30786251999999997</v>
      </c>
      <c r="F353" s="1">
        <v>0.71654724999999997</v>
      </c>
      <c r="G353" s="1">
        <v>0.103231646</v>
      </c>
      <c r="H353" s="1">
        <v>0.89676840000000002</v>
      </c>
      <c r="I353" s="1">
        <v>0.10462378999999999</v>
      </c>
      <c r="J353" s="1">
        <v>0.89537619999999996</v>
      </c>
      <c r="K353" s="1">
        <v>0.10645967000000001</v>
      </c>
      <c r="L353" s="1">
        <v>0.35292005999999998</v>
      </c>
      <c r="M353" s="1">
        <v>0.24998176</v>
      </c>
      <c r="N353" s="1">
        <v>0.75001830000000003</v>
      </c>
      <c r="O353" s="1">
        <v>0.44233804999999998</v>
      </c>
      <c r="P353" s="1">
        <v>0.55766194999999996</v>
      </c>
      <c r="Q353" s="4">
        <v>1</v>
      </c>
      <c r="R353" s="14">
        <v>1</v>
      </c>
      <c r="S353" s="14">
        <v>1</v>
      </c>
    </row>
    <row r="354" spans="1:19">
      <c r="A354" s="1">
        <v>1</v>
      </c>
      <c r="B354" s="1" t="s">
        <v>365</v>
      </c>
      <c r="C354" s="1">
        <v>0.73733974000000002</v>
      </c>
      <c r="D354" s="1">
        <v>0.26426712000000002</v>
      </c>
      <c r="E354" s="1">
        <v>0.7501371</v>
      </c>
      <c r="F354" s="1">
        <v>0.31931472</v>
      </c>
      <c r="G354" s="1">
        <v>0.84508364999999996</v>
      </c>
      <c r="H354" s="1">
        <v>0.15491637999999999</v>
      </c>
      <c r="I354" s="1">
        <v>0.53638419999999998</v>
      </c>
      <c r="J354" s="1">
        <v>0.46361577999999998</v>
      </c>
      <c r="K354" s="1">
        <v>0.30241020000000002</v>
      </c>
      <c r="L354" s="1">
        <v>0.18306607</v>
      </c>
      <c r="M354" s="1">
        <v>0.42587217999999999</v>
      </c>
      <c r="N354" s="1">
        <v>0.57412779999999997</v>
      </c>
      <c r="O354" s="1">
        <v>0.51418640000000004</v>
      </c>
      <c r="P354" s="1">
        <v>0.48581362</v>
      </c>
      <c r="Q354" s="4">
        <v>0</v>
      </c>
      <c r="R354" s="14">
        <v>1</v>
      </c>
      <c r="S354" s="14">
        <v>1</v>
      </c>
    </row>
    <row r="355" spans="1:19">
      <c r="A355" s="1">
        <v>1</v>
      </c>
      <c r="B355" s="1" t="s">
        <v>366</v>
      </c>
      <c r="C355" s="1">
        <v>0.26367425999999999</v>
      </c>
      <c r="D355" s="1">
        <v>0.72206440000000005</v>
      </c>
      <c r="E355" s="1">
        <v>0.47829660000000002</v>
      </c>
      <c r="F355" s="1">
        <v>0.65466535000000003</v>
      </c>
      <c r="G355" s="1">
        <v>0.48411547999999999</v>
      </c>
      <c r="H355" s="1">
        <v>0.51588460000000003</v>
      </c>
      <c r="I355" s="1">
        <v>1.4422114E-2</v>
      </c>
      <c r="J355" s="1">
        <v>0.98557790000000001</v>
      </c>
      <c r="K355" s="1">
        <v>4.8686739999999999E-2</v>
      </c>
      <c r="L355" s="1">
        <v>0.36183090000000001</v>
      </c>
      <c r="M355" s="1">
        <v>7.6443629999999999E-2</v>
      </c>
      <c r="N355" s="1">
        <v>0.92355640000000006</v>
      </c>
      <c r="O355" s="1">
        <v>4.073914E-2</v>
      </c>
      <c r="P355" s="1">
        <v>0.95926089999999997</v>
      </c>
      <c r="Q355" s="4">
        <v>1</v>
      </c>
      <c r="R355" s="14">
        <v>1</v>
      </c>
      <c r="S355" s="14">
        <v>1</v>
      </c>
    </row>
    <row r="356" spans="1:19">
      <c r="A356" s="1">
        <v>1</v>
      </c>
      <c r="B356" s="1" t="s">
        <v>367</v>
      </c>
      <c r="C356" s="1">
        <v>7.0602453999999995E-2</v>
      </c>
      <c r="D356" s="1">
        <v>0.81912750000000001</v>
      </c>
      <c r="E356" s="1">
        <v>7.5997910000000002E-2</v>
      </c>
      <c r="F356" s="1">
        <v>0.79813296</v>
      </c>
      <c r="G356" s="1">
        <v>8.8566349999999999E-3</v>
      </c>
      <c r="H356" s="1">
        <v>0.99114334999999998</v>
      </c>
      <c r="I356" s="1">
        <v>6.5205510000000005E-4</v>
      </c>
      <c r="J356" s="1">
        <v>0.99934800000000001</v>
      </c>
      <c r="K356" s="1">
        <v>9.3768799999999999E-2</v>
      </c>
      <c r="L356" s="1">
        <v>0.46384249999999999</v>
      </c>
      <c r="M356" s="1">
        <v>4.4594094000000001E-2</v>
      </c>
      <c r="N356" s="1">
        <v>0.95540590000000003</v>
      </c>
      <c r="O356" s="1">
        <v>4.9058313999999999E-2</v>
      </c>
      <c r="P356" s="1">
        <v>0.95094160000000005</v>
      </c>
      <c r="Q356" s="4">
        <v>1</v>
      </c>
      <c r="R356" s="14">
        <v>1</v>
      </c>
      <c r="S356" s="14">
        <v>1</v>
      </c>
    </row>
    <row r="357" spans="1:19">
      <c r="A357" s="1">
        <v>1</v>
      </c>
      <c r="B357" s="1" t="s">
        <v>368</v>
      </c>
      <c r="C357" s="1">
        <v>0.53423710000000002</v>
      </c>
      <c r="D357" s="1">
        <v>0.63221799999999995</v>
      </c>
      <c r="E357" s="1">
        <v>0.59894144999999999</v>
      </c>
      <c r="F357" s="1">
        <v>0.5859297</v>
      </c>
      <c r="G357" s="1">
        <v>0.6272991</v>
      </c>
      <c r="H357" s="1">
        <v>0.3727009</v>
      </c>
      <c r="I357" s="1">
        <v>0.53789089999999995</v>
      </c>
      <c r="J357" s="1">
        <v>0.46210911999999998</v>
      </c>
      <c r="K357" s="1">
        <v>5.1430183999999997E-2</v>
      </c>
      <c r="L357" s="1">
        <v>0.36672105999999999</v>
      </c>
      <c r="M357" s="1">
        <v>0.24196243000000001</v>
      </c>
      <c r="N357" s="1">
        <v>0.75803757000000005</v>
      </c>
      <c r="O357" s="1">
        <v>7.8485750000000007E-2</v>
      </c>
      <c r="P357" s="1">
        <v>0.92151430000000001</v>
      </c>
      <c r="Q357" s="4">
        <v>1</v>
      </c>
      <c r="R357" s="14">
        <v>1</v>
      </c>
      <c r="S357" s="14">
        <v>1</v>
      </c>
    </row>
    <row r="358" spans="1:19">
      <c r="A358" s="1">
        <v>1</v>
      </c>
      <c r="B358" s="1" t="s">
        <v>369</v>
      </c>
      <c r="C358" s="1">
        <v>4.2474552999999998E-2</v>
      </c>
      <c r="D358" s="1">
        <v>0.78673709999999997</v>
      </c>
      <c r="E358" s="1">
        <v>0.33627146000000002</v>
      </c>
      <c r="F358" s="1">
        <v>0.71057650000000006</v>
      </c>
      <c r="G358" s="1">
        <v>0.10992536999999999</v>
      </c>
      <c r="H358" s="1">
        <v>0.89007460000000005</v>
      </c>
      <c r="I358" s="1">
        <v>5.9021096000000004E-4</v>
      </c>
      <c r="J358" s="1">
        <v>0.99940980000000001</v>
      </c>
      <c r="K358" s="1">
        <v>0.13629912999999999</v>
      </c>
      <c r="L358" s="1">
        <v>0.21838605</v>
      </c>
      <c r="M358" s="1">
        <v>7.7526263999999998E-2</v>
      </c>
      <c r="N358" s="1">
        <v>0.92247369999999995</v>
      </c>
      <c r="O358" s="1">
        <v>4.9120206E-2</v>
      </c>
      <c r="P358" s="1">
        <v>0.95087975000000002</v>
      </c>
      <c r="Q358" s="4">
        <v>1</v>
      </c>
      <c r="R358" s="14">
        <v>1</v>
      </c>
      <c r="S358" s="14">
        <v>1</v>
      </c>
    </row>
    <row r="359" spans="1:19">
      <c r="A359" s="1">
        <v>1</v>
      </c>
      <c r="B359" s="1" t="s">
        <v>370</v>
      </c>
      <c r="C359" s="1">
        <v>1.4121712999999999E-2</v>
      </c>
      <c r="D359" s="1">
        <v>0.77581113999999995</v>
      </c>
      <c r="E359" s="1">
        <v>0.21524404</v>
      </c>
      <c r="F359" s="1">
        <v>0.76600409999999997</v>
      </c>
      <c r="G359" s="1">
        <v>6.1275348E-2</v>
      </c>
      <c r="H359" s="1">
        <v>0.93872469999999997</v>
      </c>
      <c r="I359" s="1">
        <v>5.2535213000000002E-3</v>
      </c>
      <c r="J359" s="1">
        <v>0.99474649999999998</v>
      </c>
      <c r="K359" s="1">
        <v>8.7386005000000003E-2</v>
      </c>
      <c r="L359" s="1">
        <v>0.55919236000000005</v>
      </c>
      <c r="M359" s="1">
        <v>5.5776010000000001E-2</v>
      </c>
      <c r="N359" s="1">
        <v>0.94422399999999995</v>
      </c>
      <c r="O359" s="1">
        <v>3.1102919999999999E-2</v>
      </c>
      <c r="P359" s="1">
        <v>0.96889703999999999</v>
      </c>
      <c r="Q359" s="4">
        <v>1</v>
      </c>
      <c r="R359" s="14">
        <v>1</v>
      </c>
      <c r="S359" s="14">
        <v>1</v>
      </c>
    </row>
    <row r="360" spans="1:19">
      <c r="A360" s="1">
        <v>1</v>
      </c>
      <c r="B360" s="1" t="s">
        <v>371</v>
      </c>
      <c r="C360" s="1">
        <v>6.7123639999999998E-2</v>
      </c>
      <c r="D360" s="1">
        <v>0.77987980000000001</v>
      </c>
      <c r="E360" s="1">
        <v>8.0406135E-3</v>
      </c>
      <c r="F360" s="1">
        <v>0.80109249999999999</v>
      </c>
      <c r="G360" s="1">
        <v>1.6361948000000001E-2</v>
      </c>
      <c r="H360" s="1">
        <v>0.98363805000000004</v>
      </c>
      <c r="I360" s="1">
        <v>0.16095047000000001</v>
      </c>
      <c r="J360" s="1">
        <v>0.8390495</v>
      </c>
      <c r="K360" s="1">
        <v>5.7072047000000001E-2</v>
      </c>
      <c r="L360" s="1">
        <v>0.40182656</v>
      </c>
      <c r="M360" s="1">
        <v>0.58225375000000001</v>
      </c>
      <c r="N360" s="1">
        <v>0.41774624999999999</v>
      </c>
      <c r="O360" s="1">
        <v>0.630749</v>
      </c>
      <c r="P360" s="1">
        <v>0.36925103999999997</v>
      </c>
      <c r="Q360" s="4">
        <v>1</v>
      </c>
      <c r="R360" s="14">
        <v>1</v>
      </c>
      <c r="S360" s="14">
        <v>1</v>
      </c>
    </row>
    <row r="361" spans="1:19">
      <c r="A361" s="1">
        <v>1</v>
      </c>
      <c r="B361" s="1" t="s">
        <v>372</v>
      </c>
      <c r="C361" s="1">
        <v>6.3639070000000006E-2</v>
      </c>
      <c r="D361" s="1">
        <v>0.74785400000000002</v>
      </c>
      <c r="E361" s="1">
        <v>6.4324860000000003E-3</v>
      </c>
      <c r="F361" s="1">
        <v>0.80187297000000002</v>
      </c>
      <c r="G361" s="1">
        <v>4.2363519999999997E-3</v>
      </c>
      <c r="H361" s="1">
        <v>0.99576366000000005</v>
      </c>
      <c r="I361" s="1">
        <v>1.0672205E-3</v>
      </c>
      <c r="J361" s="1">
        <v>0.99893279999999995</v>
      </c>
      <c r="K361" s="1">
        <v>2.5879059999999999E-2</v>
      </c>
      <c r="L361" s="1">
        <v>0.5416995</v>
      </c>
      <c r="M361" s="1">
        <v>7.1458525999999994E-2</v>
      </c>
      <c r="N361" s="1">
        <v>0.92854150000000002</v>
      </c>
      <c r="O361" s="1">
        <v>3.6779831999999998E-2</v>
      </c>
      <c r="P361" s="1">
        <v>0.96322010000000002</v>
      </c>
      <c r="Q361" s="4">
        <v>0</v>
      </c>
      <c r="R361" s="13">
        <v>0</v>
      </c>
      <c r="S361" s="14">
        <v>1</v>
      </c>
    </row>
    <row r="362" spans="1:19">
      <c r="A362" s="1">
        <v>1</v>
      </c>
      <c r="B362" s="1" t="s">
        <v>373</v>
      </c>
      <c r="C362" s="1">
        <v>0.13326871000000001</v>
      </c>
      <c r="D362" s="1">
        <v>0.8125928</v>
      </c>
      <c r="E362" s="1">
        <v>3.3155512E-3</v>
      </c>
      <c r="F362" s="1">
        <v>0.80095594999999997</v>
      </c>
      <c r="G362" s="1">
        <v>9.0040120000000005E-3</v>
      </c>
      <c r="H362" s="1">
        <v>0.99099605999999996</v>
      </c>
      <c r="I362" s="1">
        <v>3.5617686999999998E-4</v>
      </c>
      <c r="J362" s="1">
        <v>0.99964379999999997</v>
      </c>
      <c r="K362" s="1">
        <v>0.10288586500000001</v>
      </c>
      <c r="L362" s="1">
        <v>0.31715098000000003</v>
      </c>
      <c r="M362" s="1">
        <v>0.16080694000000001</v>
      </c>
      <c r="N362" s="1">
        <v>0.83919305</v>
      </c>
      <c r="O362" s="1">
        <v>6.4956516000000006E-2</v>
      </c>
      <c r="P362" s="1">
        <v>0.93504350000000003</v>
      </c>
      <c r="Q362" s="4">
        <v>1</v>
      </c>
      <c r="R362" s="14">
        <v>1</v>
      </c>
      <c r="S362" s="14">
        <v>1</v>
      </c>
    </row>
    <row r="363" spans="1:19">
      <c r="A363" s="1">
        <v>1</v>
      </c>
      <c r="B363" s="1" t="s">
        <v>374</v>
      </c>
      <c r="C363" s="1">
        <v>0.43749025000000002</v>
      </c>
      <c r="D363" s="1">
        <v>0.71625050000000001</v>
      </c>
      <c r="E363" s="1">
        <v>0.58842779999999995</v>
      </c>
      <c r="F363" s="1">
        <v>0.65700203000000001</v>
      </c>
      <c r="G363" s="1">
        <v>0.29317441999999999</v>
      </c>
      <c r="H363" s="1">
        <v>0.70682555000000002</v>
      </c>
      <c r="I363" s="1">
        <v>0.30399510000000002</v>
      </c>
      <c r="J363" s="1">
        <v>0.69600490000000004</v>
      </c>
      <c r="K363" s="1">
        <v>0.25954577000000001</v>
      </c>
      <c r="L363" s="1">
        <v>0.15938359999999999</v>
      </c>
      <c r="M363" s="1">
        <v>0.37287807000000001</v>
      </c>
      <c r="N363" s="1">
        <v>0.62712199999999996</v>
      </c>
      <c r="O363" s="1">
        <v>0.15920688</v>
      </c>
      <c r="P363" s="1">
        <v>0.84079313</v>
      </c>
      <c r="Q363" s="4">
        <v>1</v>
      </c>
      <c r="R363" s="14">
        <v>1</v>
      </c>
      <c r="S363" s="14">
        <v>1</v>
      </c>
    </row>
    <row r="364" spans="1:19">
      <c r="A364" s="1">
        <v>1</v>
      </c>
      <c r="B364" s="1" t="s">
        <v>375</v>
      </c>
      <c r="C364" s="1">
        <v>0.32626355000000001</v>
      </c>
      <c r="D364" s="1">
        <v>0.73629886</v>
      </c>
      <c r="E364" s="1">
        <v>0.3274746</v>
      </c>
      <c r="F364" s="1">
        <v>0.74670386</v>
      </c>
      <c r="G364" s="1">
        <v>0.12949949999999999</v>
      </c>
      <c r="H364" s="1">
        <v>0.87050050000000001</v>
      </c>
      <c r="I364" s="1">
        <v>0.11826476</v>
      </c>
      <c r="J364" s="1">
        <v>0.88173526999999996</v>
      </c>
      <c r="K364" s="1">
        <v>0.24918738000000001</v>
      </c>
      <c r="L364" s="1">
        <v>0.20437658</v>
      </c>
      <c r="M364" s="1">
        <v>0.34966594000000001</v>
      </c>
      <c r="N364" s="1">
        <v>0.65033406000000005</v>
      </c>
      <c r="O364" s="1">
        <v>0.48743215000000001</v>
      </c>
      <c r="P364" s="1">
        <v>0.51256780000000002</v>
      </c>
      <c r="Q364" s="4">
        <v>1</v>
      </c>
      <c r="R364" s="13">
        <v>1</v>
      </c>
      <c r="S364" s="14">
        <v>1</v>
      </c>
    </row>
    <row r="365" spans="1:19">
      <c r="A365" s="1">
        <v>1</v>
      </c>
      <c r="B365" s="1" t="s">
        <v>376</v>
      </c>
      <c r="C365" s="1">
        <v>0.19876147999999999</v>
      </c>
      <c r="D365" s="1">
        <v>0.81311009999999995</v>
      </c>
      <c r="E365" s="1">
        <v>1.3044554999999999E-2</v>
      </c>
      <c r="F365" s="1">
        <v>0.804925</v>
      </c>
      <c r="G365" s="1">
        <v>2.1843049000000001E-3</v>
      </c>
      <c r="H365" s="1">
        <v>0.99781569999999997</v>
      </c>
      <c r="I365" s="1">
        <v>2.3706395000000001E-3</v>
      </c>
      <c r="J365" s="1">
        <v>0.99762934000000003</v>
      </c>
      <c r="K365" s="1">
        <v>3.9611210000000001E-2</v>
      </c>
      <c r="L365" s="1">
        <v>0.39864549999999999</v>
      </c>
      <c r="M365" s="1">
        <v>1.9988095000000001E-2</v>
      </c>
      <c r="N365" s="1">
        <v>0.98001194000000003</v>
      </c>
      <c r="O365" s="1">
        <v>2.4479386999999998E-2</v>
      </c>
      <c r="P365" s="1">
        <v>0.97552059999999996</v>
      </c>
      <c r="Q365" s="4">
        <v>1</v>
      </c>
      <c r="R365" s="14">
        <v>1</v>
      </c>
      <c r="S365" s="14">
        <v>1</v>
      </c>
    </row>
    <row r="366" spans="1:19">
      <c r="A366" s="1">
        <v>1</v>
      </c>
      <c r="B366" s="1" t="s">
        <v>377</v>
      </c>
      <c r="C366" s="1">
        <v>0.14294082</v>
      </c>
      <c r="D366" s="1">
        <v>0.76327610000000001</v>
      </c>
      <c r="E366" s="1">
        <v>0.2055324</v>
      </c>
      <c r="F366" s="1">
        <v>0.78613805999999997</v>
      </c>
      <c r="G366" s="1">
        <v>0.21815970000000001</v>
      </c>
      <c r="H366" s="1">
        <v>0.78184025999999995</v>
      </c>
      <c r="I366" s="1">
        <v>1.5941644000000001E-2</v>
      </c>
      <c r="J366" s="1">
        <v>0.98405830000000005</v>
      </c>
      <c r="K366" s="1">
        <v>0.24430013</v>
      </c>
      <c r="L366" s="1">
        <v>0.32260444999999999</v>
      </c>
      <c r="M366" s="1">
        <v>0.16629367</v>
      </c>
      <c r="N366" s="1">
        <v>0.83370630000000001</v>
      </c>
      <c r="O366" s="1">
        <v>0.11574995</v>
      </c>
      <c r="P366" s="1">
        <v>0.88425003999999996</v>
      </c>
      <c r="Q366" s="4">
        <v>1</v>
      </c>
      <c r="R366" s="14">
        <v>1</v>
      </c>
      <c r="S366" s="14">
        <v>1</v>
      </c>
    </row>
    <row r="367" spans="1:19">
      <c r="A367" s="1">
        <v>1</v>
      </c>
      <c r="B367" s="1" t="s">
        <v>378</v>
      </c>
      <c r="C367" s="1">
        <v>3.1899467000000001E-2</v>
      </c>
      <c r="D367" s="1">
        <v>0.81152389999999996</v>
      </c>
      <c r="E367" s="1">
        <v>1.49576925E-2</v>
      </c>
      <c r="F367" s="1">
        <v>0.80718310000000004</v>
      </c>
      <c r="G367" s="1">
        <v>3.7446048000000003E-2</v>
      </c>
      <c r="H367" s="1">
        <v>0.96255400000000002</v>
      </c>
      <c r="I367" s="1">
        <v>1.1680441E-2</v>
      </c>
      <c r="J367" s="1">
        <v>0.98831950000000002</v>
      </c>
      <c r="K367" s="1">
        <v>7.6239749999999995E-2</v>
      </c>
      <c r="L367" s="1">
        <v>0.44182247000000002</v>
      </c>
      <c r="M367" s="1">
        <v>2.0981316E-2</v>
      </c>
      <c r="N367" s="1">
        <v>0.97901870000000002</v>
      </c>
      <c r="O367" s="1">
        <v>1.1965816000000001E-2</v>
      </c>
      <c r="P367" s="1">
        <v>0.98803419999999997</v>
      </c>
      <c r="Q367" s="4">
        <v>1</v>
      </c>
      <c r="R367" s="14">
        <v>1</v>
      </c>
      <c r="S367" s="14">
        <v>1</v>
      </c>
    </row>
    <row r="368" spans="1:19">
      <c r="A368" s="1">
        <v>1</v>
      </c>
      <c r="B368" s="1" t="s">
        <v>379</v>
      </c>
      <c r="C368" s="1">
        <v>0.30086136000000002</v>
      </c>
      <c r="D368" s="1">
        <v>0.73504806</v>
      </c>
      <c r="E368" s="1">
        <v>0.19109103</v>
      </c>
      <c r="F368" s="1">
        <v>0.74719924000000004</v>
      </c>
      <c r="G368" s="1">
        <v>2.8689412000000001E-2</v>
      </c>
      <c r="H368" s="1">
        <v>0.97131056000000005</v>
      </c>
      <c r="I368" s="1">
        <v>1.6030757E-2</v>
      </c>
      <c r="J368" s="1">
        <v>0.98396919999999999</v>
      </c>
      <c r="K368" s="1">
        <v>4.4385872999999999E-2</v>
      </c>
      <c r="L368" s="1">
        <v>0.45349013999999999</v>
      </c>
      <c r="M368" s="1">
        <v>8.5401069999999996E-2</v>
      </c>
      <c r="N368" s="1">
        <v>0.91459893999999997</v>
      </c>
      <c r="O368" s="1">
        <v>6.279498E-2</v>
      </c>
      <c r="P368" s="1">
        <v>0.93720499999999995</v>
      </c>
      <c r="Q368" s="4">
        <v>1</v>
      </c>
      <c r="R368" s="13">
        <v>0</v>
      </c>
      <c r="S368" s="14">
        <v>1</v>
      </c>
    </row>
    <row r="369" spans="1:19">
      <c r="A369" s="1">
        <v>1</v>
      </c>
      <c r="B369" s="1" t="s">
        <v>380</v>
      </c>
      <c r="C369" s="1">
        <v>0.34066087</v>
      </c>
      <c r="D369" s="1">
        <v>0.68208190000000002</v>
      </c>
      <c r="E369" s="1">
        <v>0.41949029999999998</v>
      </c>
      <c r="F369" s="1">
        <v>0.68325806</v>
      </c>
      <c r="G369" s="1">
        <v>3.9107759999999998E-2</v>
      </c>
      <c r="H369" s="1">
        <v>0.96089219999999997</v>
      </c>
      <c r="I369" s="1">
        <v>4.6646483000000002E-2</v>
      </c>
      <c r="J369" s="1">
        <v>0.95335349999999996</v>
      </c>
      <c r="K369" s="1">
        <v>7.8690819999999995E-2</v>
      </c>
      <c r="L369" s="1">
        <v>0.32951605</v>
      </c>
      <c r="M369" s="1">
        <v>5.8541179999999998E-2</v>
      </c>
      <c r="N369" s="1">
        <v>0.94145880000000004</v>
      </c>
      <c r="O369" s="1">
        <v>0.22877786999999999</v>
      </c>
      <c r="P369" s="1">
        <v>0.77122219999999997</v>
      </c>
      <c r="Q369" s="4">
        <v>1</v>
      </c>
      <c r="R369" s="14">
        <v>1</v>
      </c>
      <c r="S369" s="14">
        <v>1</v>
      </c>
    </row>
    <row r="370" spans="1:19">
      <c r="Q370" s="4"/>
      <c r="R370" s="13"/>
      <c r="S370" s="14"/>
    </row>
    <row r="371" spans="1:19">
      <c r="A371" s="1" t="s">
        <v>381</v>
      </c>
      <c r="Q371" s="4"/>
      <c r="R371" s="14"/>
      <c r="S371" s="14"/>
    </row>
    <row r="372" spans="1:19">
      <c r="A372" s="1">
        <v>0</v>
      </c>
      <c r="B372" s="1" t="s">
        <v>382</v>
      </c>
      <c r="C372" s="1">
        <v>0.66726859999999999</v>
      </c>
      <c r="D372" s="1">
        <v>0.44204104</v>
      </c>
      <c r="E372" s="1">
        <v>0.6337701</v>
      </c>
      <c r="F372" s="1">
        <v>0.61328375000000002</v>
      </c>
      <c r="G372" s="1">
        <v>0.6468294</v>
      </c>
      <c r="H372" s="1">
        <v>0.3531706</v>
      </c>
      <c r="I372" s="1">
        <v>0.74369483999999997</v>
      </c>
      <c r="J372" s="1">
        <v>0.25630512999999999</v>
      </c>
      <c r="K372" s="1">
        <v>0.10320451</v>
      </c>
      <c r="L372" s="1">
        <v>0.38334504000000003</v>
      </c>
      <c r="M372" s="1">
        <v>0.29152670000000003</v>
      </c>
      <c r="N372" s="1">
        <v>0.70847329999999997</v>
      </c>
      <c r="O372" s="1">
        <v>0.48149619999999999</v>
      </c>
      <c r="P372" s="1">
        <v>0.51850384000000005</v>
      </c>
      <c r="Q372" s="4">
        <v>0</v>
      </c>
      <c r="R372" s="13">
        <v>0</v>
      </c>
      <c r="S372" s="14">
        <v>0</v>
      </c>
    </row>
    <row r="373" spans="1:19">
      <c r="A373" s="1">
        <v>0</v>
      </c>
      <c r="B373" s="1" t="s">
        <v>383</v>
      </c>
      <c r="C373" s="1">
        <v>0.51531570000000004</v>
      </c>
      <c r="D373" s="1">
        <v>0.6675333</v>
      </c>
      <c r="E373" s="1">
        <v>0.47045416000000001</v>
      </c>
      <c r="F373" s="1">
        <v>0.70206630000000003</v>
      </c>
      <c r="G373" s="1">
        <v>0.57143164000000002</v>
      </c>
      <c r="H373" s="1">
        <v>0.42856840000000002</v>
      </c>
      <c r="I373" s="1">
        <v>0.49349767</v>
      </c>
      <c r="J373" s="1">
        <v>0.50650229999999996</v>
      </c>
      <c r="K373" s="1">
        <v>0.19279666000000001</v>
      </c>
      <c r="L373" s="1">
        <v>0.33081677999999998</v>
      </c>
      <c r="M373" s="1">
        <v>0.35250629999999999</v>
      </c>
      <c r="N373" s="1">
        <v>0.64749365999999997</v>
      </c>
      <c r="O373" s="1">
        <v>0.37327608000000001</v>
      </c>
      <c r="P373" s="1">
        <v>0.6267239</v>
      </c>
      <c r="Q373" s="4">
        <v>0</v>
      </c>
      <c r="R373" s="13">
        <v>0</v>
      </c>
      <c r="S373" s="14">
        <v>0</v>
      </c>
    </row>
    <row r="374" spans="1:19">
      <c r="A374" s="1">
        <v>0</v>
      </c>
      <c r="B374" s="1" t="s">
        <v>384</v>
      </c>
      <c r="C374" s="1">
        <v>0.27111414</v>
      </c>
      <c r="D374" s="1">
        <v>0.72846586000000002</v>
      </c>
      <c r="E374" s="1">
        <v>0.24095844</v>
      </c>
      <c r="F374" s="1">
        <v>0.77831660000000003</v>
      </c>
      <c r="G374" s="1">
        <v>0.20389922999999999</v>
      </c>
      <c r="H374" s="1">
        <v>0.79610080000000005</v>
      </c>
      <c r="I374" s="1">
        <v>0.12347285</v>
      </c>
      <c r="J374" s="1">
        <v>0.8765271</v>
      </c>
      <c r="K374" s="1">
        <v>5.9618856999999997E-2</v>
      </c>
      <c r="L374" s="1">
        <v>0.33377846999999999</v>
      </c>
      <c r="M374" s="1">
        <v>0.18123817</v>
      </c>
      <c r="N374" s="1">
        <v>0.81876179999999998</v>
      </c>
      <c r="O374" s="1">
        <v>0.18011168999999999</v>
      </c>
      <c r="P374" s="1">
        <v>0.81988835000000004</v>
      </c>
      <c r="Q374" s="4">
        <v>0</v>
      </c>
      <c r="R374" s="14">
        <v>1</v>
      </c>
      <c r="S374" s="14">
        <v>1</v>
      </c>
    </row>
    <row r="375" spans="1:19">
      <c r="A375" s="1">
        <v>0</v>
      </c>
      <c r="B375" s="1" t="s">
        <v>385</v>
      </c>
      <c r="C375" s="1">
        <v>0.76135074999999997</v>
      </c>
      <c r="D375" s="1">
        <v>0.19292976000000001</v>
      </c>
      <c r="E375" s="1">
        <v>0.77000433000000001</v>
      </c>
      <c r="F375" s="1">
        <v>0.26005193999999998</v>
      </c>
      <c r="G375" s="1">
        <v>0.82602376</v>
      </c>
      <c r="H375" s="1">
        <v>0.1739763</v>
      </c>
      <c r="I375" s="1">
        <v>0.84935110000000003</v>
      </c>
      <c r="J375" s="1">
        <v>0.15064885</v>
      </c>
      <c r="K375" s="1">
        <v>0.19935252000000001</v>
      </c>
      <c r="L375" s="1">
        <v>0.15648201</v>
      </c>
      <c r="M375" s="1">
        <v>0.62765526999999999</v>
      </c>
      <c r="N375" s="1">
        <v>0.37234473000000001</v>
      </c>
      <c r="O375" s="1">
        <v>0.63316459999999997</v>
      </c>
      <c r="P375" s="1">
        <v>0.36683542000000002</v>
      </c>
      <c r="Q375" s="4">
        <v>0</v>
      </c>
      <c r="R375" s="13">
        <v>0</v>
      </c>
      <c r="S375" s="14">
        <v>0</v>
      </c>
    </row>
    <row r="376" spans="1:19">
      <c r="A376" s="1">
        <v>0</v>
      </c>
      <c r="B376" s="1" t="s">
        <v>386</v>
      </c>
      <c r="C376" s="1">
        <v>0.41368042999999999</v>
      </c>
      <c r="D376" s="1">
        <v>0.64306116000000002</v>
      </c>
      <c r="E376" s="1">
        <v>0.71587350000000005</v>
      </c>
      <c r="F376" s="1">
        <v>0.53470189999999995</v>
      </c>
      <c r="G376" s="1">
        <v>0.66905194999999995</v>
      </c>
      <c r="H376" s="1">
        <v>0.33094804999999999</v>
      </c>
      <c r="I376" s="1">
        <v>0.11319873499999999</v>
      </c>
      <c r="J376" s="1">
        <v>0.88680130000000001</v>
      </c>
      <c r="K376" s="1">
        <v>0.15587888999999999</v>
      </c>
      <c r="L376" s="1">
        <v>0.36043245000000002</v>
      </c>
      <c r="M376" s="1">
        <v>5.4367255000000003E-2</v>
      </c>
      <c r="N376" s="1">
        <v>0.94563275999999996</v>
      </c>
      <c r="O376" s="1">
        <v>2.9581706999999999E-2</v>
      </c>
      <c r="P376" s="1">
        <v>0.97041829999999996</v>
      </c>
      <c r="Q376" s="4">
        <v>1</v>
      </c>
      <c r="R376" s="14">
        <v>1</v>
      </c>
      <c r="S376" s="14">
        <v>0</v>
      </c>
    </row>
    <row r="377" spans="1:19">
      <c r="A377" s="1">
        <v>0</v>
      </c>
      <c r="B377" s="1" t="s">
        <v>387</v>
      </c>
      <c r="C377" s="1">
        <v>0.8133977</v>
      </c>
      <c r="D377" s="1">
        <v>3.8573634000000002E-2</v>
      </c>
      <c r="E377" s="1">
        <v>0.80032000000000003</v>
      </c>
      <c r="F377" s="1">
        <v>9.0633279999999997E-2</v>
      </c>
      <c r="G377" s="1">
        <v>0.98276410000000003</v>
      </c>
      <c r="H377" s="1">
        <v>1.7235877E-2</v>
      </c>
      <c r="I377" s="1">
        <v>0.99061865000000004</v>
      </c>
      <c r="J377" s="1">
        <v>9.3814350000000005E-3</v>
      </c>
      <c r="K377" s="1">
        <v>0.35616399999999998</v>
      </c>
      <c r="L377" s="1">
        <v>4.5116343000000003E-2</v>
      </c>
      <c r="M377" s="1">
        <v>0.79171734999999999</v>
      </c>
      <c r="N377" s="1">
        <v>0.20828269999999999</v>
      </c>
      <c r="O377" s="1">
        <v>0.82314925999999999</v>
      </c>
      <c r="P377" s="1">
        <v>0.17685071999999999</v>
      </c>
      <c r="Q377" s="4">
        <v>0</v>
      </c>
      <c r="R377" s="13">
        <v>0</v>
      </c>
      <c r="S377" s="14">
        <v>0</v>
      </c>
    </row>
    <row r="378" spans="1:19">
      <c r="A378" s="1">
        <v>0</v>
      </c>
      <c r="B378" s="1" t="s">
        <v>388</v>
      </c>
      <c r="C378" s="1">
        <v>0.79138779999999997</v>
      </c>
      <c r="D378" s="1">
        <v>5.3997605999999997E-2</v>
      </c>
      <c r="E378" s="1">
        <v>0.77206032999999996</v>
      </c>
      <c r="F378" s="1">
        <v>0.29233900000000002</v>
      </c>
      <c r="G378" s="1">
        <v>0.91089374000000001</v>
      </c>
      <c r="H378" s="1">
        <v>8.9106240000000003E-2</v>
      </c>
      <c r="I378" s="1">
        <v>0.98249834999999996</v>
      </c>
      <c r="J378" s="1">
        <v>1.7501650000000001E-2</v>
      </c>
      <c r="K378" s="1">
        <v>0.19606802000000001</v>
      </c>
      <c r="L378" s="1">
        <v>0.15757588</v>
      </c>
      <c r="M378" s="1">
        <v>0.82167226000000004</v>
      </c>
      <c r="N378" s="1">
        <v>0.17832781</v>
      </c>
      <c r="O378" s="1">
        <v>0.89755773999999999</v>
      </c>
      <c r="P378" s="1">
        <v>0.10244223</v>
      </c>
      <c r="Q378" s="4">
        <v>0</v>
      </c>
      <c r="R378" s="13">
        <v>0</v>
      </c>
      <c r="S378" s="14">
        <v>0</v>
      </c>
    </row>
    <row r="379" spans="1:19">
      <c r="A379" s="1">
        <v>0</v>
      </c>
      <c r="B379" s="1" t="s">
        <v>389</v>
      </c>
      <c r="C379" s="1">
        <v>0.69612235</v>
      </c>
      <c r="D379" s="1">
        <v>0.38931048000000001</v>
      </c>
      <c r="E379" s="1">
        <v>0.796933</v>
      </c>
      <c r="F379" s="1">
        <v>0.17135653000000001</v>
      </c>
      <c r="G379" s="1">
        <v>0.88785833000000003</v>
      </c>
      <c r="H379" s="1">
        <v>0.11214166</v>
      </c>
      <c r="I379" s="1">
        <v>0.91452829999999996</v>
      </c>
      <c r="J379" s="1">
        <v>8.5471619999999998E-2</v>
      </c>
      <c r="K379" s="1">
        <v>0.17534815000000001</v>
      </c>
      <c r="L379" s="1">
        <v>0.11968073</v>
      </c>
      <c r="M379" s="1">
        <v>0.49042590000000003</v>
      </c>
      <c r="N379" s="1">
        <v>0.50957410000000003</v>
      </c>
      <c r="O379" s="1">
        <v>0.72896139999999998</v>
      </c>
      <c r="P379" s="1">
        <v>0.27103855999999998</v>
      </c>
      <c r="Q379" s="4">
        <v>0</v>
      </c>
      <c r="R379" s="13">
        <v>0</v>
      </c>
      <c r="S379" s="14">
        <v>0</v>
      </c>
    </row>
    <row r="380" spans="1:19">
      <c r="A380" s="1">
        <v>0</v>
      </c>
      <c r="B380" s="1" t="s">
        <v>390</v>
      </c>
      <c r="C380" s="1">
        <v>0.43457859999999998</v>
      </c>
      <c r="D380" s="1">
        <v>0.68564725000000004</v>
      </c>
      <c r="E380" s="1">
        <v>0.58769879999999997</v>
      </c>
      <c r="F380" s="1">
        <v>0.6559161</v>
      </c>
      <c r="G380" s="1">
        <v>0.41690670000000002</v>
      </c>
      <c r="H380" s="1">
        <v>0.58309330000000004</v>
      </c>
      <c r="I380" s="1">
        <v>0.24097521999999999</v>
      </c>
      <c r="J380" s="1">
        <v>0.75902473999999998</v>
      </c>
      <c r="K380" s="1">
        <v>0.17383415999999999</v>
      </c>
      <c r="L380" s="1">
        <v>0.16739968999999999</v>
      </c>
      <c r="M380" s="1">
        <v>0.60111535000000005</v>
      </c>
      <c r="N380" s="1">
        <v>0.39888465000000001</v>
      </c>
      <c r="O380" s="1">
        <v>0.63690245000000001</v>
      </c>
      <c r="P380" s="1">
        <v>0.36309752000000001</v>
      </c>
      <c r="Q380" s="4">
        <v>0</v>
      </c>
      <c r="R380" s="13">
        <v>0</v>
      </c>
      <c r="S380" s="14">
        <v>0</v>
      </c>
    </row>
    <row r="381" spans="1:19">
      <c r="A381" s="1">
        <v>0</v>
      </c>
      <c r="B381" s="1" t="s">
        <v>391</v>
      </c>
      <c r="C381" s="1">
        <v>0.6824751</v>
      </c>
      <c r="D381" s="1">
        <v>0.42800169999999998</v>
      </c>
      <c r="E381" s="1">
        <v>0.78851943999999996</v>
      </c>
      <c r="F381" s="1">
        <v>0.21407846999999999</v>
      </c>
      <c r="G381" s="1">
        <v>0.82899696</v>
      </c>
      <c r="H381" s="1">
        <v>0.17100304</v>
      </c>
      <c r="I381" s="1">
        <v>0.95441509999999996</v>
      </c>
      <c r="J381" s="1">
        <v>4.5584949999999999E-2</v>
      </c>
      <c r="K381" s="1">
        <v>0.43914144999999999</v>
      </c>
      <c r="L381" s="1">
        <v>0.10145471</v>
      </c>
      <c r="M381" s="1">
        <v>0.71380509999999997</v>
      </c>
      <c r="N381" s="1">
        <v>0.28619492000000002</v>
      </c>
      <c r="O381" s="1">
        <v>0.82953953999999996</v>
      </c>
      <c r="P381" s="1">
        <v>0.17046048999999999</v>
      </c>
      <c r="Q381" s="4">
        <v>0</v>
      </c>
      <c r="R381" s="13">
        <v>0</v>
      </c>
      <c r="S381" s="14">
        <v>0</v>
      </c>
    </row>
    <row r="382" spans="1:19">
      <c r="A382" s="1">
        <v>0</v>
      </c>
      <c r="B382" s="1" t="s">
        <v>392</v>
      </c>
      <c r="C382" s="1">
        <v>0.80667966999999996</v>
      </c>
      <c r="D382" s="1">
        <v>6.7419599999999996E-2</v>
      </c>
      <c r="E382" s="1">
        <v>0.77743673000000002</v>
      </c>
      <c r="F382" s="1">
        <v>0.23676164</v>
      </c>
      <c r="G382" s="1">
        <v>0.76663559999999997</v>
      </c>
      <c r="H382" s="1">
        <v>0.23336441999999999</v>
      </c>
      <c r="I382" s="1">
        <v>0.90735984000000003</v>
      </c>
      <c r="J382" s="1">
        <v>9.2640150000000004E-2</v>
      </c>
      <c r="K382" s="1">
        <v>0.32627620000000002</v>
      </c>
      <c r="L382" s="1">
        <v>4.1665630000000002E-2</v>
      </c>
      <c r="M382" s="1">
        <v>0.89340459999999999</v>
      </c>
      <c r="N382" s="1">
        <v>0.10659542</v>
      </c>
      <c r="O382" s="1">
        <v>0.87978719999999999</v>
      </c>
      <c r="P382" s="1">
        <v>0.12021279</v>
      </c>
      <c r="Q382" s="4">
        <v>0</v>
      </c>
      <c r="R382" s="13">
        <v>0</v>
      </c>
      <c r="S382" s="14">
        <v>0</v>
      </c>
    </row>
    <row r="383" spans="1:19">
      <c r="A383" s="1">
        <v>0</v>
      </c>
      <c r="B383" s="1" t="s">
        <v>393</v>
      </c>
      <c r="C383" s="1">
        <v>0.65778786</v>
      </c>
      <c r="D383" s="1">
        <v>0.43237664999999997</v>
      </c>
      <c r="E383" s="1">
        <v>0.77981920000000005</v>
      </c>
      <c r="F383" s="1">
        <v>0.216865</v>
      </c>
      <c r="G383" s="1">
        <v>0.90579100000000001</v>
      </c>
      <c r="H383" s="1">
        <v>9.4209000000000001E-2</v>
      </c>
      <c r="I383" s="1">
        <v>0.84879165999999995</v>
      </c>
      <c r="J383" s="1">
        <v>0.15120828</v>
      </c>
      <c r="K383" s="1">
        <v>0.25788862000000001</v>
      </c>
      <c r="L383" s="1">
        <v>0.12183255</v>
      </c>
      <c r="M383" s="1">
        <v>0.22442469000000001</v>
      </c>
      <c r="N383" s="1">
        <v>0.77557533999999995</v>
      </c>
      <c r="O383" s="1">
        <v>0.10224497</v>
      </c>
      <c r="P383" s="1">
        <v>0.89775510000000003</v>
      </c>
      <c r="Q383" s="4">
        <v>1</v>
      </c>
      <c r="R383" s="13">
        <v>0</v>
      </c>
      <c r="S383" s="14">
        <v>0</v>
      </c>
    </row>
    <row r="384" spans="1:19">
      <c r="A384" s="7">
        <v>0</v>
      </c>
      <c r="B384" s="7" t="s">
        <v>394</v>
      </c>
      <c r="C384" s="7">
        <v>0.80657833999999995</v>
      </c>
      <c r="D384" s="7">
        <v>4.7603199999999998E-2</v>
      </c>
      <c r="E384" s="7">
        <v>0.78980433999999999</v>
      </c>
      <c r="F384" s="7">
        <v>0.13119987</v>
      </c>
      <c r="G384" s="7">
        <v>0.95014286000000003</v>
      </c>
      <c r="H384" s="7">
        <v>4.9857102E-2</v>
      </c>
      <c r="I384" s="7">
        <v>0.98193675000000002</v>
      </c>
      <c r="J384" s="7">
        <v>1.8063292000000002E-2</v>
      </c>
      <c r="K384" s="7">
        <v>0.45687803999999999</v>
      </c>
      <c r="L384" s="7">
        <v>0.14012589</v>
      </c>
      <c r="M384" s="7">
        <v>0.88755759999999995</v>
      </c>
      <c r="N384" s="7">
        <v>0.11244239</v>
      </c>
      <c r="O384" s="7">
        <v>0.94471156999999994</v>
      </c>
      <c r="P384" s="7">
        <v>5.528843E-2</v>
      </c>
      <c r="Q384" s="8">
        <v>0</v>
      </c>
      <c r="R384" s="15">
        <v>0</v>
      </c>
      <c r="S384" s="16">
        <v>0</v>
      </c>
    </row>
    <row r="385" spans="1:19">
      <c r="A385" s="1">
        <v>0</v>
      </c>
      <c r="B385" s="1" t="s">
        <v>395</v>
      </c>
      <c r="C385" s="1">
        <v>0.74412780000000001</v>
      </c>
      <c r="D385" s="1">
        <v>0.36148979999999997</v>
      </c>
      <c r="E385" s="1">
        <v>0.56131715000000004</v>
      </c>
      <c r="F385" s="1">
        <v>0.67945440000000001</v>
      </c>
      <c r="G385" s="1">
        <v>0.19728422000000001</v>
      </c>
      <c r="H385" s="1">
        <v>0.80271579999999998</v>
      </c>
      <c r="I385" s="1">
        <v>0.7580829</v>
      </c>
      <c r="J385" s="1">
        <v>0.2419171</v>
      </c>
      <c r="K385" s="1">
        <v>0.18224245</v>
      </c>
      <c r="L385" s="1">
        <v>0.29112705999999999</v>
      </c>
      <c r="M385" s="1">
        <v>0.28682992000000002</v>
      </c>
      <c r="N385" s="1">
        <v>0.71317005</v>
      </c>
      <c r="O385" s="1">
        <v>0.54684500000000003</v>
      </c>
      <c r="P385" s="1">
        <v>0.45315497999999999</v>
      </c>
      <c r="Q385" s="4">
        <v>1</v>
      </c>
      <c r="R385" s="14">
        <v>1</v>
      </c>
      <c r="S385" s="14">
        <v>0</v>
      </c>
    </row>
    <row r="386" spans="1:19">
      <c r="A386" s="1">
        <v>0</v>
      </c>
      <c r="B386" s="1" t="s">
        <v>396</v>
      </c>
      <c r="C386" s="1">
        <v>0.75202893999999998</v>
      </c>
      <c r="D386" s="1">
        <v>0.34470925000000002</v>
      </c>
      <c r="E386" s="1">
        <v>0.78595864999999998</v>
      </c>
      <c r="F386" s="1">
        <v>0.28524905</v>
      </c>
      <c r="G386" s="1">
        <v>0.9589839</v>
      </c>
      <c r="H386" s="1">
        <v>4.1016116999999998E-2</v>
      </c>
      <c r="I386" s="1">
        <v>0.85529109999999997</v>
      </c>
      <c r="J386" s="1">
        <v>0.14470893000000001</v>
      </c>
      <c r="K386" s="1">
        <v>9.7759890000000002E-2</v>
      </c>
      <c r="L386" s="1">
        <v>0.39065107999999998</v>
      </c>
      <c r="M386" s="1">
        <v>0.22551963</v>
      </c>
      <c r="N386" s="1">
        <v>0.77448039999999996</v>
      </c>
      <c r="O386" s="1">
        <v>0.46593714000000003</v>
      </c>
      <c r="P386" s="1">
        <v>0.53406279999999995</v>
      </c>
      <c r="Q386" s="4">
        <v>0</v>
      </c>
      <c r="R386" s="13">
        <v>0</v>
      </c>
      <c r="S386" s="14">
        <v>0</v>
      </c>
    </row>
    <row r="387" spans="1:19">
      <c r="A387" s="1">
        <v>0</v>
      </c>
      <c r="B387" s="1" t="s">
        <v>397</v>
      </c>
      <c r="C387" s="1">
        <v>0.64256049999999998</v>
      </c>
      <c r="D387" s="1">
        <v>0.55502459999999998</v>
      </c>
      <c r="E387" s="1">
        <v>0.63682240000000001</v>
      </c>
      <c r="F387" s="1">
        <v>0.62726307000000003</v>
      </c>
      <c r="G387" s="1">
        <v>0.57892220000000005</v>
      </c>
      <c r="H387" s="1">
        <v>0.42107784999999998</v>
      </c>
      <c r="I387" s="1">
        <v>0.82293205999999997</v>
      </c>
      <c r="J387" s="1">
        <v>0.17706796999999999</v>
      </c>
      <c r="K387" s="1">
        <v>0.26706487000000001</v>
      </c>
      <c r="L387" s="1">
        <v>0.18562000000000001</v>
      </c>
      <c r="M387" s="1">
        <v>0.68469875999999996</v>
      </c>
      <c r="N387" s="1">
        <v>0.31530127000000002</v>
      </c>
      <c r="O387" s="1">
        <v>0.69434786000000004</v>
      </c>
      <c r="P387" s="1">
        <v>0.30565214000000002</v>
      </c>
      <c r="Q387" s="4">
        <v>0</v>
      </c>
      <c r="R387" s="13">
        <v>0</v>
      </c>
      <c r="S387" s="14">
        <v>0</v>
      </c>
    </row>
    <row r="388" spans="1:19">
      <c r="A388" s="1">
        <v>0</v>
      </c>
      <c r="B388" s="1" t="s">
        <v>398</v>
      </c>
      <c r="C388" s="1">
        <v>0.79897046000000005</v>
      </c>
      <c r="D388" s="1">
        <v>0.13701224000000001</v>
      </c>
      <c r="E388" s="1">
        <v>0.78022519999999995</v>
      </c>
      <c r="F388" s="1">
        <v>0.19451366</v>
      </c>
      <c r="G388" s="1">
        <v>0.95779749999999997</v>
      </c>
      <c r="H388" s="1">
        <v>4.2202472999999997E-2</v>
      </c>
      <c r="I388" s="1">
        <v>0.9542178</v>
      </c>
      <c r="J388" s="1">
        <v>4.5782134000000002E-2</v>
      </c>
      <c r="K388" s="1">
        <v>0.30114952</v>
      </c>
      <c r="L388" s="1">
        <v>5.3136866999999997E-2</v>
      </c>
      <c r="M388" s="1">
        <v>0.63290659999999999</v>
      </c>
      <c r="N388" s="1">
        <v>0.36709340000000001</v>
      </c>
      <c r="O388" s="1">
        <v>0.76794379999999995</v>
      </c>
      <c r="P388" s="1">
        <v>0.23205622000000001</v>
      </c>
      <c r="Q388" s="4">
        <v>0</v>
      </c>
      <c r="R388" s="13">
        <v>0</v>
      </c>
      <c r="S388" s="14">
        <v>0</v>
      </c>
    </row>
    <row r="389" spans="1:19">
      <c r="A389" s="1">
        <v>0</v>
      </c>
      <c r="B389" s="1" t="s">
        <v>399</v>
      </c>
      <c r="C389" s="1">
        <v>0.6876622</v>
      </c>
      <c r="D389" s="1">
        <v>0.40570650000000003</v>
      </c>
      <c r="E389" s="1">
        <v>0.76282159999999999</v>
      </c>
      <c r="F389" s="1">
        <v>0.18508753</v>
      </c>
      <c r="G389" s="1">
        <v>0.92160224999999996</v>
      </c>
      <c r="H389" s="1">
        <v>7.8397705999999998E-2</v>
      </c>
      <c r="I389" s="1">
        <v>0.94295733999999998</v>
      </c>
      <c r="J389" s="1">
        <v>5.7042625E-2</v>
      </c>
      <c r="K389" s="1">
        <v>0.34909624</v>
      </c>
      <c r="L389" s="1">
        <v>2.3234634000000001E-2</v>
      </c>
      <c r="M389" s="1">
        <v>0.89055174999999998</v>
      </c>
      <c r="N389" s="1">
        <v>0.109448306</v>
      </c>
      <c r="O389" s="1">
        <v>0.88361259999999997</v>
      </c>
      <c r="P389" s="1">
        <v>0.11638742000000001</v>
      </c>
      <c r="Q389" s="4">
        <v>0</v>
      </c>
      <c r="R389" s="13">
        <v>0</v>
      </c>
      <c r="S389" s="14">
        <v>0</v>
      </c>
    </row>
    <row r="390" spans="1:19">
      <c r="A390" s="1">
        <v>0</v>
      </c>
      <c r="B390" s="1" t="s">
        <v>400</v>
      </c>
      <c r="C390" s="1">
        <v>0.77972733999999999</v>
      </c>
      <c r="D390" s="1">
        <v>9.2368803999999999E-2</v>
      </c>
      <c r="E390" s="1">
        <v>0.79409589999999997</v>
      </c>
      <c r="F390" s="1">
        <v>8.5036379999999995E-2</v>
      </c>
      <c r="G390" s="1">
        <v>0.98136109999999999</v>
      </c>
      <c r="H390" s="1">
        <v>1.8638846000000001E-2</v>
      </c>
      <c r="I390" s="1">
        <v>0.97815260000000004</v>
      </c>
      <c r="J390" s="1">
        <v>2.1847467999999998E-2</v>
      </c>
      <c r="K390" s="1">
        <v>0.25617932999999998</v>
      </c>
      <c r="L390" s="1">
        <v>0.16535076000000001</v>
      </c>
      <c r="M390" s="1">
        <v>0.69199189999999999</v>
      </c>
      <c r="N390" s="1">
        <v>0.30800803999999998</v>
      </c>
      <c r="O390" s="1">
        <v>0.76052063999999997</v>
      </c>
      <c r="P390" s="1">
        <v>0.23947932</v>
      </c>
      <c r="Q390" s="4">
        <v>0</v>
      </c>
      <c r="R390" s="13">
        <v>0</v>
      </c>
      <c r="S390" s="14">
        <v>0</v>
      </c>
    </row>
    <row r="391" spans="1:19">
      <c r="A391" s="1">
        <v>0</v>
      </c>
      <c r="B391" s="1" t="s">
        <v>401</v>
      </c>
      <c r="C391" s="1">
        <v>0.70250690000000005</v>
      </c>
      <c r="D391" s="1">
        <v>0.28922427000000001</v>
      </c>
      <c r="E391" s="1">
        <v>0.78657686999999998</v>
      </c>
      <c r="F391" s="1">
        <v>0.13663422</v>
      </c>
      <c r="G391" s="1">
        <v>0.95034209999999997</v>
      </c>
      <c r="H391" s="1">
        <v>4.9657925999999998E-2</v>
      </c>
      <c r="I391" s="1">
        <v>0.84639096000000003</v>
      </c>
      <c r="J391" s="1">
        <v>0.15360898000000001</v>
      </c>
      <c r="K391" s="1">
        <v>0.14240876999999999</v>
      </c>
      <c r="L391" s="1">
        <v>0.31733816999999997</v>
      </c>
      <c r="M391" s="1">
        <v>7.1258500000000002E-2</v>
      </c>
      <c r="N391" s="1">
        <v>0.9287415</v>
      </c>
      <c r="O391" s="1">
        <v>5.7653660000000002E-2</v>
      </c>
      <c r="P391" s="1">
        <v>0.94234633000000001</v>
      </c>
      <c r="Q391" s="4">
        <v>0</v>
      </c>
      <c r="R391" s="13">
        <v>0</v>
      </c>
      <c r="S391" s="14">
        <v>0</v>
      </c>
    </row>
    <row r="392" spans="1:19">
      <c r="A392" s="1">
        <v>0</v>
      </c>
      <c r="B392" s="1" t="s">
        <v>402</v>
      </c>
      <c r="C392" s="1">
        <v>0.72162459999999995</v>
      </c>
      <c r="D392" s="1">
        <v>0.44892520000000002</v>
      </c>
      <c r="E392" s="1">
        <v>0.74339140000000004</v>
      </c>
      <c r="F392" s="1">
        <v>0.43223571999999999</v>
      </c>
      <c r="G392" s="1">
        <v>0.72565619999999997</v>
      </c>
      <c r="H392" s="1">
        <v>0.27434382000000002</v>
      </c>
      <c r="I392" s="1">
        <v>0.87907670000000004</v>
      </c>
      <c r="J392" s="1">
        <v>0.12092326</v>
      </c>
      <c r="K392" s="1">
        <v>0.40111740000000001</v>
      </c>
      <c r="L392" s="1">
        <v>3.8307122999999998E-2</v>
      </c>
      <c r="M392" s="1">
        <v>0.8381864</v>
      </c>
      <c r="N392" s="1">
        <v>0.16181366</v>
      </c>
      <c r="O392" s="1">
        <v>0.94882409999999995</v>
      </c>
      <c r="P392" s="1">
        <v>5.1175874000000003E-2</v>
      </c>
      <c r="Q392" s="4">
        <v>1</v>
      </c>
      <c r="R392" s="13">
        <v>0</v>
      </c>
      <c r="S392" s="14">
        <v>0</v>
      </c>
    </row>
    <row r="393" spans="1:19">
      <c r="A393" s="1">
        <v>0</v>
      </c>
      <c r="B393" s="1" t="s">
        <v>403</v>
      </c>
      <c r="C393" s="1">
        <v>0.45608084999999998</v>
      </c>
      <c r="D393" s="1">
        <v>0.66660070000000005</v>
      </c>
      <c r="E393" s="1">
        <v>0.68340210000000001</v>
      </c>
      <c r="F393" s="1">
        <v>0.5063917</v>
      </c>
      <c r="G393" s="1">
        <v>0.76823174999999999</v>
      </c>
      <c r="H393" s="1">
        <v>0.23176832</v>
      </c>
      <c r="I393" s="1">
        <v>0.10569856</v>
      </c>
      <c r="J393" s="1">
        <v>0.89430140000000002</v>
      </c>
      <c r="K393" s="1">
        <v>9.5337669999999999E-2</v>
      </c>
      <c r="L393" s="1">
        <v>0.32210672000000001</v>
      </c>
      <c r="M393" s="1">
        <v>2.8831933000000001E-2</v>
      </c>
      <c r="N393" s="1">
        <v>0.97116809999999998</v>
      </c>
      <c r="O393" s="1">
        <v>3.6324736000000003E-2</v>
      </c>
      <c r="P393" s="1">
        <v>0.96367526000000003</v>
      </c>
      <c r="Q393" s="4">
        <v>0</v>
      </c>
      <c r="R393" s="13">
        <v>0</v>
      </c>
      <c r="S393" s="14">
        <v>0</v>
      </c>
    </row>
    <row r="394" spans="1:19">
      <c r="A394" s="1">
        <v>0</v>
      </c>
      <c r="B394" s="1" t="s">
        <v>404</v>
      </c>
      <c r="C394" s="1">
        <v>0.39801737999999998</v>
      </c>
      <c r="D394" s="1">
        <v>0.7004589</v>
      </c>
      <c r="E394" s="1">
        <v>0.49976979999999999</v>
      </c>
      <c r="F394" s="1">
        <v>0.73678440000000001</v>
      </c>
      <c r="G394" s="1">
        <v>0.33778363</v>
      </c>
      <c r="H394" s="1">
        <v>0.66221629999999998</v>
      </c>
      <c r="I394" s="1">
        <v>0.20968310000000001</v>
      </c>
      <c r="J394" s="1">
        <v>0.79031689999999999</v>
      </c>
      <c r="K394" s="1">
        <v>0.19265977000000001</v>
      </c>
      <c r="L394" s="1">
        <v>0.29267952000000003</v>
      </c>
      <c r="M394" s="1">
        <v>0.38021347</v>
      </c>
      <c r="N394" s="1">
        <v>0.61978655999999999</v>
      </c>
      <c r="O394" s="1">
        <v>0.29672696999999998</v>
      </c>
      <c r="P394" s="1">
        <v>0.70327306000000001</v>
      </c>
      <c r="Q394" s="4">
        <v>0</v>
      </c>
      <c r="R394" s="13">
        <v>0</v>
      </c>
      <c r="S394" s="14">
        <v>0</v>
      </c>
    </row>
    <row r="395" spans="1:19">
      <c r="A395" s="1">
        <v>0</v>
      </c>
      <c r="B395" s="1" t="s">
        <v>405</v>
      </c>
      <c r="C395" s="1">
        <v>0.33235288000000002</v>
      </c>
      <c r="D395" s="1">
        <v>0.73917820000000001</v>
      </c>
      <c r="E395" s="1">
        <v>0.19362488</v>
      </c>
      <c r="F395" s="1">
        <v>0.78459144000000003</v>
      </c>
      <c r="G395" s="1">
        <v>4.2672712000000002E-2</v>
      </c>
      <c r="H395" s="1">
        <v>0.95732724999999996</v>
      </c>
      <c r="I395" s="1">
        <v>0.23843587999999999</v>
      </c>
      <c r="J395" s="1">
        <v>0.76156409999999997</v>
      </c>
      <c r="K395" s="1">
        <v>0.15873165</v>
      </c>
      <c r="L395" s="1">
        <v>0.35118523000000001</v>
      </c>
      <c r="M395" s="1">
        <v>0.16695651</v>
      </c>
      <c r="N395" s="1">
        <v>0.83304350000000005</v>
      </c>
      <c r="O395" s="1">
        <v>0.12716946000000001</v>
      </c>
      <c r="P395" s="1">
        <v>0.87283049999999995</v>
      </c>
      <c r="Q395" s="4">
        <v>1</v>
      </c>
      <c r="R395" s="14">
        <v>1</v>
      </c>
      <c r="S395" s="14">
        <v>0</v>
      </c>
    </row>
    <row r="396" spans="1:19">
      <c r="A396" s="1">
        <v>0</v>
      </c>
      <c r="B396" s="1" t="s">
        <v>406</v>
      </c>
      <c r="C396" s="1">
        <v>0.80145560000000005</v>
      </c>
      <c r="D396" s="1">
        <v>7.9537869999999997E-2</v>
      </c>
      <c r="E396" s="1">
        <v>0.79106843000000004</v>
      </c>
      <c r="F396" s="1">
        <v>0.26805996999999998</v>
      </c>
      <c r="G396" s="1">
        <v>0.81530875000000003</v>
      </c>
      <c r="H396" s="1">
        <v>0.18469128000000001</v>
      </c>
      <c r="I396" s="1">
        <v>0.97443150000000001</v>
      </c>
      <c r="J396" s="1">
        <v>2.5568484999999998E-2</v>
      </c>
      <c r="K396" s="1">
        <v>0.17962869000000001</v>
      </c>
      <c r="L396" s="1">
        <v>0.12481711</v>
      </c>
      <c r="M396" s="1">
        <v>0.75542956999999999</v>
      </c>
      <c r="N396" s="1">
        <v>0.24457039999999999</v>
      </c>
      <c r="O396" s="1">
        <v>0.86947269999999999</v>
      </c>
      <c r="P396" s="1">
        <v>0.13052734999999999</v>
      </c>
      <c r="Q396" s="4">
        <v>0</v>
      </c>
      <c r="R396" s="13">
        <v>0</v>
      </c>
      <c r="S396" s="14">
        <v>0</v>
      </c>
    </row>
    <row r="397" spans="1:19">
      <c r="A397" s="1">
        <v>0</v>
      </c>
      <c r="B397" s="1" t="s">
        <v>407</v>
      </c>
      <c r="C397" s="1">
        <v>0.75913876000000002</v>
      </c>
      <c r="D397" s="1">
        <v>0.28083086000000002</v>
      </c>
      <c r="E397" s="1">
        <v>0.7231417</v>
      </c>
      <c r="F397" s="1">
        <v>0.42966944000000001</v>
      </c>
      <c r="G397" s="1">
        <v>0.7977554</v>
      </c>
      <c r="H397" s="1">
        <v>0.20224455999999999</v>
      </c>
      <c r="I397" s="1">
        <v>0.94467086</v>
      </c>
      <c r="J397" s="1">
        <v>5.5329163000000001E-2</v>
      </c>
      <c r="K397" s="1">
        <v>0.31830913</v>
      </c>
      <c r="L397" s="1">
        <v>5.9599317999999998E-2</v>
      </c>
      <c r="M397" s="1">
        <v>0.74097199999999996</v>
      </c>
      <c r="N397" s="1">
        <v>0.25902805000000001</v>
      </c>
      <c r="O397" s="1">
        <v>0.88853174000000001</v>
      </c>
      <c r="P397" s="1">
        <v>0.11146822000000001</v>
      </c>
      <c r="Q397" s="4">
        <v>0</v>
      </c>
      <c r="R397" s="13">
        <v>0</v>
      </c>
      <c r="S397" s="14">
        <v>0</v>
      </c>
    </row>
    <row r="398" spans="1:19">
      <c r="A398" s="1">
        <v>0</v>
      </c>
      <c r="B398" s="1" t="s">
        <v>408</v>
      </c>
      <c r="C398" s="1">
        <v>0.73130393000000005</v>
      </c>
      <c r="D398" s="1">
        <v>0.32504270000000002</v>
      </c>
      <c r="E398" s="1">
        <v>0.73984510000000003</v>
      </c>
      <c r="F398" s="1">
        <v>0.44076110000000002</v>
      </c>
      <c r="G398" s="1">
        <v>0.63734495999999996</v>
      </c>
      <c r="H398" s="1">
        <v>0.36265503999999998</v>
      </c>
      <c r="I398" s="1">
        <v>0.84153193000000004</v>
      </c>
      <c r="J398" s="1">
        <v>0.15846805</v>
      </c>
      <c r="K398" s="1">
        <v>0.29029222999999998</v>
      </c>
      <c r="L398" s="1">
        <v>1.9553132000000001E-2</v>
      </c>
      <c r="M398" s="1">
        <v>0.8867874</v>
      </c>
      <c r="N398" s="1">
        <v>0.11321262</v>
      </c>
      <c r="O398" s="1">
        <v>0.91136269999999997</v>
      </c>
      <c r="P398" s="1">
        <v>8.8637339999999995E-2</v>
      </c>
      <c r="Q398" s="4">
        <v>0</v>
      </c>
      <c r="R398" s="13">
        <v>0</v>
      </c>
      <c r="S398" s="14">
        <v>0</v>
      </c>
    </row>
    <row r="399" spans="1:19">
      <c r="A399" s="1">
        <v>0</v>
      </c>
      <c r="B399" s="1" t="s">
        <v>409</v>
      </c>
      <c r="C399" s="1">
        <v>0.72832490000000005</v>
      </c>
      <c r="D399" s="1">
        <v>0.33688843000000002</v>
      </c>
      <c r="E399" s="1">
        <v>0.71660422999999995</v>
      </c>
      <c r="F399" s="1">
        <v>0.45853939999999999</v>
      </c>
      <c r="G399" s="1">
        <v>0.75176569999999998</v>
      </c>
      <c r="H399" s="1">
        <v>0.24823423999999999</v>
      </c>
      <c r="I399" s="1">
        <v>0.70679990000000004</v>
      </c>
      <c r="J399" s="1">
        <v>0.29320007999999997</v>
      </c>
      <c r="K399" s="1">
        <v>0.23083033</v>
      </c>
      <c r="L399" s="1">
        <v>0.21895455999999999</v>
      </c>
      <c r="M399" s="1">
        <v>0.48155534</v>
      </c>
      <c r="N399" s="1">
        <v>0.51844466</v>
      </c>
      <c r="O399" s="1">
        <v>0.38094702000000003</v>
      </c>
      <c r="P399" s="1">
        <v>0.61905295000000005</v>
      </c>
      <c r="Q399" s="4">
        <v>0</v>
      </c>
      <c r="R399" s="13">
        <v>0</v>
      </c>
      <c r="S399" s="14">
        <v>0</v>
      </c>
    </row>
    <row r="400" spans="1:19">
      <c r="A400" s="1">
        <v>0</v>
      </c>
      <c r="B400" s="1" t="s">
        <v>410</v>
      </c>
      <c r="C400" s="1">
        <v>0.75610869999999997</v>
      </c>
      <c r="D400" s="1">
        <v>0.27196512</v>
      </c>
      <c r="E400" s="1">
        <v>0.75262105000000001</v>
      </c>
      <c r="F400" s="1">
        <v>0.41217014000000002</v>
      </c>
      <c r="G400" s="1">
        <v>0.64686184999999996</v>
      </c>
      <c r="H400" s="1">
        <v>0.35313812</v>
      </c>
      <c r="I400" s="1">
        <v>0.90157909999999997</v>
      </c>
      <c r="J400" s="1">
        <v>9.8420949999999993E-2</v>
      </c>
      <c r="K400" s="1">
        <v>0.25273493000000002</v>
      </c>
      <c r="L400" s="1">
        <v>0.118861996</v>
      </c>
      <c r="M400" s="1">
        <v>0.63508540000000002</v>
      </c>
      <c r="N400" s="1">
        <v>0.36491466</v>
      </c>
      <c r="O400" s="1">
        <v>0.78658669999999997</v>
      </c>
      <c r="P400" s="1">
        <v>0.21341330999999999</v>
      </c>
      <c r="Q400" s="4">
        <v>0</v>
      </c>
      <c r="R400" s="13">
        <v>0</v>
      </c>
      <c r="S400" s="14">
        <v>0</v>
      </c>
    </row>
    <row r="401" spans="1:19">
      <c r="A401" s="1">
        <v>0</v>
      </c>
      <c r="B401" s="1" t="s">
        <v>411</v>
      </c>
      <c r="C401" s="1">
        <v>0.59888410000000003</v>
      </c>
      <c r="D401" s="1">
        <v>0.49188261999999999</v>
      </c>
      <c r="E401" s="1">
        <v>0.63041705000000003</v>
      </c>
      <c r="F401" s="1">
        <v>0.50611717000000001</v>
      </c>
      <c r="G401" s="1">
        <v>0.77396463999999998</v>
      </c>
      <c r="H401" s="1">
        <v>0.2260354</v>
      </c>
      <c r="I401" s="1">
        <v>0.68056660000000002</v>
      </c>
      <c r="J401" s="1">
        <v>0.31943342000000002</v>
      </c>
      <c r="K401" s="1">
        <v>3.9473294999999999E-2</v>
      </c>
      <c r="L401" s="1">
        <v>0.50588316</v>
      </c>
      <c r="M401" s="1">
        <v>8.5874950000000005E-2</v>
      </c>
      <c r="N401" s="1">
        <v>0.91412499999999997</v>
      </c>
      <c r="O401" s="1">
        <v>3.0681869000000001E-2</v>
      </c>
      <c r="P401" s="1">
        <v>0.96931814999999999</v>
      </c>
      <c r="Q401" s="4">
        <v>1</v>
      </c>
      <c r="R401" s="13">
        <v>0</v>
      </c>
      <c r="S401" s="14">
        <v>0</v>
      </c>
    </row>
    <row r="402" spans="1:19">
      <c r="A402" s="1">
        <v>0</v>
      </c>
      <c r="B402" s="1" t="s">
        <v>412</v>
      </c>
      <c r="C402" s="1">
        <v>0.61380619999999997</v>
      </c>
      <c r="D402" s="1">
        <v>0.54875320000000005</v>
      </c>
      <c r="E402" s="1">
        <v>0.71404639999999997</v>
      </c>
      <c r="F402" s="1">
        <v>0.38399909999999998</v>
      </c>
      <c r="G402" s="1">
        <v>0.83147510000000002</v>
      </c>
      <c r="H402" s="1">
        <v>0.16852495000000001</v>
      </c>
      <c r="I402" s="1">
        <v>0.67091040000000002</v>
      </c>
      <c r="J402" s="1">
        <v>0.32908952000000002</v>
      </c>
      <c r="K402" s="1">
        <v>0.18516526</v>
      </c>
      <c r="L402" s="1">
        <v>0.36204049999999999</v>
      </c>
      <c r="M402" s="1">
        <v>0.10349852599999999</v>
      </c>
      <c r="N402" s="1">
        <v>0.8965014</v>
      </c>
      <c r="O402" s="1">
        <v>0.30403516000000003</v>
      </c>
      <c r="P402" s="1">
        <v>0.69596480000000005</v>
      </c>
      <c r="Q402" s="4">
        <v>0</v>
      </c>
      <c r="R402" s="14">
        <v>1</v>
      </c>
      <c r="S402" s="14">
        <v>1</v>
      </c>
    </row>
    <row r="403" spans="1:19">
      <c r="A403" s="1">
        <v>0</v>
      </c>
      <c r="B403" s="1" t="s">
        <v>413</v>
      </c>
      <c r="C403" s="1">
        <v>0.75857490000000005</v>
      </c>
      <c r="D403" s="1">
        <v>0.18028690999999999</v>
      </c>
      <c r="E403" s="1">
        <v>0.75626040000000005</v>
      </c>
      <c r="F403" s="1">
        <v>0.32111810000000002</v>
      </c>
      <c r="G403" s="1">
        <v>0.91061479999999995</v>
      </c>
      <c r="H403" s="1">
        <v>8.9385199999999998E-2</v>
      </c>
      <c r="I403" s="1">
        <v>0.97387314000000003</v>
      </c>
      <c r="J403" s="1">
        <v>2.6126934000000001E-2</v>
      </c>
      <c r="K403" s="1">
        <v>0.22053196</v>
      </c>
      <c r="L403" s="1">
        <v>0.19575176999999999</v>
      </c>
      <c r="M403" s="1">
        <v>0.53677940000000002</v>
      </c>
      <c r="N403" s="1">
        <v>0.46322059999999998</v>
      </c>
      <c r="O403" s="1">
        <v>0.68389522999999997</v>
      </c>
      <c r="P403" s="1">
        <v>0.31610483</v>
      </c>
      <c r="Q403" s="4">
        <v>0</v>
      </c>
      <c r="R403" s="14">
        <v>1</v>
      </c>
      <c r="S403" s="14">
        <v>0</v>
      </c>
    </row>
    <row r="404" spans="1:19">
      <c r="A404" s="1">
        <v>0</v>
      </c>
      <c r="B404" s="1" t="s">
        <v>414</v>
      </c>
      <c r="C404" s="1">
        <v>0.28242433</v>
      </c>
      <c r="D404" s="1">
        <v>0.77188723999999997</v>
      </c>
      <c r="E404" s="1">
        <v>0.33715435999999999</v>
      </c>
      <c r="F404" s="1">
        <v>0.72887939999999996</v>
      </c>
      <c r="G404" s="1">
        <v>6.8696740000000006E-2</v>
      </c>
      <c r="H404" s="1">
        <v>0.93130325999999997</v>
      </c>
      <c r="I404" s="1">
        <v>0.12052642</v>
      </c>
      <c r="J404" s="1">
        <v>0.87947357000000004</v>
      </c>
      <c r="K404" s="1">
        <v>5.6308740000000003E-2</v>
      </c>
      <c r="L404" s="1">
        <v>0.40720099999999998</v>
      </c>
      <c r="M404" s="1">
        <v>0.18427067999999999</v>
      </c>
      <c r="N404" s="1">
        <v>0.81572929999999999</v>
      </c>
      <c r="O404" s="1">
        <v>0.1581032</v>
      </c>
      <c r="P404" s="1">
        <v>0.84189683000000004</v>
      </c>
      <c r="Q404" s="4">
        <v>1</v>
      </c>
      <c r="R404" s="13">
        <v>0</v>
      </c>
      <c r="S404" s="14">
        <v>0</v>
      </c>
    </row>
    <row r="405" spans="1:19">
      <c r="A405" s="1">
        <v>0</v>
      </c>
      <c r="B405" s="1" t="s">
        <v>415</v>
      </c>
      <c r="C405" s="1">
        <v>0.72868239999999995</v>
      </c>
      <c r="D405" s="1">
        <v>0.32898749999999999</v>
      </c>
      <c r="E405" s="1">
        <v>0.78031010000000001</v>
      </c>
      <c r="F405" s="1">
        <v>0.17616232000000001</v>
      </c>
      <c r="G405" s="1">
        <v>0.91131960000000001</v>
      </c>
      <c r="H405" s="1">
        <v>8.8680305000000001E-2</v>
      </c>
      <c r="I405" s="1">
        <v>0.9215411</v>
      </c>
      <c r="J405" s="1">
        <v>7.8458899999999998E-2</v>
      </c>
      <c r="K405" s="1">
        <v>0.13305037</v>
      </c>
      <c r="L405" s="1">
        <v>4.4932756999999997E-2</v>
      </c>
      <c r="M405" s="1">
        <v>0.88951354999999999</v>
      </c>
      <c r="N405" s="1">
        <v>0.11048648</v>
      </c>
      <c r="O405" s="1">
        <v>0.82610229999999996</v>
      </c>
      <c r="P405" s="1">
        <v>0.17389767</v>
      </c>
      <c r="Q405" s="4">
        <v>0</v>
      </c>
      <c r="R405" s="13">
        <v>0</v>
      </c>
      <c r="S405" s="14">
        <v>0</v>
      </c>
    </row>
    <row r="406" spans="1:19">
      <c r="A406" s="1">
        <v>0</v>
      </c>
      <c r="B406" s="1" t="s">
        <v>416</v>
      </c>
      <c r="C406" s="1">
        <v>0.73523159999999999</v>
      </c>
      <c r="D406" s="1">
        <v>0.36143323999999999</v>
      </c>
      <c r="E406" s="1">
        <v>0.77268970000000003</v>
      </c>
      <c r="F406" s="1">
        <v>0.33454507999999999</v>
      </c>
      <c r="G406" s="1">
        <v>0.77125790000000005</v>
      </c>
      <c r="H406" s="1">
        <v>0.22874206</v>
      </c>
      <c r="I406" s="1">
        <v>0.79545949999999999</v>
      </c>
      <c r="J406" s="1">
        <v>0.20454048</v>
      </c>
      <c r="K406" s="1">
        <v>0.39896458000000001</v>
      </c>
      <c r="L406" s="1">
        <v>0.14540910000000001</v>
      </c>
      <c r="M406" s="1">
        <v>0.69542800000000005</v>
      </c>
      <c r="N406" s="1">
        <v>0.30457202</v>
      </c>
      <c r="O406" s="1">
        <v>0.55464769999999997</v>
      </c>
      <c r="P406" s="1">
        <v>0.44535235000000001</v>
      </c>
      <c r="Q406" s="4">
        <v>0</v>
      </c>
      <c r="R406" s="13">
        <v>0</v>
      </c>
      <c r="S406" s="14">
        <v>0</v>
      </c>
    </row>
    <row r="407" spans="1:19">
      <c r="A407" s="1">
        <v>0</v>
      </c>
      <c r="B407" s="1" t="s">
        <v>417</v>
      </c>
      <c r="C407" s="1">
        <v>0.29323431999999999</v>
      </c>
      <c r="D407" s="1">
        <v>0.73533919999999997</v>
      </c>
      <c r="E407" s="1">
        <v>0.59414809999999996</v>
      </c>
      <c r="F407" s="1">
        <v>0.62378602999999999</v>
      </c>
      <c r="G407" s="1">
        <v>0.34302043999999998</v>
      </c>
      <c r="H407" s="1">
        <v>0.65697956000000002</v>
      </c>
      <c r="I407" s="1">
        <v>0.16036955</v>
      </c>
      <c r="J407" s="1">
        <v>0.83963049999999995</v>
      </c>
      <c r="K407" s="1">
        <v>0.12809967999999999</v>
      </c>
      <c r="L407" s="1">
        <v>0.25971872000000001</v>
      </c>
      <c r="M407" s="1">
        <v>8.7954000000000004E-2</v>
      </c>
      <c r="N407" s="1">
        <v>0.91204600000000002</v>
      </c>
      <c r="O407" s="1">
        <v>4.4094517999999999E-2</v>
      </c>
      <c r="P407" s="1">
        <v>0.95590549999999996</v>
      </c>
      <c r="Q407" s="4">
        <v>0</v>
      </c>
      <c r="R407" s="13">
        <v>0</v>
      </c>
      <c r="S407" s="14">
        <v>0</v>
      </c>
    </row>
    <row r="408" spans="1:19">
      <c r="A408" s="1">
        <v>0</v>
      </c>
      <c r="B408" s="1" t="s">
        <v>418</v>
      </c>
      <c r="C408" s="1">
        <v>0.54545730000000003</v>
      </c>
      <c r="D408" s="1">
        <v>0.60576350000000001</v>
      </c>
      <c r="E408" s="1">
        <v>0.66325855</v>
      </c>
      <c r="F408" s="1">
        <v>0.5010289</v>
      </c>
      <c r="G408" s="1">
        <v>0.70205249999999997</v>
      </c>
      <c r="H408" s="1">
        <v>0.29794753000000002</v>
      </c>
      <c r="I408" s="1">
        <v>0.72542936000000002</v>
      </c>
      <c r="J408" s="1">
        <v>0.2745707</v>
      </c>
      <c r="K408" s="1">
        <v>0.23286950000000001</v>
      </c>
      <c r="L408" s="1">
        <v>0.24178109</v>
      </c>
      <c r="M408" s="1">
        <v>0.57660330000000004</v>
      </c>
      <c r="N408" s="1">
        <v>0.42339668000000003</v>
      </c>
      <c r="O408" s="1">
        <v>0.22231646999999999</v>
      </c>
      <c r="P408" s="1">
        <v>0.77768356000000005</v>
      </c>
      <c r="Q408" s="4">
        <v>0</v>
      </c>
      <c r="R408" s="13">
        <v>0</v>
      </c>
      <c r="S408" s="14">
        <v>0</v>
      </c>
    </row>
    <row r="409" spans="1:19">
      <c r="A409" s="1">
        <v>0</v>
      </c>
      <c r="B409" s="1" t="s">
        <v>419</v>
      </c>
      <c r="C409" s="1">
        <v>0.66610239999999998</v>
      </c>
      <c r="D409" s="1">
        <v>0.51767739999999995</v>
      </c>
      <c r="E409" s="1">
        <v>0.77616536999999997</v>
      </c>
      <c r="F409" s="1">
        <v>0.28570973999999999</v>
      </c>
      <c r="G409" s="1">
        <v>0.87130255000000001</v>
      </c>
      <c r="H409" s="1">
        <v>0.12869744999999999</v>
      </c>
      <c r="I409" s="1">
        <v>0.46460669999999998</v>
      </c>
      <c r="J409" s="1">
        <v>0.53539329999999996</v>
      </c>
      <c r="K409" s="1">
        <v>0.2348401</v>
      </c>
      <c r="L409" s="1">
        <v>0.22242503999999999</v>
      </c>
      <c r="M409" s="1">
        <v>0.44314626000000001</v>
      </c>
      <c r="N409" s="1">
        <v>0.55685379999999995</v>
      </c>
      <c r="O409" s="1">
        <v>0.2185066</v>
      </c>
      <c r="P409" s="1">
        <v>0.7814934</v>
      </c>
      <c r="Q409" s="4">
        <v>1</v>
      </c>
      <c r="R409" s="13">
        <v>1</v>
      </c>
      <c r="S409" s="14">
        <v>1</v>
      </c>
    </row>
    <row r="410" spans="1:19">
      <c r="A410" s="1">
        <v>0</v>
      </c>
      <c r="B410" s="1" t="s">
        <v>420</v>
      </c>
      <c r="C410" s="1">
        <v>0.78356355</v>
      </c>
      <c r="D410" s="1">
        <v>8.0614329999999998E-2</v>
      </c>
      <c r="E410" s="1">
        <v>0.72355239999999998</v>
      </c>
      <c r="F410" s="1">
        <v>0.34954067999999999</v>
      </c>
      <c r="G410" s="1">
        <v>0.80241629999999997</v>
      </c>
      <c r="H410" s="1">
        <v>0.19758365999999999</v>
      </c>
      <c r="I410" s="1">
        <v>0.94111012999999999</v>
      </c>
      <c r="J410" s="1">
        <v>5.8889895999999997E-2</v>
      </c>
      <c r="K410" s="1">
        <v>0.14705542999999999</v>
      </c>
      <c r="L410" s="1">
        <v>0.21273753000000001</v>
      </c>
      <c r="M410" s="1">
        <v>0.75539780000000001</v>
      </c>
      <c r="N410" s="1">
        <v>0.24460222000000001</v>
      </c>
      <c r="O410" s="1">
        <v>0.79989295999999999</v>
      </c>
      <c r="P410" s="1">
        <v>0.20010701</v>
      </c>
      <c r="Q410" s="4">
        <v>0</v>
      </c>
      <c r="R410" s="13">
        <v>0</v>
      </c>
      <c r="S410" s="14">
        <v>0</v>
      </c>
    </row>
    <row r="411" spans="1:19">
      <c r="A411" s="1">
        <v>0</v>
      </c>
      <c r="B411" s="1" t="s">
        <v>421</v>
      </c>
      <c r="C411" s="1">
        <v>0.74347470000000004</v>
      </c>
      <c r="D411" s="1">
        <v>0.38370162000000002</v>
      </c>
      <c r="E411" s="1">
        <v>0.78435785000000002</v>
      </c>
      <c r="F411" s="1">
        <v>0.18631990000000001</v>
      </c>
      <c r="G411" s="1">
        <v>0.90736680000000003</v>
      </c>
      <c r="H411" s="1">
        <v>9.2633195000000002E-2</v>
      </c>
      <c r="I411" s="1">
        <v>0.85766595999999995</v>
      </c>
      <c r="J411" s="1">
        <v>0.14233406000000001</v>
      </c>
      <c r="K411" s="1">
        <v>0.30834679999999998</v>
      </c>
      <c r="L411" s="1">
        <v>9.2862399999999998E-2</v>
      </c>
      <c r="M411" s="1">
        <v>0.75541320000000001</v>
      </c>
      <c r="N411" s="1">
        <v>0.24458684</v>
      </c>
      <c r="O411" s="1">
        <v>0.64480689999999996</v>
      </c>
      <c r="P411" s="1">
        <v>0.35519302000000003</v>
      </c>
      <c r="Q411" s="4">
        <v>0</v>
      </c>
      <c r="R411" s="13">
        <v>0</v>
      </c>
      <c r="S411" s="14">
        <v>0</v>
      </c>
    </row>
    <row r="412" spans="1:19">
      <c r="A412" s="1">
        <v>0</v>
      </c>
      <c r="B412" s="1" t="s">
        <v>422</v>
      </c>
      <c r="C412" s="1">
        <v>0.81469610000000003</v>
      </c>
      <c r="D412" s="1">
        <v>3.9671574000000001E-2</v>
      </c>
      <c r="E412" s="1">
        <v>0.7906936</v>
      </c>
      <c r="F412" s="1">
        <v>0.16401679999999999</v>
      </c>
      <c r="G412" s="1">
        <v>0.90159696</v>
      </c>
      <c r="H412" s="1">
        <v>9.8402959999999998E-2</v>
      </c>
      <c r="I412" s="1">
        <v>0.92333679999999996</v>
      </c>
      <c r="J412" s="1">
        <v>7.6663209999999996E-2</v>
      </c>
      <c r="K412" s="1">
        <v>0.33414438000000002</v>
      </c>
      <c r="L412" s="1">
        <v>5.8774125000000003E-2</v>
      </c>
      <c r="M412" s="1">
        <v>0.703434</v>
      </c>
      <c r="N412" s="1">
        <v>0.296566</v>
      </c>
      <c r="O412" s="1">
        <v>0.60597970000000001</v>
      </c>
      <c r="P412" s="1">
        <v>0.39402038</v>
      </c>
      <c r="Q412" s="4">
        <v>0</v>
      </c>
      <c r="R412" s="13">
        <v>0</v>
      </c>
      <c r="S412" s="14">
        <v>0</v>
      </c>
    </row>
    <row r="413" spans="1:19">
      <c r="A413" s="1">
        <v>0</v>
      </c>
      <c r="B413" s="1" t="s">
        <v>423</v>
      </c>
      <c r="C413" s="1">
        <v>0.68737289999999995</v>
      </c>
      <c r="D413" s="1">
        <v>0.41022533</v>
      </c>
      <c r="E413" s="1">
        <v>0.73136513999999997</v>
      </c>
      <c r="F413" s="1">
        <v>0.30561625999999997</v>
      </c>
      <c r="G413" s="1">
        <v>0.86792844999999996</v>
      </c>
      <c r="H413" s="1">
        <v>0.13207157999999999</v>
      </c>
      <c r="I413" s="1">
        <v>0.80231870000000005</v>
      </c>
      <c r="J413" s="1">
        <v>0.19768134000000001</v>
      </c>
      <c r="K413" s="1">
        <v>0.30960252999999999</v>
      </c>
      <c r="L413" s="1">
        <v>7.5970500000000002E-3</v>
      </c>
      <c r="M413" s="1">
        <v>0.73725079999999998</v>
      </c>
      <c r="N413" s="1">
        <v>0.26274922000000001</v>
      </c>
      <c r="O413" s="1">
        <v>0.75420445000000003</v>
      </c>
      <c r="P413" s="1">
        <v>0.24579558000000001</v>
      </c>
      <c r="Q413" s="4">
        <v>0</v>
      </c>
      <c r="R413" s="13">
        <v>0</v>
      </c>
      <c r="S413" s="14">
        <v>0</v>
      </c>
    </row>
    <row r="414" spans="1:19">
      <c r="A414" s="1">
        <v>0</v>
      </c>
      <c r="B414" s="1" t="s">
        <v>424</v>
      </c>
      <c r="C414" s="1">
        <v>0.77846545</v>
      </c>
      <c r="D414" s="1">
        <v>0.16498423000000001</v>
      </c>
      <c r="E414" s="1">
        <v>0.79421014000000001</v>
      </c>
      <c r="F414" s="1">
        <v>0.11924184</v>
      </c>
      <c r="G414" s="1">
        <v>0.95020735000000001</v>
      </c>
      <c r="H414" s="1">
        <v>4.9792665999999999E-2</v>
      </c>
      <c r="I414" s="1">
        <v>0.94302063999999997</v>
      </c>
      <c r="J414" s="1">
        <v>5.6979370000000001E-2</v>
      </c>
      <c r="K414" s="1">
        <v>0.30179270000000002</v>
      </c>
      <c r="L414" s="1">
        <v>0.15645324999999999</v>
      </c>
      <c r="M414" s="1">
        <v>0.3527807</v>
      </c>
      <c r="N414" s="1">
        <v>0.64721930000000005</v>
      </c>
      <c r="O414" s="1">
        <v>0.50969810000000004</v>
      </c>
      <c r="P414" s="1">
        <v>0.49030190000000001</v>
      </c>
      <c r="Q414" s="4">
        <v>0</v>
      </c>
      <c r="R414" s="13">
        <v>0</v>
      </c>
      <c r="S414" s="14">
        <v>0</v>
      </c>
    </row>
    <row r="415" spans="1:19">
      <c r="A415" s="1">
        <v>1</v>
      </c>
      <c r="B415" s="1" t="s">
        <v>425</v>
      </c>
      <c r="C415" s="1">
        <v>6.1400629999999998E-2</v>
      </c>
      <c r="D415" s="1">
        <v>0.78192455000000005</v>
      </c>
      <c r="E415" s="1">
        <v>0.53679966999999995</v>
      </c>
      <c r="F415" s="1">
        <v>0.66890717</v>
      </c>
      <c r="G415" s="1">
        <v>0.27060276</v>
      </c>
      <c r="H415" s="1">
        <v>0.72939723999999995</v>
      </c>
      <c r="I415" s="1">
        <v>6.0194039999999997E-2</v>
      </c>
      <c r="J415" s="1">
        <v>0.93980589999999997</v>
      </c>
      <c r="K415" s="1">
        <v>0.22942763999999999</v>
      </c>
      <c r="L415" s="1">
        <v>0.34291392999999998</v>
      </c>
      <c r="M415" s="1">
        <v>0.10259899</v>
      </c>
      <c r="N415" s="1">
        <v>0.897401</v>
      </c>
      <c r="O415" s="1">
        <v>0.10925820999999999</v>
      </c>
      <c r="P415" s="1">
        <v>0.89074176999999999</v>
      </c>
      <c r="Q415" s="4">
        <v>1</v>
      </c>
      <c r="R415" s="14">
        <v>1</v>
      </c>
      <c r="S415" s="14">
        <v>1</v>
      </c>
    </row>
    <row r="416" spans="1:19">
      <c r="A416" s="1">
        <v>1</v>
      </c>
      <c r="B416" s="1" t="s">
        <v>426</v>
      </c>
      <c r="C416" s="1">
        <v>0.36846033</v>
      </c>
      <c r="D416" s="1">
        <v>0.67635440000000002</v>
      </c>
      <c r="E416" s="1">
        <v>0.67959829999999999</v>
      </c>
      <c r="F416" s="1">
        <v>0.42073166000000001</v>
      </c>
      <c r="G416" s="1">
        <v>0.85581326000000002</v>
      </c>
      <c r="H416" s="1">
        <v>0.1441867</v>
      </c>
      <c r="I416" s="1">
        <v>0.72121584000000005</v>
      </c>
      <c r="J416" s="1">
        <v>0.27878413000000002</v>
      </c>
      <c r="K416" s="1">
        <v>0.13937316999999999</v>
      </c>
      <c r="L416" s="1">
        <v>0.29617915</v>
      </c>
      <c r="M416" s="1">
        <v>8.7401530000000005E-2</v>
      </c>
      <c r="N416" s="1">
        <v>0.91259849999999998</v>
      </c>
      <c r="O416" s="1">
        <v>0.15161754</v>
      </c>
      <c r="P416" s="1">
        <v>0.84838250000000004</v>
      </c>
      <c r="Q416" s="4">
        <v>1</v>
      </c>
      <c r="R416" s="14">
        <v>1</v>
      </c>
      <c r="S416" s="14">
        <v>1</v>
      </c>
    </row>
    <row r="417" spans="1:19">
      <c r="A417" s="1">
        <v>1</v>
      </c>
      <c r="B417" s="1" t="s">
        <v>427</v>
      </c>
      <c r="C417" s="1">
        <v>0.41925952</v>
      </c>
      <c r="D417" s="1">
        <v>0.66592764999999998</v>
      </c>
      <c r="E417" s="1">
        <v>0.64517420000000003</v>
      </c>
      <c r="F417" s="1">
        <v>0.49549559999999998</v>
      </c>
      <c r="G417" s="1">
        <v>0.37427824999999998</v>
      </c>
      <c r="H417" s="1">
        <v>0.62572170000000005</v>
      </c>
      <c r="I417" s="1">
        <v>0.47078019999999998</v>
      </c>
      <c r="J417" s="1">
        <v>0.52921980000000002</v>
      </c>
      <c r="K417" s="1">
        <v>0.16354173</v>
      </c>
      <c r="L417" s="1">
        <v>0.16317967999999999</v>
      </c>
      <c r="M417" s="1">
        <v>0.29453504000000003</v>
      </c>
      <c r="N417" s="1">
        <v>0.70546500000000001</v>
      </c>
      <c r="O417" s="1">
        <v>0.19024917</v>
      </c>
      <c r="P417" s="1">
        <v>0.80975079999999999</v>
      </c>
      <c r="Q417" s="4">
        <v>1</v>
      </c>
      <c r="R417" s="14">
        <v>1</v>
      </c>
      <c r="S417" s="14">
        <v>1</v>
      </c>
    </row>
    <row r="418" spans="1:19">
      <c r="A418" s="1">
        <v>1</v>
      </c>
      <c r="B418" s="1" t="s">
        <v>428</v>
      </c>
      <c r="C418" s="1">
        <v>0.20990803999999999</v>
      </c>
      <c r="D418" s="1">
        <v>0.76516265000000006</v>
      </c>
      <c r="E418" s="1">
        <v>0.23567062999999999</v>
      </c>
      <c r="F418" s="1">
        <v>0.76417420000000003</v>
      </c>
      <c r="G418" s="1">
        <v>0.19733818</v>
      </c>
      <c r="H418" s="1">
        <v>0.80266190000000004</v>
      </c>
      <c r="I418" s="1">
        <v>0.12641536</v>
      </c>
      <c r="J418" s="1">
        <v>0.87358460000000004</v>
      </c>
      <c r="K418" s="1">
        <v>0.29764897000000001</v>
      </c>
      <c r="L418" s="1">
        <v>0.37969397999999999</v>
      </c>
      <c r="M418" s="1">
        <v>0.15551169000000001</v>
      </c>
      <c r="N418" s="1">
        <v>0.84448829999999997</v>
      </c>
      <c r="O418" s="1">
        <v>0.24625712999999999</v>
      </c>
      <c r="P418" s="1">
        <v>0.75374289999999999</v>
      </c>
      <c r="Q418" s="4">
        <v>0</v>
      </c>
      <c r="R418" s="14">
        <v>1</v>
      </c>
      <c r="S418" s="14">
        <v>1</v>
      </c>
    </row>
    <row r="419" spans="1:19">
      <c r="A419" s="1">
        <v>1</v>
      </c>
      <c r="B419" s="1" t="s">
        <v>429</v>
      </c>
      <c r="C419" s="1">
        <v>8.0201999999999999E-3</v>
      </c>
      <c r="D419" s="1">
        <v>0.8042975</v>
      </c>
      <c r="E419" s="1">
        <v>9.9719340000000004E-2</v>
      </c>
      <c r="F419" s="1">
        <v>0.76842319999999997</v>
      </c>
      <c r="G419" s="1">
        <v>2.2833927E-2</v>
      </c>
      <c r="H419" s="1">
        <v>0.97716605999999995</v>
      </c>
      <c r="I419" s="1">
        <v>1.5128767E-2</v>
      </c>
      <c r="J419" s="1">
        <v>0.98487119999999995</v>
      </c>
      <c r="K419" s="1">
        <v>0.10266386</v>
      </c>
      <c r="L419" s="1">
        <v>0.46179347999999998</v>
      </c>
      <c r="M419" s="1">
        <v>0.15571151999999999</v>
      </c>
      <c r="N419" s="1">
        <v>0.84428846999999996</v>
      </c>
      <c r="O419" s="1">
        <v>0.10149289</v>
      </c>
      <c r="P419" s="1">
        <v>0.8985071</v>
      </c>
      <c r="Q419" s="4">
        <v>1</v>
      </c>
      <c r="R419" s="14">
        <v>1</v>
      </c>
      <c r="S419" s="14">
        <v>1</v>
      </c>
    </row>
    <row r="420" spans="1:19">
      <c r="A420" s="1">
        <v>1</v>
      </c>
      <c r="B420" s="1" t="s">
        <v>430</v>
      </c>
      <c r="C420" s="1">
        <v>3.3791559999999998E-2</v>
      </c>
      <c r="D420" s="1">
        <v>0.79621399999999998</v>
      </c>
      <c r="E420" s="1">
        <v>2.9469677999999999E-2</v>
      </c>
      <c r="F420" s="1">
        <v>0.80054164000000005</v>
      </c>
      <c r="G420" s="1">
        <v>7.0389560000000004E-2</v>
      </c>
      <c r="H420" s="1">
        <v>0.92961050000000001</v>
      </c>
      <c r="I420" s="1">
        <v>6.4842375000000001E-3</v>
      </c>
      <c r="J420" s="1">
        <v>0.99351573000000004</v>
      </c>
      <c r="K420" s="1">
        <v>0.15697089</v>
      </c>
      <c r="L420" s="1">
        <v>0.33121905000000001</v>
      </c>
      <c r="M420" s="1">
        <v>7.6113410000000006E-2</v>
      </c>
      <c r="N420" s="1">
        <v>0.92388665999999997</v>
      </c>
      <c r="O420" s="1">
        <v>2.8879123E-2</v>
      </c>
      <c r="P420" s="1">
        <v>0.97112083000000005</v>
      </c>
      <c r="Q420" s="4">
        <v>1</v>
      </c>
      <c r="R420" s="14">
        <v>1</v>
      </c>
      <c r="S420" s="14">
        <v>1</v>
      </c>
    </row>
    <row r="421" spans="1:19">
      <c r="A421" s="1">
        <v>1</v>
      </c>
      <c r="B421" s="1" t="s">
        <v>431</v>
      </c>
      <c r="C421" s="1">
        <v>1.11138495E-2</v>
      </c>
      <c r="D421" s="1">
        <v>0.80505979999999999</v>
      </c>
      <c r="E421" s="1">
        <v>9.6607280000000004E-2</v>
      </c>
      <c r="F421" s="1">
        <v>0.78140955999999995</v>
      </c>
      <c r="G421" s="1">
        <v>3.6941114999999997E-2</v>
      </c>
      <c r="H421" s="1">
        <v>0.96305890000000005</v>
      </c>
      <c r="I421" s="1">
        <v>3.2464508000000003E-2</v>
      </c>
      <c r="J421" s="1">
        <v>0.96753549999999999</v>
      </c>
      <c r="K421" s="1">
        <v>7.8408900000000004E-2</v>
      </c>
      <c r="L421" s="1">
        <v>0.48376544999999999</v>
      </c>
      <c r="M421" s="1">
        <v>0.116524294</v>
      </c>
      <c r="N421" s="1">
        <v>0.88347569999999997</v>
      </c>
      <c r="O421" s="1">
        <v>0.10093491</v>
      </c>
      <c r="P421" s="1">
        <v>0.89906509999999995</v>
      </c>
      <c r="Q421" s="4">
        <v>1</v>
      </c>
      <c r="R421" s="14">
        <v>1</v>
      </c>
      <c r="S421" s="14">
        <v>1</v>
      </c>
    </row>
    <row r="422" spans="1:19">
      <c r="A422" s="1">
        <v>1</v>
      </c>
      <c r="B422" s="1" t="s">
        <v>432</v>
      </c>
      <c r="C422" s="1">
        <v>0.47571623000000002</v>
      </c>
      <c r="D422" s="1">
        <v>0.65786610000000001</v>
      </c>
      <c r="E422" s="1">
        <v>0.69537705000000005</v>
      </c>
      <c r="F422" s="1">
        <v>0.45448378</v>
      </c>
      <c r="G422" s="1">
        <v>0.76030439999999999</v>
      </c>
      <c r="H422" s="1">
        <v>0.23969562</v>
      </c>
      <c r="I422" s="1">
        <v>0.78801893999999995</v>
      </c>
      <c r="J422" s="1">
        <v>0.21198106999999999</v>
      </c>
      <c r="K422" s="1">
        <v>0.24290168000000001</v>
      </c>
      <c r="L422" s="1">
        <v>0.26902690000000001</v>
      </c>
      <c r="M422" s="1">
        <v>0.15491812999999999</v>
      </c>
      <c r="N422" s="1">
        <v>0.84508187000000001</v>
      </c>
      <c r="O422" s="1">
        <v>4.7567884999999997E-2</v>
      </c>
      <c r="P422" s="1">
        <v>0.95243215999999997</v>
      </c>
      <c r="Q422" s="4">
        <v>1</v>
      </c>
      <c r="R422" s="14">
        <v>1</v>
      </c>
      <c r="S422" s="14">
        <v>1</v>
      </c>
    </row>
    <row r="423" spans="1:19">
      <c r="A423" s="1">
        <v>1</v>
      </c>
      <c r="B423" s="1" t="s">
        <v>433</v>
      </c>
      <c r="C423" s="1">
        <v>3.0212842E-2</v>
      </c>
      <c r="D423" s="1">
        <v>0.8120058</v>
      </c>
      <c r="E423" s="1">
        <v>0.122581564</v>
      </c>
      <c r="F423" s="1">
        <v>0.77920305999999995</v>
      </c>
      <c r="G423" s="1">
        <v>6.6770399999999994E-2</v>
      </c>
      <c r="H423" s="1">
        <v>0.93322959999999999</v>
      </c>
      <c r="I423" s="1">
        <v>1.6887101E-3</v>
      </c>
      <c r="J423" s="1">
        <v>0.99831130000000001</v>
      </c>
      <c r="K423" s="1">
        <v>3.0265932999999998E-2</v>
      </c>
      <c r="L423" s="1">
        <v>0.33653376000000002</v>
      </c>
      <c r="M423" s="1">
        <v>3.5986215000000002E-2</v>
      </c>
      <c r="N423" s="1">
        <v>0.96401380000000003</v>
      </c>
      <c r="O423" s="1">
        <v>1.0872437E-2</v>
      </c>
      <c r="P423" s="1">
        <v>0.9891276</v>
      </c>
      <c r="Q423" s="4">
        <v>1</v>
      </c>
      <c r="R423" s="14">
        <v>1</v>
      </c>
      <c r="S423" s="14">
        <v>1</v>
      </c>
    </row>
    <row r="424" spans="1:19">
      <c r="A424" s="1">
        <v>1</v>
      </c>
      <c r="B424" s="1" t="s">
        <v>434</v>
      </c>
      <c r="C424" s="1">
        <v>0.80114746000000003</v>
      </c>
      <c r="D424" s="1">
        <v>0.116890356</v>
      </c>
      <c r="E424" s="1">
        <v>0.79538184000000001</v>
      </c>
      <c r="F424" s="1">
        <v>0.15289478000000001</v>
      </c>
      <c r="G424" s="1">
        <v>0.87859105999999998</v>
      </c>
      <c r="H424" s="1">
        <v>0.12140890999999999</v>
      </c>
      <c r="I424" s="1">
        <v>0.84395039999999999</v>
      </c>
      <c r="J424" s="1">
        <v>0.15604961000000001</v>
      </c>
      <c r="K424" s="1">
        <v>0.2076585</v>
      </c>
      <c r="L424" s="1">
        <v>0.1020543</v>
      </c>
      <c r="M424" s="1">
        <v>0.60386629999999997</v>
      </c>
      <c r="N424" s="1">
        <v>0.39613372000000002</v>
      </c>
      <c r="O424" s="1">
        <v>0.38622709999999999</v>
      </c>
      <c r="P424" s="1">
        <v>0.61377289999999995</v>
      </c>
      <c r="Q424" s="4">
        <v>0</v>
      </c>
      <c r="R424" s="14">
        <v>1</v>
      </c>
      <c r="S424" s="14">
        <v>1</v>
      </c>
    </row>
    <row r="425" spans="1:19">
      <c r="A425" s="1">
        <v>1</v>
      </c>
      <c r="B425" s="1" t="s">
        <v>435</v>
      </c>
      <c r="C425" s="1">
        <v>0.37140741999999999</v>
      </c>
      <c r="D425" s="1">
        <v>0.67200400000000005</v>
      </c>
      <c r="E425" s="1">
        <v>0.30216977</v>
      </c>
      <c r="F425" s="1">
        <v>0.76705520000000005</v>
      </c>
      <c r="G425" s="1">
        <v>0.17456283</v>
      </c>
      <c r="H425" s="1">
        <v>0.82543719999999998</v>
      </c>
      <c r="I425" s="1">
        <v>6.4111890000000005E-2</v>
      </c>
      <c r="J425" s="1">
        <v>0.93588819999999995</v>
      </c>
      <c r="K425" s="1">
        <v>0.22254278</v>
      </c>
      <c r="L425" s="1">
        <v>0.31207496000000001</v>
      </c>
      <c r="M425" s="1">
        <v>0.26317360000000001</v>
      </c>
      <c r="N425" s="1">
        <v>0.73682639999999999</v>
      </c>
      <c r="O425" s="1">
        <v>9.8264099999999993E-2</v>
      </c>
      <c r="P425" s="1">
        <v>0.90173583999999996</v>
      </c>
      <c r="Q425" s="4">
        <v>1</v>
      </c>
      <c r="R425" s="14">
        <v>1</v>
      </c>
      <c r="S425" s="14">
        <v>1</v>
      </c>
    </row>
    <row r="426" spans="1:19">
      <c r="A426" s="1">
        <v>1</v>
      </c>
      <c r="B426" s="1" t="s">
        <v>436</v>
      </c>
      <c r="C426" s="1">
        <v>1.0314223000000001E-2</v>
      </c>
      <c r="D426" s="1">
        <v>0.78114665000000005</v>
      </c>
      <c r="E426" s="1">
        <v>8.8126119999999992E-3</v>
      </c>
      <c r="F426" s="1">
        <v>0.79208343999999997</v>
      </c>
      <c r="G426" s="1">
        <v>2.3308907E-2</v>
      </c>
      <c r="H426" s="1">
        <v>0.97669106999999999</v>
      </c>
      <c r="I426" s="1">
        <v>3.5463344000000001E-2</v>
      </c>
      <c r="J426" s="1">
        <v>0.96453666999999998</v>
      </c>
      <c r="K426" s="1">
        <v>0.21634091</v>
      </c>
      <c r="L426" s="1">
        <v>0.33519757</v>
      </c>
      <c r="M426" s="1">
        <v>0.54623089999999996</v>
      </c>
      <c r="N426" s="1">
        <v>0.45376906</v>
      </c>
      <c r="O426" s="1">
        <v>0.3574561</v>
      </c>
      <c r="P426" s="1">
        <v>0.64254385000000003</v>
      </c>
      <c r="Q426" s="4">
        <v>1</v>
      </c>
      <c r="R426" s="14">
        <v>1</v>
      </c>
      <c r="S426" s="14">
        <v>1</v>
      </c>
    </row>
    <row r="427" spans="1:19">
      <c r="A427" s="7">
        <v>1</v>
      </c>
      <c r="B427" s="7" t="s">
        <v>437</v>
      </c>
      <c r="C427" s="7">
        <v>0.45561633000000001</v>
      </c>
      <c r="D427" s="7">
        <v>0.68256885</v>
      </c>
      <c r="E427" s="7">
        <v>0.56343310000000002</v>
      </c>
      <c r="F427" s="7">
        <v>0.64904019999999996</v>
      </c>
      <c r="G427" s="7">
        <v>0.30885717000000001</v>
      </c>
      <c r="H427" s="7">
        <v>0.69114286000000003</v>
      </c>
      <c r="I427" s="7">
        <v>0.32117312999999997</v>
      </c>
      <c r="J427" s="7">
        <v>0.67882686999999997</v>
      </c>
      <c r="K427" s="7">
        <v>0.11056183999999999</v>
      </c>
      <c r="L427" s="7">
        <v>0.31862035</v>
      </c>
      <c r="M427" s="7">
        <v>0.29654356999999998</v>
      </c>
      <c r="N427" s="7">
        <v>0.70345639999999998</v>
      </c>
      <c r="O427" s="7">
        <v>0.19940840000000001</v>
      </c>
      <c r="P427" s="7">
        <v>0.80059164999999999</v>
      </c>
      <c r="Q427" s="8">
        <v>1</v>
      </c>
      <c r="R427" s="16">
        <v>1</v>
      </c>
      <c r="S427" s="16">
        <v>1</v>
      </c>
    </row>
    <row r="428" spans="1:19">
      <c r="A428" s="1">
        <v>1</v>
      </c>
      <c r="B428" s="1" t="s">
        <v>438</v>
      </c>
      <c r="C428" s="1">
        <v>2.5562814E-2</v>
      </c>
      <c r="D428" s="1">
        <v>0.80460259999999995</v>
      </c>
      <c r="E428" s="1">
        <v>0.10300926000000001</v>
      </c>
      <c r="F428" s="1">
        <v>0.78668890000000002</v>
      </c>
      <c r="G428" s="1">
        <v>1.7869882E-2</v>
      </c>
      <c r="H428" s="1">
        <v>0.98213010000000001</v>
      </c>
      <c r="I428" s="1">
        <v>9.316352E-3</v>
      </c>
      <c r="J428" s="1">
        <v>0.99068369999999994</v>
      </c>
      <c r="K428" s="1">
        <v>0.21043239999999999</v>
      </c>
      <c r="L428" s="1">
        <v>0.33124575000000001</v>
      </c>
      <c r="M428" s="1">
        <v>0.10980055499999999</v>
      </c>
      <c r="N428" s="1">
        <v>0.89019939999999997</v>
      </c>
      <c r="O428" s="1">
        <v>4.7050519999999998E-2</v>
      </c>
      <c r="P428" s="1">
        <v>0.95294939999999995</v>
      </c>
      <c r="Q428" s="4">
        <v>1</v>
      </c>
      <c r="R428" s="14">
        <v>1</v>
      </c>
      <c r="S428" s="14">
        <v>1</v>
      </c>
    </row>
    <row r="429" spans="1:19">
      <c r="A429" s="7">
        <v>1</v>
      </c>
      <c r="B429" s="7" t="s">
        <v>439</v>
      </c>
      <c r="C429" s="7">
        <v>1.4074585000000001E-2</v>
      </c>
      <c r="D429" s="7">
        <v>0.79995936000000001</v>
      </c>
      <c r="E429" s="7">
        <v>4.9002110000000001E-2</v>
      </c>
      <c r="F429" s="7">
        <v>0.77991730000000004</v>
      </c>
      <c r="G429" s="7">
        <v>8.9829820000000005E-2</v>
      </c>
      <c r="H429" s="7">
        <v>0.91017020000000004</v>
      </c>
      <c r="I429" s="7">
        <v>3.6929469999999999E-2</v>
      </c>
      <c r="J429" s="7">
        <v>0.96307050000000005</v>
      </c>
      <c r="K429" s="7">
        <v>1.2613575E-2</v>
      </c>
      <c r="L429" s="7">
        <v>0.45450773999999999</v>
      </c>
      <c r="M429" s="7">
        <v>8.4911399999999998E-2</v>
      </c>
      <c r="N429" s="7">
        <v>0.91508860000000003</v>
      </c>
      <c r="O429" s="7">
        <v>2.445541E-2</v>
      </c>
      <c r="P429" s="7">
        <v>0.97554450000000004</v>
      </c>
      <c r="Q429" s="8">
        <v>0</v>
      </c>
      <c r="R429" s="16">
        <v>1</v>
      </c>
      <c r="S429" s="16">
        <v>1</v>
      </c>
    </row>
    <row r="430" spans="1:19">
      <c r="A430" s="1">
        <v>1</v>
      </c>
      <c r="B430" s="1" t="s">
        <v>440</v>
      </c>
      <c r="C430" s="1">
        <v>1.9030834E-2</v>
      </c>
      <c r="D430" s="1">
        <v>0.81768739999999995</v>
      </c>
      <c r="E430" s="1">
        <v>3.8177404999999998E-2</v>
      </c>
      <c r="F430" s="1">
        <v>0.79417760000000004</v>
      </c>
      <c r="G430" s="1">
        <v>2.5886494999999999E-2</v>
      </c>
      <c r="H430" s="1">
        <v>0.97411349999999997</v>
      </c>
      <c r="I430" s="1">
        <v>4.0588109999999998E-3</v>
      </c>
      <c r="J430" s="1">
        <v>0.99594115999999999</v>
      </c>
      <c r="K430" s="1">
        <v>4.4513299999999999E-2</v>
      </c>
      <c r="L430" s="1">
        <v>0.46282450000000003</v>
      </c>
      <c r="M430" s="1">
        <v>8.0493309999999998E-2</v>
      </c>
      <c r="N430" s="1">
        <v>0.91950666999999997</v>
      </c>
      <c r="O430" s="1">
        <v>6.5692139999999996E-2</v>
      </c>
      <c r="P430" s="1">
        <v>0.93430780000000002</v>
      </c>
      <c r="Q430" s="4">
        <v>1</v>
      </c>
      <c r="R430" s="14">
        <v>1</v>
      </c>
      <c r="S430" s="14">
        <v>1</v>
      </c>
    </row>
    <row r="431" spans="1:19">
      <c r="A431" s="1">
        <v>1</v>
      </c>
      <c r="B431" s="1" t="s">
        <v>441</v>
      </c>
      <c r="C431" s="1">
        <v>6.5503809999999996E-2</v>
      </c>
      <c r="D431" s="1">
        <v>0.82304644999999999</v>
      </c>
      <c r="E431" s="1">
        <v>0.1121224</v>
      </c>
      <c r="F431" s="1">
        <v>0.78332685999999996</v>
      </c>
      <c r="G431" s="1">
        <v>0.2106644</v>
      </c>
      <c r="H431" s="1">
        <v>0.78933560000000003</v>
      </c>
      <c r="I431" s="1">
        <v>2.1328158999999999E-2</v>
      </c>
      <c r="J431" s="1">
        <v>0.97867179999999998</v>
      </c>
      <c r="K431" s="1">
        <v>4.0109970000000002E-2</v>
      </c>
      <c r="L431" s="1">
        <v>0.39246305999999997</v>
      </c>
      <c r="M431" s="1">
        <v>3.3836239999999997E-2</v>
      </c>
      <c r="N431" s="1">
        <v>0.96616380000000002</v>
      </c>
      <c r="O431" s="1">
        <v>1.8833840000000001E-2</v>
      </c>
      <c r="P431" s="1">
        <v>0.98116619999999999</v>
      </c>
      <c r="Q431" s="4">
        <v>1</v>
      </c>
      <c r="R431" s="14">
        <v>1</v>
      </c>
      <c r="S431" s="14">
        <v>1</v>
      </c>
    </row>
    <row r="432" spans="1:19">
      <c r="A432" s="7">
        <v>1</v>
      </c>
      <c r="B432" s="7" t="s">
        <v>442</v>
      </c>
      <c r="C432" s="7">
        <v>0.71576494000000002</v>
      </c>
      <c r="D432" s="7">
        <v>0.51542169999999998</v>
      </c>
      <c r="E432" s="7">
        <v>0.59166220000000003</v>
      </c>
      <c r="F432" s="7">
        <v>0.64092979999999999</v>
      </c>
      <c r="G432" s="7">
        <v>0.52524360000000003</v>
      </c>
      <c r="H432" s="7">
        <v>0.47475642000000001</v>
      </c>
      <c r="I432" s="7">
        <v>0.45201682999999998</v>
      </c>
      <c r="J432" s="7">
        <v>0.54798316999999996</v>
      </c>
      <c r="K432" s="7">
        <v>0.34620972999999999</v>
      </c>
      <c r="L432" s="7">
        <v>0.45073763</v>
      </c>
      <c r="M432" s="7">
        <v>0.28907161999999997</v>
      </c>
      <c r="N432" s="7">
        <v>0.71092840000000002</v>
      </c>
      <c r="O432" s="7">
        <v>9.3551040000000002E-2</v>
      </c>
      <c r="P432" s="7">
        <v>0.90644899999999995</v>
      </c>
      <c r="Q432" s="8">
        <v>0</v>
      </c>
      <c r="R432" s="9">
        <v>0</v>
      </c>
      <c r="S432" s="10">
        <v>1</v>
      </c>
    </row>
    <row r="433" spans="1:19">
      <c r="A433" s="1">
        <v>1</v>
      </c>
      <c r="B433" s="1" t="s">
        <v>443</v>
      </c>
      <c r="C433" s="1">
        <v>0.46648650000000003</v>
      </c>
      <c r="D433" s="1">
        <v>0.73291695000000001</v>
      </c>
      <c r="E433" s="1">
        <v>0.57598305000000005</v>
      </c>
      <c r="F433" s="1">
        <v>0.63719170000000003</v>
      </c>
      <c r="G433" s="1">
        <v>0.63020425999999996</v>
      </c>
      <c r="H433" s="1">
        <v>0.36979573999999998</v>
      </c>
      <c r="I433" s="1">
        <v>0.31747320000000001</v>
      </c>
      <c r="J433" s="1">
        <v>0.68252679999999999</v>
      </c>
      <c r="K433" s="1">
        <v>0.17335265999999999</v>
      </c>
      <c r="L433" s="1">
        <v>0.21790904</v>
      </c>
      <c r="M433" s="1">
        <v>0.45888263000000001</v>
      </c>
      <c r="N433" s="1">
        <v>0.54111737000000004</v>
      </c>
      <c r="O433" s="1">
        <v>0.47902574999999997</v>
      </c>
      <c r="P433" s="1">
        <v>0.52097420000000005</v>
      </c>
      <c r="Q433" s="4">
        <v>1</v>
      </c>
      <c r="R433" s="14">
        <v>1</v>
      </c>
      <c r="S433" s="14">
        <v>1</v>
      </c>
    </row>
    <row r="434" spans="1:19">
      <c r="A434" s="1">
        <v>1</v>
      </c>
      <c r="B434" s="1" t="s">
        <v>444</v>
      </c>
      <c r="C434" s="1">
        <v>0.4697655</v>
      </c>
      <c r="D434" s="1">
        <v>0.59835989999999994</v>
      </c>
      <c r="E434" s="1">
        <v>0.29510740000000002</v>
      </c>
      <c r="F434" s="1">
        <v>0.7628315</v>
      </c>
      <c r="G434" s="1">
        <v>0.21508447999999999</v>
      </c>
      <c r="H434" s="1">
        <v>0.78491549999999999</v>
      </c>
      <c r="I434" s="1">
        <v>0.45484449999999998</v>
      </c>
      <c r="J434" s="1">
        <v>0.54515550000000002</v>
      </c>
      <c r="K434" s="1">
        <v>0.15635413000000001</v>
      </c>
      <c r="L434" s="1">
        <v>0.1855783</v>
      </c>
      <c r="M434" s="1">
        <v>0.55818259999999997</v>
      </c>
      <c r="N434" s="1">
        <v>0.44181736999999999</v>
      </c>
      <c r="O434" s="1">
        <v>0.53312176</v>
      </c>
      <c r="P434" s="1">
        <v>0.46687824</v>
      </c>
      <c r="Q434" s="4">
        <v>1</v>
      </c>
      <c r="R434" s="14">
        <v>1</v>
      </c>
      <c r="S434" s="14">
        <v>1</v>
      </c>
    </row>
    <row r="435" spans="1:19">
      <c r="A435" s="1">
        <v>1</v>
      </c>
      <c r="B435" s="1" t="s">
        <v>445</v>
      </c>
      <c r="C435" s="1">
        <v>0.10800230500000001</v>
      </c>
      <c r="D435" s="1">
        <v>0.78351307000000003</v>
      </c>
      <c r="E435" s="1">
        <v>0.19092836999999999</v>
      </c>
      <c r="F435" s="1">
        <v>0.75719449999999999</v>
      </c>
      <c r="G435" s="1">
        <v>0.30950179999999999</v>
      </c>
      <c r="H435" s="1">
        <v>0.69049819999999995</v>
      </c>
      <c r="I435" s="1">
        <v>0.15563479999999999</v>
      </c>
      <c r="J435" s="1">
        <v>0.84436524000000002</v>
      </c>
      <c r="K435" s="1">
        <v>2.1231920000000001E-2</v>
      </c>
      <c r="L435" s="1">
        <v>0.33640015000000001</v>
      </c>
      <c r="M435" s="1">
        <v>6.2022973000000002E-2</v>
      </c>
      <c r="N435" s="1">
        <v>0.93797699999999995</v>
      </c>
      <c r="O435" s="1">
        <v>1.5689867E-2</v>
      </c>
      <c r="P435" s="1">
        <v>0.98431014999999999</v>
      </c>
      <c r="Q435" s="4">
        <v>1</v>
      </c>
      <c r="R435" s="13">
        <v>0</v>
      </c>
      <c r="S435" s="14">
        <v>1</v>
      </c>
    </row>
    <row r="436" spans="1:19">
      <c r="A436" s="1">
        <v>1</v>
      </c>
      <c r="B436" s="1" t="s">
        <v>446</v>
      </c>
      <c r="C436" s="1">
        <v>0.43201157000000001</v>
      </c>
      <c r="D436" s="1">
        <v>0.68611509999999998</v>
      </c>
      <c r="E436" s="1">
        <v>0.51705414000000005</v>
      </c>
      <c r="F436" s="1">
        <v>0.68098645999999996</v>
      </c>
      <c r="G436" s="1">
        <v>0.68342899999999995</v>
      </c>
      <c r="H436" s="1">
        <v>0.31657099999999999</v>
      </c>
      <c r="I436" s="1">
        <v>0.84319120000000003</v>
      </c>
      <c r="J436" s="1">
        <v>0.15680881999999999</v>
      </c>
      <c r="K436" s="1">
        <v>0.11010424000000001</v>
      </c>
      <c r="L436" s="1">
        <v>0.58440614000000002</v>
      </c>
      <c r="M436" s="1">
        <v>3.7522220000000002E-2</v>
      </c>
      <c r="N436" s="1">
        <v>0.96247780000000005</v>
      </c>
      <c r="O436" s="1">
        <v>2.7696742E-2</v>
      </c>
      <c r="P436" s="1">
        <v>0.97230333000000002</v>
      </c>
      <c r="Q436" s="4">
        <v>1</v>
      </c>
      <c r="R436" s="14">
        <v>1</v>
      </c>
      <c r="S436" s="14">
        <v>1</v>
      </c>
    </row>
    <row r="437" spans="1:19">
      <c r="A437" s="7">
        <v>1</v>
      </c>
      <c r="B437" s="7" t="s">
        <v>447</v>
      </c>
      <c r="C437" s="7">
        <v>0.21540861</v>
      </c>
      <c r="D437" s="7">
        <v>0.75686059999999999</v>
      </c>
      <c r="E437" s="7">
        <v>0.41112185000000001</v>
      </c>
      <c r="F437" s="7">
        <v>0.70542099999999996</v>
      </c>
      <c r="G437" s="7">
        <v>0.45771269999999997</v>
      </c>
      <c r="H437" s="7">
        <v>0.54228730000000003</v>
      </c>
      <c r="I437" s="7">
        <v>7.3107413999999996E-2</v>
      </c>
      <c r="J437" s="7">
        <v>0.92689264000000005</v>
      </c>
      <c r="K437" s="7">
        <v>0.19022252000000001</v>
      </c>
      <c r="L437" s="7">
        <v>0.28115245999999999</v>
      </c>
      <c r="M437" s="7">
        <v>9.9524639999999998E-2</v>
      </c>
      <c r="N437" s="7">
        <v>0.90047540000000004</v>
      </c>
      <c r="O437" s="7">
        <v>1.9971280000000001E-2</v>
      </c>
      <c r="P437" s="7">
        <v>0.98002875</v>
      </c>
      <c r="Q437" s="8">
        <v>1</v>
      </c>
      <c r="R437" s="16">
        <v>1</v>
      </c>
      <c r="S437" s="16">
        <v>1</v>
      </c>
    </row>
    <row r="438" spans="1:19">
      <c r="A438" s="1">
        <v>1</v>
      </c>
      <c r="B438" s="1" t="s">
        <v>448</v>
      </c>
      <c r="C438" s="1">
        <v>0.30058685000000002</v>
      </c>
      <c r="D438" s="1">
        <v>0.75873710000000005</v>
      </c>
      <c r="E438" s="1">
        <v>0.54589719999999997</v>
      </c>
      <c r="F438" s="1">
        <v>0.63049639999999996</v>
      </c>
      <c r="G438" s="1">
        <v>0.13680959000000001</v>
      </c>
      <c r="H438" s="1">
        <v>0.86319040000000002</v>
      </c>
      <c r="I438" s="1">
        <v>6.5991759999999997E-2</v>
      </c>
      <c r="J438" s="1">
        <v>0.93400824000000005</v>
      </c>
      <c r="K438" s="1">
        <v>7.1157819999999997E-2</v>
      </c>
      <c r="L438" s="1">
        <v>0.31398067000000002</v>
      </c>
      <c r="M438" s="1">
        <v>0.11244585999999999</v>
      </c>
      <c r="N438" s="1">
        <v>0.88755417000000003</v>
      </c>
      <c r="O438" s="1">
        <v>3.3563509999999998E-2</v>
      </c>
      <c r="P438" s="1">
        <v>0.96643650000000003</v>
      </c>
      <c r="Q438" s="4">
        <v>1</v>
      </c>
      <c r="R438" s="13">
        <v>0</v>
      </c>
      <c r="S438" s="14">
        <v>1</v>
      </c>
    </row>
    <row r="439" spans="1:19">
      <c r="A439" s="1">
        <v>1</v>
      </c>
      <c r="B439" s="1" t="s">
        <v>449</v>
      </c>
      <c r="C439" s="1">
        <v>3.5751487999999998E-2</v>
      </c>
      <c r="D439" s="1">
        <v>0.81582169999999998</v>
      </c>
      <c r="E439" s="1">
        <v>0.14055887</v>
      </c>
      <c r="F439" s="1">
        <v>0.76938002999999999</v>
      </c>
      <c r="G439" s="1">
        <v>0.11623733</v>
      </c>
      <c r="H439" s="1">
        <v>0.88376266000000003</v>
      </c>
      <c r="I439" s="1">
        <v>5.6706630000000001E-2</v>
      </c>
      <c r="J439" s="1">
        <v>0.94329339999999995</v>
      </c>
      <c r="K439" s="1">
        <v>8.9680864999999998E-2</v>
      </c>
      <c r="L439" s="1">
        <v>0.48272350000000003</v>
      </c>
      <c r="M439" s="1">
        <v>0.10685062400000001</v>
      </c>
      <c r="N439" s="1">
        <v>0.89314939999999998</v>
      </c>
      <c r="O439" s="1">
        <v>3.8914659999999997E-2</v>
      </c>
      <c r="P439" s="1">
        <v>0.96108539999999998</v>
      </c>
      <c r="Q439" s="4">
        <v>0</v>
      </c>
      <c r="R439" s="13">
        <v>1</v>
      </c>
      <c r="S439" s="14">
        <v>1</v>
      </c>
    </row>
    <row r="440" spans="1:19">
      <c r="A440" s="1">
        <v>1</v>
      </c>
      <c r="B440" s="1" t="s">
        <v>450</v>
      </c>
      <c r="C440" s="1">
        <v>0.53618259999999995</v>
      </c>
      <c r="D440" s="1">
        <v>0.64310290000000003</v>
      </c>
      <c r="E440" s="1">
        <v>0.54922663999999999</v>
      </c>
      <c r="F440" s="1">
        <v>0.65905119999999995</v>
      </c>
      <c r="G440" s="1">
        <v>0.2317179</v>
      </c>
      <c r="H440" s="1">
        <v>0.76828209999999997</v>
      </c>
      <c r="I440" s="1">
        <v>0.68392986</v>
      </c>
      <c r="J440" s="1">
        <v>0.31607010000000002</v>
      </c>
      <c r="K440" s="1">
        <v>0.27998446999999999</v>
      </c>
      <c r="L440" s="1">
        <v>0.31385921999999999</v>
      </c>
      <c r="M440" s="1">
        <v>0.41228920000000002</v>
      </c>
      <c r="N440" s="1">
        <v>0.58771079999999998</v>
      </c>
      <c r="O440" s="1">
        <v>0.39990779999999998</v>
      </c>
      <c r="P440" s="1">
        <v>0.60009219999999996</v>
      </c>
      <c r="Q440" s="4">
        <v>1</v>
      </c>
      <c r="R440" s="14">
        <v>1</v>
      </c>
      <c r="S440" s="14">
        <v>1</v>
      </c>
    </row>
    <row r="441" spans="1:19">
      <c r="A441" s="1">
        <v>1</v>
      </c>
      <c r="B441" s="1" t="s">
        <v>451</v>
      </c>
      <c r="C441" s="1">
        <v>9.7209333999999994E-2</v>
      </c>
      <c r="D441" s="1">
        <v>0.75739663999999995</v>
      </c>
      <c r="E441" s="1">
        <v>0.36100164000000001</v>
      </c>
      <c r="F441" s="1">
        <v>0.72356929999999997</v>
      </c>
      <c r="G441" s="1">
        <v>0.12365767</v>
      </c>
      <c r="H441" s="1">
        <v>0.87634230000000002</v>
      </c>
      <c r="I441" s="1">
        <v>0.20886942999999999</v>
      </c>
      <c r="J441" s="1">
        <v>0.79113060000000002</v>
      </c>
      <c r="K441" s="1">
        <v>0.14651310000000001</v>
      </c>
      <c r="L441" s="1">
        <v>0.24117421999999999</v>
      </c>
      <c r="M441" s="1">
        <v>0.40153748</v>
      </c>
      <c r="N441" s="1">
        <v>0.59846250000000001</v>
      </c>
      <c r="O441" s="1">
        <v>0.49444163000000002</v>
      </c>
      <c r="P441" s="1">
        <v>0.50555830000000002</v>
      </c>
      <c r="Q441" s="4">
        <v>1</v>
      </c>
      <c r="R441" s="14">
        <v>1</v>
      </c>
      <c r="S441" s="14">
        <v>1</v>
      </c>
    </row>
    <row r="442" spans="1:19">
      <c r="A442" s="1">
        <v>1</v>
      </c>
      <c r="B442" s="1" t="s">
        <v>452</v>
      </c>
      <c r="C442" s="1">
        <v>4.2001292000000003E-2</v>
      </c>
      <c r="D442" s="1">
        <v>0.81993729999999998</v>
      </c>
      <c r="E442" s="1">
        <v>9.6350329999999998E-2</v>
      </c>
      <c r="F442" s="1">
        <v>0.77403120000000003</v>
      </c>
      <c r="G442" s="1">
        <v>7.3493602999999998E-3</v>
      </c>
      <c r="H442" s="1">
        <v>0.9926507</v>
      </c>
      <c r="I442" s="1">
        <v>4.0151453999999996E-3</v>
      </c>
      <c r="J442" s="1">
        <v>0.99598489999999995</v>
      </c>
      <c r="K442" s="1">
        <v>2.7274664000000001E-2</v>
      </c>
      <c r="L442" s="1">
        <v>0.42493789999999998</v>
      </c>
      <c r="M442" s="1">
        <v>2.4428953999999999E-2</v>
      </c>
      <c r="N442" s="1">
        <v>0.97557110000000002</v>
      </c>
      <c r="O442" s="1">
        <v>7.9999819999999992E-3</v>
      </c>
      <c r="P442" s="1">
        <v>0.99199999999999999</v>
      </c>
      <c r="Q442" s="4">
        <v>1</v>
      </c>
      <c r="R442" s="14">
        <v>1</v>
      </c>
      <c r="S442" s="14">
        <v>1</v>
      </c>
    </row>
    <row r="443" spans="1:19">
      <c r="A443" s="1">
        <v>1</v>
      </c>
      <c r="B443" s="1" t="s">
        <v>453</v>
      </c>
      <c r="C443" s="1">
        <v>5.2149790000000001E-2</v>
      </c>
      <c r="D443" s="1">
        <v>0.80727789999999999</v>
      </c>
      <c r="E443" s="1">
        <v>0.37693887999999998</v>
      </c>
      <c r="F443" s="1">
        <v>0.73879760000000005</v>
      </c>
      <c r="G443" s="1">
        <v>0.25179255</v>
      </c>
      <c r="H443" s="1">
        <v>0.74820739999999997</v>
      </c>
      <c r="I443" s="1">
        <v>8.1967700000000008E-3</v>
      </c>
      <c r="J443" s="1">
        <v>0.9918032</v>
      </c>
      <c r="K443" s="1">
        <v>0.17415322</v>
      </c>
      <c r="L443" s="1">
        <v>0.44961208000000003</v>
      </c>
      <c r="M443" s="1">
        <v>5.701726E-2</v>
      </c>
      <c r="N443" s="1">
        <v>0.94298269999999995</v>
      </c>
      <c r="O443" s="1">
        <v>1.034113E-2</v>
      </c>
      <c r="P443" s="1">
        <v>0.98965890000000001</v>
      </c>
      <c r="Q443" s="4">
        <v>1</v>
      </c>
      <c r="R443" s="14">
        <v>1</v>
      </c>
      <c r="S443" s="14">
        <v>1</v>
      </c>
    </row>
    <row r="444" spans="1:19">
      <c r="A444" s="1">
        <v>1</v>
      </c>
      <c r="B444" s="1" t="s">
        <v>454</v>
      </c>
      <c r="C444" s="1">
        <v>0.73673200000000005</v>
      </c>
      <c r="D444" s="1">
        <v>0.379664</v>
      </c>
      <c r="E444" s="1">
        <v>0.7742386</v>
      </c>
      <c r="F444" s="1">
        <v>0.25493395000000002</v>
      </c>
      <c r="G444" s="1">
        <v>0.92802536000000002</v>
      </c>
      <c r="H444" s="1">
        <v>7.1974604999999997E-2</v>
      </c>
      <c r="I444" s="1">
        <v>0.71748555000000003</v>
      </c>
      <c r="J444" s="1">
        <v>0.28251444999999997</v>
      </c>
      <c r="K444" s="1">
        <v>0.14401259</v>
      </c>
      <c r="L444" s="1">
        <v>0.16041627999999999</v>
      </c>
      <c r="M444" s="1">
        <v>0.44238427000000002</v>
      </c>
      <c r="N444" s="1">
        <v>0.55761570000000005</v>
      </c>
      <c r="O444" s="1">
        <v>0.36756035999999997</v>
      </c>
      <c r="P444" s="1">
        <v>0.63243970000000005</v>
      </c>
      <c r="Q444" s="4">
        <v>1</v>
      </c>
      <c r="R444" s="14">
        <v>1</v>
      </c>
      <c r="S444" s="14">
        <v>1</v>
      </c>
    </row>
    <row r="445" spans="1:19">
      <c r="A445" s="1">
        <v>1</v>
      </c>
      <c r="B445" s="1" t="s">
        <v>455</v>
      </c>
      <c r="C445" s="1">
        <v>1.3557138999999999E-2</v>
      </c>
      <c r="D445" s="1">
        <v>0.79459475999999996</v>
      </c>
      <c r="E445" s="1">
        <v>0.28829696999999999</v>
      </c>
      <c r="F445" s="1">
        <v>0.7421316</v>
      </c>
      <c r="G445" s="1">
        <v>1.6325083000000001E-2</v>
      </c>
      <c r="H445" s="1">
        <v>0.98367494</v>
      </c>
      <c r="I445" s="1">
        <v>7.7390860000000001E-3</v>
      </c>
      <c r="J445" s="1">
        <v>0.99226099999999995</v>
      </c>
      <c r="K445" s="1">
        <v>0.15210028</v>
      </c>
      <c r="L445" s="1">
        <v>0.15785436</v>
      </c>
      <c r="M445" s="1">
        <v>0.20486298</v>
      </c>
      <c r="N445" s="1">
        <v>0.79513699999999998</v>
      </c>
      <c r="O445" s="1">
        <v>0.14871904</v>
      </c>
      <c r="P445" s="1">
        <v>0.85128099999999995</v>
      </c>
      <c r="Q445" s="4">
        <v>1</v>
      </c>
      <c r="R445" s="14">
        <v>1</v>
      </c>
      <c r="S445" s="14">
        <v>1</v>
      </c>
    </row>
    <row r="446" spans="1:19">
      <c r="A446" s="1">
        <v>1</v>
      </c>
      <c r="B446" s="1" t="s">
        <v>456</v>
      </c>
      <c r="C446" s="1">
        <v>0.12175915</v>
      </c>
      <c r="D446" s="1">
        <v>0.71171784000000005</v>
      </c>
      <c r="E446" s="1">
        <v>9.3054200000000004E-2</v>
      </c>
      <c r="F446" s="1">
        <v>0.78823142999999996</v>
      </c>
      <c r="G446" s="1">
        <v>8.7747420000000007E-2</v>
      </c>
      <c r="H446" s="1">
        <v>0.91225259999999997</v>
      </c>
      <c r="I446" s="1">
        <v>7.3126609999999998E-3</v>
      </c>
      <c r="J446" s="1">
        <v>0.99268734000000003</v>
      </c>
      <c r="K446" s="1">
        <v>1.6262103E-2</v>
      </c>
      <c r="L446" s="1">
        <v>0.59739536000000004</v>
      </c>
      <c r="M446" s="1">
        <v>0.10065967000000001</v>
      </c>
      <c r="N446" s="1">
        <v>0.89934033000000002</v>
      </c>
      <c r="O446" s="1">
        <v>5.3318266000000003E-2</v>
      </c>
      <c r="P446" s="1">
        <v>0.94668169999999996</v>
      </c>
      <c r="Q446" s="4">
        <v>1</v>
      </c>
      <c r="R446" s="14">
        <v>1</v>
      </c>
      <c r="S446" s="14">
        <v>1</v>
      </c>
    </row>
    <row r="447" spans="1:19">
      <c r="A447" s="1">
        <v>1</v>
      </c>
      <c r="B447" s="1" t="s">
        <v>457</v>
      </c>
      <c r="C447" s="1">
        <v>0.15091962</v>
      </c>
      <c r="D447" s="1">
        <v>0.73268056000000004</v>
      </c>
      <c r="E447" s="1">
        <v>0.12296643</v>
      </c>
      <c r="F447" s="1">
        <v>0.7608511</v>
      </c>
      <c r="G447" s="1">
        <v>0.20826563000000001</v>
      </c>
      <c r="H447" s="1">
        <v>0.79173439999999995</v>
      </c>
      <c r="I447" s="1">
        <v>8.7112510000000004E-2</v>
      </c>
      <c r="J447" s="1">
        <v>0.91288749999999996</v>
      </c>
      <c r="K447" s="1">
        <v>0.14277925999999999</v>
      </c>
      <c r="L447" s="1">
        <v>0.15918085000000001</v>
      </c>
      <c r="M447" s="1">
        <v>0.24737909999999999</v>
      </c>
      <c r="N447" s="1">
        <v>0.75262094000000002</v>
      </c>
      <c r="O447" s="1">
        <v>0.10611002999999999</v>
      </c>
      <c r="P447" s="1">
        <v>0.89388999999999996</v>
      </c>
      <c r="Q447" s="4">
        <v>0</v>
      </c>
      <c r="R447" s="14">
        <v>1</v>
      </c>
      <c r="S447" s="14">
        <v>1</v>
      </c>
    </row>
    <row r="448" spans="1:19">
      <c r="A448" s="1">
        <v>1</v>
      </c>
      <c r="B448" s="1" t="s">
        <v>458</v>
      </c>
      <c r="C448" s="1">
        <v>2.1411131999999999E-2</v>
      </c>
      <c r="D448" s="1">
        <v>0.80698199999999998</v>
      </c>
      <c r="E448" s="1">
        <v>0.19669405000000001</v>
      </c>
      <c r="F448" s="1">
        <v>0.78235909999999997</v>
      </c>
      <c r="G448" s="1">
        <v>0.20027450999999999</v>
      </c>
      <c r="H448" s="1">
        <v>0.79972540000000003</v>
      </c>
      <c r="I448" s="1">
        <v>2.5835257E-2</v>
      </c>
      <c r="J448" s="1">
        <v>0.97416480000000005</v>
      </c>
      <c r="K448" s="1">
        <v>0.24968277999999999</v>
      </c>
      <c r="L448" s="1">
        <v>0.25660682000000001</v>
      </c>
      <c r="M448" s="1">
        <v>0.2709511</v>
      </c>
      <c r="N448" s="1">
        <v>0.7290489</v>
      </c>
      <c r="O448" s="1">
        <v>8.8082369999999993E-2</v>
      </c>
      <c r="P448" s="1">
        <v>0.91191759999999999</v>
      </c>
      <c r="Q448" s="4">
        <v>1</v>
      </c>
      <c r="R448" s="13">
        <v>1</v>
      </c>
      <c r="S448" s="14">
        <v>1</v>
      </c>
    </row>
    <row r="449" spans="1:19">
      <c r="A449" s="1">
        <v>1</v>
      </c>
      <c r="B449" s="1" t="s">
        <v>459</v>
      </c>
      <c r="C449" s="1">
        <v>8.0786320000000005E-3</v>
      </c>
      <c r="D449" s="1">
        <v>0.80185169999999995</v>
      </c>
      <c r="E449" s="1">
        <v>0.27497612999999999</v>
      </c>
      <c r="F449" s="1">
        <v>0.75759659999999995</v>
      </c>
      <c r="G449" s="1">
        <v>2.8211841000000001E-2</v>
      </c>
      <c r="H449" s="1">
        <v>0.97178819999999999</v>
      </c>
      <c r="I449" s="1">
        <v>1.0036237999999999E-2</v>
      </c>
      <c r="J449" s="1">
        <v>0.9899637</v>
      </c>
      <c r="K449" s="1">
        <v>0.14717288000000001</v>
      </c>
      <c r="L449" s="1">
        <v>0.48912214999999998</v>
      </c>
      <c r="M449" s="1">
        <v>4.3644346000000001E-2</v>
      </c>
      <c r="N449" s="1">
        <v>0.95635570000000003</v>
      </c>
      <c r="O449" s="1">
        <v>1.7484309999999999E-2</v>
      </c>
      <c r="P449" s="1">
        <v>0.98251569999999999</v>
      </c>
      <c r="Q449" s="4">
        <v>1</v>
      </c>
      <c r="R449" s="14">
        <v>1</v>
      </c>
      <c r="S449" s="14">
        <v>1</v>
      </c>
    </row>
    <row r="450" spans="1:19">
      <c r="A450" s="1">
        <v>1</v>
      </c>
      <c r="B450" s="1" t="s">
        <v>460</v>
      </c>
      <c r="C450" s="1">
        <v>0.30775476000000002</v>
      </c>
      <c r="D450" s="1">
        <v>0.72901800000000005</v>
      </c>
      <c r="E450" s="1">
        <v>0.24059963000000001</v>
      </c>
      <c r="F450" s="1">
        <v>0.74526959999999998</v>
      </c>
      <c r="G450" s="1">
        <v>0.11101154000000001</v>
      </c>
      <c r="H450" s="1">
        <v>0.88898843999999999</v>
      </c>
      <c r="I450" s="1">
        <v>2.4971732999999999E-2</v>
      </c>
      <c r="J450" s="1">
        <v>0.97502829999999996</v>
      </c>
      <c r="K450" s="1">
        <v>6.9033473999999997E-2</v>
      </c>
      <c r="L450" s="1">
        <v>0.54437869999999999</v>
      </c>
      <c r="M450" s="1">
        <v>5.8421253999999999E-2</v>
      </c>
      <c r="N450" s="1">
        <v>0.94157875000000002</v>
      </c>
      <c r="O450" s="1">
        <v>1.8163881999999999E-2</v>
      </c>
      <c r="P450" s="1">
        <v>0.98183609999999999</v>
      </c>
      <c r="Q450" s="4">
        <v>0</v>
      </c>
      <c r="R450" s="13">
        <v>0</v>
      </c>
      <c r="S450" s="14">
        <v>0</v>
      </c>
    </row>
    <row r="451" spans="1:19">
      <c r="A451" s="1">
        <v>1</v>
      </c>
      <c r="B451" s="1" t="s">
        <v>461</v>
      </c>
      <c r="C451" s="1">
        <v>0.108604714</v>
      </c>
      <c r="D451" s="1">
        <v>0.74387263999999997</v>
      </c>
      <c r="E451" s="1">
        <v>0.24930168999999999</v>
      </c>
      <c r="F451" s="1">
        <v>0.74483067000000003</v>
      </c>
      <c r="G451" s="1">
        <v>9.6387713999999999E-2</v>
      </c>
      <c r="H451" s="1">
        <v>0.90361230000000003</v>
      </c>
      <c r="I451" s="1">
        <v>4.3891903000000003E-2</v>
      </c>
      <c r="J451" s="1">
        <v>0.95610803</v>
      </c>
      <c r="K451" s="1">
        <v>8.2662343999999999E-2</v>
      </c>
      <c r="L451" s="1">
        <v>0.33819112000000001</v>
      </c>
      <c r="M451" s="1">
        <v>0.14493500000000001</v>
      </c>
      <c r="N451" s="1">
        <v>0.85506499999999996</v>
      </c>
      <c r="O451" s="1">
        <v>9.4559799999999999E-2</v>
      </c>
      <c r="P451" s="1">
        <v>0.90544015</v>
      </c>
      <c r="Q451" s="4">
        <v>1</v>
      </c>
      <c r="R451" s="14">
        <v>1</v>
      </c>
      <c r="S451" s="14">
        <v>1</v>
      </c>
    </row>
    <row r="452" spans="1:19">
      <c r="A452" s="1">
        <v>1</v>
      </c>
      <c r="B452" s="1" t="s">
        <v>462</v>
      </c>
      <c r="C452" s="1">
        <v>0.19751737999999999</v>
      </c>
      <c r="D452" s="1">
        <v>0.63583780000000001</v>
      </c>
      <c r="E452" s="1">
        <v>0.46829385000000001</v>
      </c>
      <c r="F452" s="1">
        <v>0.64226925000000001</v>
      </c>
      <c r="G452" s="1">
        <v>0.55373910000000004</v>
      </c>
      <c r="H452" s="1">
        <v>0.44626086999999998</v>
      </c>
      <c r="I452" s="1">
        <v>5.7625323999999999E-2</v>
      </c>
      <c r="J452" s="1">
        <v>0.94237464999999998</v>
      </c>
      <c r="K452" s="1">
        <v>8.9340866000000005E-2</v>
      </c>
      <c r="L452" s="1">
        <v>0.5169608</v>
      </c>
      <c r="M452" s="1">
        <v>2.1750728E-2</v>
      </c>
      <c r="N452" s="1">
        <v>0.97824929999999999</v>
      </c>
      <c r="O452" s="1">
        <v>9.8802569999999999E-3</v>
      </c>
      <c r="P452" s="1">
        <v>0.99011970000000005</v>
      </c>
      <c r="Q452" s="4">
        <v>1</v>
      </c>
      <c r="R452" s="14">
        <v>1</v>
      </c>
      <c r="S452" s="14">
        <v>1</v>
      </c>
    </row>
    <row r="453" spans="1:19">
      <c r="A453" s="1">
        <v>1</v>
      </c>
      <c r="B453" s="1" t="s">
        <v>463</v>
      </c>
      <c r="C453" s="1">
        <v>0.55996310000000005</v>
      </c>
      <c r="D453" s="1">
        <v>0.70101124000000004</v>
      </c>
      <c r="E453" s="1">
        <v>0.74387789999999998</v>
      </c>
      <c r="F453" s="1">
        <v>0.29717719999999997</v>
      </c>
      <c r="G453" s="1">
        <v>0.79394144</v>
      </c>
      <c r="H453" s="1">
        <v>0.20605860000000001</v>
      </c>
      <c r="I453" s="1">
        <v>0.17097117000000001</v>
      </c>
      <c r="J453" s="1">
        <v>0.82902883999999999</v>
      </c>
      <c r="K453" s="1">
        <v>0.34643316000000002</v>
      </c>
      <c r="L453" s="1">
        <v>0.10070171</v>
      </c>
      <c r="M453" s="1">
        <v>0.29018002999999998</v>
      </c>
      <c r="N453" s="1">
        <v>0.70982000000000001</v>
      </c>
      <c r="O453" s="1">
        <v>0.18202554000000001</v>
      </c>
      <c r="P453" s="1">
        <v>0.81797445000000002</v>
      </c>
      <c r="Q453" s="4">
        <v>1</v>
      </c>
      <c r="R453" s="14">
        <v>1</v>
      </c>
      <c r="S453" s="14">
        <v>1</v>
      </c>
    </row>
    <row r="454" spans="1:19">
      <c r="A454" s="1">
        <v>1</v>
      </c>
      <c r="B454" s="1" t="s">
        <v>464</v>
      </c>
      <c r="C454" s="1">
        <v>2.5000374999999998E-2</v>
      </c>
      <c r="D454" s="1">
        <v>0.82038909999999998</v>
      </c>
      <c r="E454" s="1">
        <v>0.12522915000000001</v>
      </c>
      <c r="F454" s="1">
        <v>0.7903791</v>
      </c>
      <c r="G454" s="1">
        <v>0.14293648</v>
      </c>
      <c r="H454" s="1">
        <v>0.85706353000000002</v>
      </c>
      <c r="I454" s="1">
        <v>5.0362740000000003E-3</v>
      </c>
      <c r="J454" s="1">
        <v>0.99496377000000003</v>
      </c>
      <c r="K454" s="1">
        <v>6.0924113000000002E-2</v>
      </c>
      <c r="L454" s="1">
        <v>0.43477391999999998</v>
      </c>
      <c r="M454" s="1">
        <v>2.3054926E-2</v>
      </c>
      <c r="N454" s="1">
        <v>0.97694504000000004</v>
      </c>
      <c r="O454" s="1">
        <v>1.9399649000000001E-2</v>
      </c>
      <c r="P454" s="1">
        <v>0.98060029999999998</v>
      </c>
      <c r="Q454" s="4">
        <v>1</v>
      </c>
      <c r="R454" s="14">
        <v>1</v>
      </c>
      <c r="S454" s="14">
        <v>1</v>
      </c>
    </row>
    <row r="455" spans="1:19">
      <c r="A455" s="1">
        <v>1</v>
      </c>
      <c r="B455" s="1" t="s">
        <v>465</v>
      </c>
      <c r="C455" s="1">
        <v>1.1193590999999999E-2</v>
      </c>
      <c r="D455" s="1">
        <v>0.78244789999999997</v>
      </c>
      <c r="E455" s="1">
        <v>0.21084612999999999</v>
      </c>
      <c r="F455" s="1">
        <v>0.77117705000000003</v>
      </c>
      <c r="G455" s="1">
        <v>6.1173180000000001E-2</v>
      </c>
      <c r="H455" s="1">
        <v>0.93882679999999996</v>
      </c>
      <c r="I455" s="1">
        <v>2.2183399999999999E-2</v>
      </c>
      <c r="J455" s="1">
        <v>0.97781649999999998</v>
      </c>
      <c r="K455" s="1">
        <v>0.28386319999999998</v>
      </c>
      <c r="L455" s="1">
        <v>0.36162697999999999</v>
      </c>
      <c r="M455" s="1">
        <v>5.2077707000000001E-2</v>
      </c>
      <c r="N455" s="1">
        <v>0.9479223</v>
      </c>
      <c r="O455" s="1">
        <v>2.4359614000000002E-2</v>
      </c>
      <c r="P455" s="1">
        <v>0.97564039999999996</v>
      </c>
      <c r="Q455" s="4">
        <v>1</v>
      </c>
      <c r="R455" s="14">
        <v>1</v>
      </c>
      <c r="S455" s="14">
        <v>1</v>
      </c>
    </row>
    <row r="456" spans="1:19">
      <c r="A456" s="1">
        <v>1</v>
      </c>
      <c r="B456" s="1" t="s">
        <v>466</v>
      </c>
      <c r="C456" s="1">
        <v>0.12059909000000001</v>
      </c>
      <c r="D456" s="1">
        <v>0.76551294000000003</v>
      </c>
      <c r="E456" s="1">
        <v>0.44567600000000002</v>
      </c>
      <c r="F456" s="1">
        <v>0.7132695</v>
      </c>
      <c r="G456" s="1">
        <v>0.16781719</v>
      </c>
      <c r="H456" s="1">
        <v>0.83218289999999995</v>
      </c>
      <c r="I456" s="1">
        <v>0.15870880000000001</v>
      </c>
      <c r="J456" s="1">
        <v>0.84129120000000002</v>
      </c>
      <c r="K456" s="1">
        <v>1.4772332000000001E-2</v>
      </c>
      <c r="L456" s="1">
        <v>0.48172959999999998</v>
      </c>
      <c r="M456" s="1">
        <v>0.10630235</v>
      </c>
      <c r="N456" s="1">
        <v>0.89369759999999998</v>
      </c>
      <c r="O456" s="1">
        <v>3.3934939999999997E-2</v>
      </c>
      <c r="P456" s="1">
        <v>0.96606510000000001</v>
      </c>
      <c r="Q456" s="4">
        <v>1</v>
      </c>
      <c r="R456" s="14">
        <v>1</v>
      </c>
      <c r="S456" s="14">
        <v>1</v>
      </c>
    </row>
    <row r="457" spans="1:19">
      <c r="A457" s="1">
        <v>1</v>
      </c>
      <c r="B457" s="1" t="s">
        <v>467</v>
      </c>
      <c r="C457" s="1">
        <v>0.38175597999999999</v>
      </c>
      <c r="D457" s="1">
        <v>0.67736220000000003</v>
      </c>
      <c r="E457" s="1">
        <v>0.31894602999999999</v>
      </c>
      <c r="F457" s="1">
        <v>0.74091225999999999</v>
      </c>
      <c r="G457" s="1">
        <v>0.28239194000000001</v>
      </c>
      <c r="H457" s="1">
        <v>0.71760802999999995</v>
      </c>
      <c r="I457" s="1">
        <v>0.12956966</v>
      </c>
      <c r="J457" s="1">
        <v>0.87043035000000002</v>
      </c>
      <c r="K457" s="1">
        <v>5.9325191999999999E-2</v>
      </c>
      <c r="L457" s="1">
        <v>0.30718327000000001</v>
      </c>
      <c r="M457" s="1">
        <v>0.14526107999999999</v>
      </c>
      <c r="N457" s="1">
        <v>0.85473895</v>
      </c>
      <c r="O457" s="1">
        <v>0.10631452</v>
      </c>
      <c r="P457" s="1">
        <v>0.89368546000000004</v>
      </c>
      <c r="Q457" s="4">
        <v>1</v>
      </c>
      <c r="R457" s="14">
        <v>1</v>
      </c>
      <c r="S457" s="14">
        <v>1</v>
      </c>
    </row>
    <row r="458" spans="1:19">
      <c r="A458" s="1">
        <v>1</v>
      </c>
      <c r="B458" s="1" t="s">
        <v>468</v>
      </c>
      <c r="C458" s="1">
        <v>3.5935648000000001E-2</v>
      </c>
      <c r="D458" s="1">
        <v>0.80744919999999998</v>
      </c>
      <c r="E458" s="1">
        <v>1.4658185000000001E-2</v>
      </c>
      <c r="F458" s="1">
        <v>0.79524313999999996</v>
      </c>
      <c r="G458" s="1">
        <v>1.5541226E-2</v>
      </c>
      <c r="H458" s="1">
        <v>0.98445879999999997</v>
      </c>
      <c r="I458" s="1">
        <v>3.2013129999999999E-3</v>
      </c>
      <c r="J458" s="1">
        <v>0.99679863000000002</v>
      </c>
      <c r="K458" s="1">
        <v>4.9686993999999998E-2</v>
      </c>
      <c r="L458" s="1">
        <v>0.49934128</v>
      </c>
      <c r="M458" s="1">
        <v>0.10623191</v>
      </c>
      <c r="N458" s="1">
        <v>0.89376812999999999</v>
      </c>
      <c r="O458" s="1">
        <v>3.3511974E-2</v>
      </c>
      <c r="P458" s="1">
        <v>0.96648805999999998</v>
      </c>
      <c r="Q458" s="4">
        <v>1</v>
      </c>
      <c r="R458" s="14">
        <v>1</v>
      </c>
      <c r="S458" s="14">
        <v>1</v>
      </c>
    </row>
    <row r="459" spans="1:19">
      <c r="A459" s="1">
        <v>1</v>
      </c>
      <c r="B459" s="1" t="s">
        <v>469</v>
      </c>
      <c r="C459" s="1">
        <v>0.4318536</v>
      </c>
      <c r="D459" s="1">
        <v>0.68915720000000003</v>
      </c>
      <c r="E459" s="1">
        <v>0.32952952000000002</v>
      </c>
      <c r="F459" s="1">
        <v>0.74422670000000002</v>
      </c>
      <c r="G459" s="1">
        <v>9.6337859999999997E-2</v>
      </c>
      <c r="H459" s="1">
        <v>0.90366215000000005</v>
      </c>
      <c r="I459" s="1">
        <v>3.2221899999999998E-2</v>
      </c>
      <c r="J459" s="1">
        <v>0.96777815</v>
      </c>
      <c r="K459" s="1">
        <v>0.17149499000000001</v>
      </c>
      <c r="L459" s="1">
        <v>0.29348960000000002</v>
      </c>
      <c r="M459" s="1">
        <v>6.7371319999999998E-2</v>
      </c>
      <c r="N459" s="1">
        <v>0.93262869999999998</v>
      </c>
      <c r="O459" s="1">
        <v>3.4319877999999998E-2</v>
      </c>
      <c r="P459" s="1">
        <v>0.96568005999999995</v>
      </c>
      <c r="Q459" s="4">
        <v>0</v>
      </c>
      <c r="R459" s="13">
        <v>0</v>
      </c>
      <c r="S459" s="14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0"/>
  <sheetViews>
    <sheetView tabSelected="1" topLeftCell="A67" workbookViewId="0">
      <pane xSplit="2" topLeftCell="C1" activePane="topRight" state="frozen"/>
      <selection activeCell="A19" sqref="A19"/>
      <selection pane="topRight" activeCell="B438" sqref="B438"/>
    </sheetView>
  </sheetViews>
  <sheetFormatPr defaultColWidth="11" defaultRowHeight="17"/>
  <cols>
    <col min="2" max="2" width="22.36328125" customWidth="1"/>
  </cols>
  <sheetData>
    <row r="1" spans="1:18">
      <c r="A1" s="25" t="s">
        <v>470</v>
      </c>
      <c r="B1" s="26" t="s">
        <v>11</v>
      </c>
      <c r="C1" s="26" t="s">
        <v>471</v>
      </c>
      <c r="D1" s="26" t="s">
        <v>472</v>
      </c>
      <c r="E1" s="26" t="s">
        <v>473</v>
      </c>
      <c r="F1" s="26" t="s">
        <v>474</v>
      </c>
      <c r="G1" s="26" t="s">
        <v>475</v>
      </c>
      <c r="H1" s="26" t="s">
        <v>476</v>
      </c>
      <c r="I1" s="26" t="s">
        <v>477</v>
      </c>
      <c r="J1" s="26" t="s">
        <v>478</v>
      </c>
      <c r="K1" s="41" t="s">
        <v>479</v>
      </c>
      <c r="L1" s="41" t="s">
        <v>480</v>
      </c>
      <c r="M1" s="41" t="s">
        <v>561</v>
      </c>
      <c r="N1" s="26" t="s">
        <v>481</v>
      </c>
      <c r="O1" s="26" t="s">
        <v>482</v>
      </c>
    </row>
    <row r="2" spans="1:18">
      <c r="A2" s="25">
        <v>0.5</v>
      </c>
      <c r="B2" s="26">
        <f>COUNTIF(C22:C470, 1)</f>
        <v>226</v>
      </c>
      <c r="C2" s="25"/>
      <c r="D2" s="25"/>
      <c r="E2" s="25"/>
      <c r="F2" s="25"/>
      <c r="G2" s="25"/>
      <c r="H2" s="25"/>
      <c r="I2" s="25"/>
      <c r="J2" s="25"/>
      <c r="K2" s="42"/>
      <c r="L2" s="42"/>
      <c r="M2" s="42"/>
      <c r="N2" s="25"/>
      <c r="O2" s="25"/>
    </row>
    <row r="3" spans="1:18">
      <c r="A3" s="25"/>
      <c r="B3" s="26" t="s">
        <v>10</v>
      </c>
      <c r="C3" s="25"/>
      <c r="D3" s="25"/>
      <c r="E3" s="25"/>
      <c r="F3" s="25"/>
      <c r="G3" s="25"/>
      <c r="H3" s="25"/>
      <c r="I3" s="25"/>
      <c r="J3" s="25"/>
      <c r="K3" s="42"/>
      <c r="L3" s="42"/>
      <c r="M3" s="42"/>
      <c r="N3" s="25"/>
      <c r="O3" s="25"/>
    </row>
    <row r="4" spans="1:18">
      <c r="A4" s="25"/>
      <c r="B4" s="26">
        <f>COUNTIF(C22:C470, 0)</f>
        <v>218</v>
      </c>
      <c r="C4" s="25"/>
      <c r="D4" s="25"/>
      <c r="E4" s="25"/>
      <c r="F4" s="25"/>
      <c r="G4" s="25"/>
      <c r="H4" s="25"/>
      <c r="I4" s="25"/>
      <c r="J4" s="25"/>
      <c r="K4" s="42"/>
      <c r="L4" s="42"/>
      <c r="M4" s="42"/>
      <c r="N4" s="25"/>
      <c r="O4" s="25"/>
    </row>
    <row r="5" spans="1:18">
      <c r="A5" s="4" t="s">
        <v>492</v>
      </c>
      <c r="B5" s="26" t="s">
        <v>489</v>
      </c>
      <c r="C5">
        <f>COUNTIFS($C$22:$C$470, 1, $D$22:$D$470, 1)</f>
        <v>188</v>
      </c>
      <c r="D5">
        <f>COUNTIFS($C$22:$C$470, 1, $D$22:$D$470, 0)</f>
        <v>38</v>
      </c>
      <c r="E5">
        <f>COUNTIFS($C$22:$C$470, 0, $D$22:$D$470, 1)</f>
        <v>41</v>
      </c>
      <c r="F5">
        <f>COUNTIFS($C$22:$C$470, 0, $D$22:$D$470, 0)</f>
        <v>177</v>
      </c>
      <c r="G5" s="25">
        <f>C5+E5</f>
        <v>229</v>
      </c>
      <c r="H5" s="25">
        <f>D5+F5</f>
        <v>215</v>
      </c>
      <c r="I5" s="25">
        <f t="shared" ref="I5:I15" si="0">C5+D5</f>
        <v>226</v>
      </c>
      <c r="J5" s="25">
        <f t="shared" ref="J5:J15" si="1">F5+E5</f>
        <v>218</v>
      </c>
      <c r="K5" s="54">
        <f t="shared" ref="K5:K15" si="2">(C5+F5)/SUM($C5:$F5)</f>
        <v>0.82207207207207211</v>
      </c>
      <c r="L5" s="54">
        <f t="shared" ref="L5:L15" si="3">C5/I5</f>
        <v>0.83185840707964598</v>
      </c>
      <c r="M5" s="54">
        <f t="shared" ref="M5:M15" si="4">F5/J5</f>
        <v>0.81192660550458717</v>
      </c>
      <c r="N5" s="55">
        <f t="shared" ref="N5:N15" si="5">C5/G5</f>
        <v>0.82096069868995636</v>
      </c>
      <c r="O5" s="55">
        <f t="shared" ref="O5:O15" si="6">F5/H5</f>
        <v>0.82325581395348835</v>
      </c>
      <c r="Q5" s="27"/>
    </row>
    <row r="6" spans="1:18">
      <c r="A6" s="43" t="s">
        <v>493</v>
      </c>
      <c r="B6" s="44" t="s">
        <v>490</v>
      </c>
      <c r="C6" s="45">
        <f>COUNTIFS($C$22:$C$470, 1, $E$22:$E$470, 1)</f>
        <v>203</v>
      </c>
      <c r="D6" s="45">
        <f>COUNTIFS($C$22:$C$470, 1, $E$22:$E$470, 0)</f>
        <v>23</v>
      </c>
      <c r="E6" s="45">
        <f>COUNTIFS($C$22:$C$470, 0, $E$22:$E$470, 1)</f>
        <v>30</v>
      </c>
      <c r="F6" s="45">
        <f>COUNTIFS($C$22:$C$470, 0, $E$22:$E$470, 0)</f>
        <v>188</v>
      </c>
      <c r="G6" s="46">
        <f t="shared" ref="G6:G14" si="7">C6+E6</f>
        <v>233</v>
      </c>
      <c r="H6" s="46">
        <f t="shared" ref="H6:H14" si="8">D6+F6</f>
        <v>211</v>
      </c>
      <c r="I6" s="46">
        <f t="shared" si="0"/>
        <v>226</v>
      </c>
      <c r="J6" s="46">
        <f t="shared" si="1"/>
        <v>218</v>
      </c>
      <c r="K6" s="56">
        <f t="shared" si="2"/>
        <v>0.88063063063063063</v>
      </c>
      <c r="L6" s="56">
        <f t="shared" si="3"/>
        <v>0.89823008849557517</v>
      </c>
      <c r="M6" s="56">
        <f t="shared" si="4"/>
        <v>0.86238532110091748</v>
      </c>
      <c r="N6" s="57">
        <f t="shared" si="5"/>
        <v>0.871244635193133</v>
      </c>
      <c r="O6" s="57">
        <f t="shared" si="6"/>
        <v>0.89099526066350709</v>
      </c>
      <c r="P6" s="45" t="s">
        <v>497</v>
      </c>
    </row>
    <row r="7" spans="1:18">
      <c r="A7" s="4" t="s">
        <v>494</v>
      </c>
      <c r="B7" s="29" t="s">
        <v>491</v>
      </c>
      <c r="C7">
        <f>COUNTIFS($C$22:$C$470, 1, $F$22:$F$470, 1)</f>
        <v>221</v>
      </c>
      <c r="D7">
        <f>COUNTIFS($C$22:$C$470, 1, $F$22:$F$470, 0)</f>
        <v>5</v>
      </c>
      <c r="E7">
        <f>COUNTIFS($C$22:$C$470, 0, $F$22:$F$470, 1)</f>
        <v>23</v>
      </c>
      <c r="F7">
        <f>COUNTIFS($C$22:$C$470, 0, $F$22:$F$470, 0)</f>
        <v>195</v>
      </c>
      <c r="G7" s="25">
        <f t="shared" si="7"/>
        <v>244</v>
      </c>
      <c r="H7" s="25">
        <f t="shared" si="8"/>
        <v>200</v>
      </c>
      <c r="I7" s="25">
        <f t="shared" si="0"/>
        <v>226</v>
      </c>
      <c r="J7" s="25">
        <f t="shared" si="1"/>
        <v>218</v>
      </c>
      <c r="K7" s="54">
        <f t="shared" si="2"/>
        <v>0.93693693693693691</v>
      </c>
      <c r="L7" s="54">
        <f t="shared" si="3"/>
        <v>0.97787610619469023</v>
      </c>
      <c r="M7" s="54">
        <f t="shared" si="4"/>
        <v>0.89449541284403666</v>
      </c>
      <c r="N7" s="55">
        <f t="shared" si="5"/>
        <v>0.90573770491803274</v>
      </c>
      <c r="O7" s="55">
        <f t="shared" si="6"/>
        <v>0.97499999999999998</v>
      </c>
      <c r="P7" s="27"/>
    </row>
    <row r="8" spans="1:18">
      <c r="A8" s="25"/>
      <c r="B8" s="47" t="s">
        <v>495</v>
      </c>
      <c r="C8" s="48">
        <f>COUNTIFS($C$22:$C$470, 1, H$22:H$470, 1)</f>
        <v>203</v>
      </c>
      <c r="D8" s="48">
        <f>COUNTIFS($C$22:$C$470, 1, H$22:H$470, 0)</f>
        <v>23</v>
      </c>
      <c r="E8" s="48">
        <f>COUNTIFS($C$22:$C$470, 0, H$22:H$470, 1)</f>
        <v>22</v>
      </c>
      <c r="F8" s="48">
        <f>COUNTIFS($C$22:$C$470, 0, H$22:H$470, 0)</f>
        <v>196</v>
      </c>
      <c r="G8" s="49">
        <f t="shared" si="7"/>
        <v>225</v>
      </c>
      <c r="H8" s="49">
        <f t="shared" si="8"/>
        <v>219</v>
      </c>
      <c r="I8" s="49">
        <f t="shared" si="0"/>
        <v>226</v>
      </c>
      <c r="J8" s="49">
        <f t="shared" si="1"/>
        <v>218</v>
      </c>
      <c r="K8" s="58">
        <f t="shared" si="2"/>
        <v>0.89864864864864868</v>
      </c>
      <c r="L8" s="58">
        <f t="shared" si="3"/>
        <v>0.89823008849557517</v>
      </c>
      <c r="M8" s="58">
        <f t="shared" si="4"/>
        <v>0.8990825688073395</v>
      </c>
      <c r="N8" s="59">
        <f t="shared" si="5"/>
        <v>0.90222222222222226</v>
      </c>
      <c r="O8" s="59">
        <f t="shared" si="6"/>
        <v>0.89497716894977164</v>
      </c>
      <c r="P8" s="48" t="s">
        <v>495</v>
      </c>
      <c r="Q8" s="52"/>
      <c r="R8" s="52"/>
    </row>
    <row r="9" spans="1:18">
      <c r="A9" s="25"/>
      <c r="B9" s="29" t="s">
        <v>542</v>
      </c>
      <c r="C9">
        <f>COUNTIFS($C$22:$C$470, 1, J$22:J$470, 1)</f>
        <v>197</v>
      </c>
      <c r="D9">
        <f>COUNTIFS($C$22:$C$470, 1, J$22:J$470, 0)</f>
        <v>29</v>
      </c>
      <c r="E9">
        <f>COUNTIFS($C$22:$C$470, 0, J$22:J$470, 1)</f>
        <v>35</v>
      </c>
      <c r="F9">
        <f>COUNTIFS($C$22:$C$470, 0, J$22:J$470, 0)</f>
        <v>183</v>
      </c>
      <c r="G9" s="25">
        <f t="shared" si="7"/>
        <v>232</v>
      </c>
      <c r="H9" s="25">
        <f t="shared" si="8"/>
        <v>212</v>
      </c>
      <c r="I9" s="25">
        <f t="shared" si="0"/>
        <v>226</v>
      </c>
      <c r="J9" s="25">
        <f t="shared" si="1"/>
        <v>218</v>
      </c>
      <c r="K9" s="54">
        <f t="shared" si="2"/>
        <v>0.85585585585585588</v>
      </c>
      <c r="L9" s="54">
        <f t="shared" si="3"/>
        <v>0.87168141592920356</v>
      </c>
      <c r="M9" s="54">
        <f t="shared" si="4"/>
        <v>0.83944954128440363</v>
      </c>
      <c r="N9" s="55">
        <f t="shared" si="5"/>
        <v>0.84913793103448276</v>
      </c>
      <c r="O9" s="55">
        <f t="shared" si="6"/>
        <v>0.8632075471698113</v>
      </c>
      <c r="Q9" s="60"/>
      <c r="R9" s="52"/>
    </row>
    <row r="10" spans="1:18">
      <c r="B10" s="26" t="s">
        <v>540</v>
      </c>
      <c r="C10">
        <f>COUNTIFS($C$22:$C$470, 1, L$22:L$470, 1)</f>
        <v>195</v>
      </c>
      <c r="D10">
        <f>COUNTIFS($C$22:$C$470, 1, L$22:L$470, 0)</f>
        <v>31</v>
      </c>
      <c r="E10">
        <f>COUNTIFS($C$22:$C$470, 0, L$22:L$470, 1)</f>
        <v>37</v>
      </c>
      <c r="F10">
        <f>COUNTIFS($C$22:$C$470, 0, L$22:L$470, 0)</f>
        <v>181</v>
      </c>
      <c r="G10" s="25">
        <f t="shared" si="7"/>
        <v>232</v>
      </c>
      <c r="H10" s="25">
        <f t="shared" si="8"/>
        <v>212</v>
      </c>
      <c r="I10" s="25">
        <f t="shared" si="0"/>
        <v>226</v>
      </c>
      <c r="J10" s="25">
        <f t="shared" si="1"/>
        <v>218</v>
      </c>
      <c r="K10" s="54">
        <f t="shared" si="2"/>
        <v>0.84684684684684686</v>
      </c>
      <c r="L10" s="54">
        <f t="shared" si="3"/>
        <v>0.86283185840707965</v>
      </c>
      <c r="M10" s="54">
        <f t="shared" si="4"/>
        <v>0.83027522935779818</v>
      </c>
      <c r="N10" s="55">
        <f t="shared" si="5"/>
        <v>0.84051724137931039</v>
      </c>
      <c r="O10" s="55">
        <f t="shared" si="6"/>
        <v>0.85377358490566035</v>
      </c>
      <c r="Q10" s="60"/>
      <c r="R10" s="52"/>
    </row>
    <row r="11" spans="1:18">
      <c r="B11" s="28" t="s">
        <v>539</v>
      </c>
      <c r="C11">
        <f>COUNTIFS($C$22:$C$470, 1, N$22:N$470, 1)</f>
        <v>197</v>
      </c>
      <c r="D11">
        <f>COUNTIFS($C$22:$C$470, 1, N$22:N$470, 0)</f>
        <v>29</v>
      </c>
      <c r="E11">
        <f>COUNTIFS($C$22:$C$470, 0, N$22:N$470, 1)</f>
        <v>28</v>
      </c>
      <c r="F11">
        <f>COUNTIFS($C$22:$C$470, 0, N$22:N$470, 0)</f>
        <v>190</v>
      </c>
      <c r="G11" s="25">
        <f t="shared" si="7"/>
        <v>225</v>
      </c>
      <c r="H11" s="25">
        <f t="shared" si="8"/>
        <v>219</v>
      </c>
      <c r="I11" s="25">
        <f t="shared" si="0"/>
        <v>226</v>
      </c>
      <c r="J11" s="25">
        <f t="shared" si="1"/>
        <v>218</v>
      </c>
      <c r="K11" s="54">
        <f t="shared" si="2"/>
        <v>0.8716216216216216</v>
      </c>
      <c r="L11" s="54">
        <f t="shared" si="3"/>
        <v>0.87168141592920356</v>
      </c>
      <c r="M11" s="54">
        <f t="shared" si="4"/>
        <v>0.87155963302752293</v>
      </c>
      <c r="N11" s="55">
        <f t="shared" si="5"/>
        <v>0.87555555555555553</v>
      </c>
      <c r="O11" s="55">
        <f t="shared" si="6"/>
        <v>0.86757990867579904</v>
      </c>
      <c r="Q11" s="52"/>
      <c r="R11" s="52"/>
    </row>
    <row r="12" spans="1:18">
      <c r="B12" s="29" t="s">
        <v>541</v>
      </c>
      <c r="C12">
        <f>COUNTIFS($C$22:$C$470, 1, P$22:P$470, 1)</f>
        <v>193</v>
      </c>
      <c r="D12">
        <f>COUNTIFS($C$22:$C$470, 1, P$22:P$470, 0)</f>
        <v>33</v>
      </c>
      <c r="E12">
        <f>COUNTIFS($C$22:$C$470, 0, P$22:P$470, 1)</f>
        <v>29</v>
      </c>
      <c r="F12">
        <f>COUNTIFS($C$22:$C$470, 0, P$22:P$470, 0)</f>
        <v>189</v>
      </c>
      <c r="G12" s="25">
        <f t="shared" si="7"/>
        <v>222</v>
      </c>
      <c r="H12" s="25">
        <f t="shared" si="8"/>
        <v>222</v>
      </c>
      <c r="I12" s="25">
        <f t="shared" si="0"/>
        <v>226</v>
      </c>
      <c r="J12" s="25">
        <f t="shared" si="1"/>
        <v>218</v>
      </c>
      <c r="K12" s="54">
        <f t="shared" si="2"/>
        <v>0.86036036036036034</v>
      </c>
      <c r="L12" s="54">
        <f t="shared" si="3"/>
        <v>0.85398230088495575</v>
      </c>
      <c r="M12" s="54">
        <f t="shared" si="4"/>
        <v>0.8669724770642202</v>
      </c>
      <c r="N12" s="55">
        <f t="shared" si="5"/>
        <v>0.86936936936936937</v>
      </c>
      <c r="O12" s="55">
        <f t="shared" si="6"/>
        <v>0.85135135135135132</v>
      </c>
      <c r="Q12" s="52"/>
      <c r="R12" s="52"/>
    </row>
    <row r="13" spans="1:18">
      <c r="B13" s="29" t="s">
        <v>555</v>
      </c>
      <c r="C13">
        <f>COUNTIFS($C$22:$C$470, 1, R$22:R$470, 1)</f>
        <v>195</v>
      </c>
      <c r="D13">
        <f>COUNTIFS($C$22:$C$470, 1, R$22:R$470, 0)</f>
        <v>31</v>
      </c>
      <c r="E13">
        <f>COUNTIFS($C$22:$C$470, 0, R$22:R$470, 1)</f>
        <v>43</v>
      </c>
      <c r="F13">
        <f>COUNTIFS($C$22:$C$470, 0, R$22:R$470, 0)</f>
        <v>175</v>
      </c>
      <c r="G13" s="25">
        <f t="shared" si="7"/>
        <v>238</v>
      </c>
      <c r="H13" s="25">
        <f t="shared" si="8"/>
        <v>206</v>
      </c>
      <c r="I13" s="25">
        <f t="shared" si="0"/>
        <v>226</v>
      </c>
      <c r="J13" s="25">
        <f t="shared" si="1"/>
        <v>218</v>
      </c>
      <c r="K13" s="54">
        <f t="shared" si="2"/>
        <v>0.83333333333333337</v>
      </c>
      <c r="L13" s="54">
        <f t="shared" si="3"/>
        <v>0.86283185840707965</v>
      </c>
      <c r="M13" s="54">
        <f t="shared" si="4"/>
        <v>0.80275229357798161</v>
      </c>
      <c r="N13" s="55">
        <f t="shared" si="5"/>
        <v>0.81932773109243695</v>
      </c>
      <c r="O13" s="55">
        <f t="shared" si="6"/>
        <v>0.84951456310679607</v>
      </c>
      <c r="Q13" s="52"/>
      <c r="R13" s="52"/>
    </row>
    <row r="14" spans="1:18">
      <c r="B14" s="29" t="s">
        <v>543</v>
      </c>
      <c r="C14">
        <f>COUNTIFS($C$22:$C$470, 1, T$22:T$470, 1)</f>
        <v>187</v>
      </c>
      <c r="D14">
        <f>COUNTIFS($C$22:$C$470, 1, T$22:T$470, 0)</f>
        <v>39</v>
      </c>
      <c r="E14">
        <f>COUNTIFS($C$22:$C$470, 0, T$22:T$470, 1)</f>
        <v>25</v>
      </c>
      <c r="F14">
        <f>COUNTIFS($C$22:$C$470, 0, T$22:T$470, 0)</f>
        <v>193</v>
      </c>
      <c r="G14" s="25">
        <f t="shared" si="7"/>
        <v>212</v>
      </c>
      <c r="H14" s="25">
        <f t="shared" si="8"/>
        <v>232</v>
      </c>
      <c r="I14" s="25">
        <f t="shared" si="0"/>
        <v>226</v>
      </c>
      <c r="J14" s="25">
        <f t="shared" si="1"/>
        <v>218</v>
      </c>
      <c r="K14" s="54">
        <f t="shared" si="2"/>
        <v>0.85585585585585588</v>
      </c>
      <c r="L14" s="54">
        <f t="shared" si="3"/>
        <v>0.82743362831858402</v>
      </c>
      <c r="M14" s="54">
        <f t="shared" si="4"/>
        <v>0.88532110091743121</v>
      </c>
      <c r="N14" s="55">
        <f t="shared" si="5"/>
        <v>0.88207547169811318</v>
      </c>
      <c r="O14" s="55">
        <f t="shared" si="6"/>
        <v>0.8318965517241379</v>
      </c>
      <c r="Q14" s="52"/>
      <c r="R14" s="52"/>
    </row>
    <row r="15" spans="1:18">
      <c r="B15" s="29" t="s">
        <v>557</v>
      </c>
      <c r="C15">
        <f>COUNTIFS($C$22:$C$470, 1, V$22:V$470, 1)</f>
        <v>197</v>
      </c>
      <c r="D15">
        <f>COUNTIFS($C$22:$C$470, 1, V$22:V$470, 0)</f>
        <v>29</v>
      </c>
      <c r="E15">
        <f>COUNTIFS($C$22:$C$470, 0, V$22:V$470, 1)</f>
        <v>38</v>
      </c>
      <c r="F15">
        <f>COUNTIFS($C$22:$C$470, 0, V$22:V$470, 0)</f>
        <v>180</v>
      </c>
      <c r="G15" s="25">
        <f t="shared" ref="G15" si="9">C15+E15</f>
        <v>235</v>
      </c>
      <c r="H15" s="25">
        <f t="shared" ref="H15" si="10">D15+F15</f>
        <v>209</v>
      </c>
      <c r="I15" s="25">
        <f t="shared" si="0"/>
        <v>226</v>
      </c>
      <c r="J15" s="25">
        <f t="shared" si="1"/>
        <v>218</v>
      </c>
      <c r="K15" s="54">
        <f t="shared" si="2"/>
        <v>0.84909909909909909</v>
      </c>
      <c r="L15" s="54">
        <f t="shared" si="3"/>
        <v>0.87168141592920356</v>
      </c>
      <c r="M15" s="54">
        <f t="shared" si="4"/>
        <v>0.82568807339449546</v>
      </c>
      <c r="N15" s="55">
        <f t="shared" si="5"/>
        <v>0.83829787234042552</v>
      </c>
      <c r="O15" s="55">
        <f t="shared" si="6"/>
        <v>0.86124401913875603</v>
      </c>
      <c r="Q15" t="s">
        <v>559</v>
      </c>
      <c r="R15" t="s">
        <v>560</v>
      </c>
    </row>
    <row r="16" spans="1:18">
      <c r="B16" s="29"/>
      <c r="G16" s="79"/>
      <c r="H16" s="79"/>
      <c r="I16" s="79"/>
      <c r="J16" s="79"/>
      <c r="K16" s="78"/>
      <c r="L16" s="78"/>
      <c r="M16" s="78"/>
      <c r="N16" s="55"/>
      <c r="O16" s="55"/>
      <c r="P16" t="s">
        <v>563</v>
      </c>
      <c r="Q16" s="52"/>
      <c r="R16" s="52"/>
    </row>
    <row r="17" spans="1:24">
      <c r="C17" s="50" t="s">
        <v>498</v>
      </c>
      <c r="D17" s="50"/>
      <c r="E17" s="50"/>
      <c r="F17" s="50"/>
      <c r="G17" s="51"/>
      <c r="H17" s="51"/>
      <c r="I17" s="51"/>
      <c r="J17" s="51"/>
      <c r="K17" s="51"/>
      <c r="L17" s="51"/>
      <c r="M17" s="51"/>
      <c r="N17" s="51"/>
      <c r="O17" s="51"/>
      <c r="P17" s="50" t="s">
        <v>564</v>
      </c>
      <c r="Q17" s="50"/>
      <c r="R17" s="50"/>
      <c r="S17" s="50"/>
      <c r="U17" s="50"/>
    </row>
    <row r="18" spans="1:24">
      <c r="C18" s="50" t="s">
        <v>499</v>
      </c>
      <c r="D18" s="50"/>
      <c r="E18" s="50"/>
      <c r="F18" s="50"/>
      <c r="G18" s="51"/>
      <c r="H18" s="51"/>
      <c r="I18" s="51"/>
      <c r="J18" s="51"/>
      <c r="K18" s="51"/>
      <c r="L18" s="51"/>
      <c r="M18" s="51"/>
      <c r="N18" s="51"/>
      <c r="O18" s="51"/>
      <c r="P18" s="50"/>
      <c r="Q18" s="50"/>
      <c r="R18" s="50"/>
      <c r="S18" s="50"/>
      <c r="U18" s="50"/>
    </row>
    <row r="19" spans="1:24">
      <c r="C19" s="50" t="s">
        <v>500</v>
      </c>
      <c r="D19" s="50"/>
      <c r="E19" s="50"/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0"/>
      <c r="Q19" s="50"/>
      <c r="R19" s="50"/>
      <c r="S19" s="50"/>
      <c r="U19" s="50"/>
    </row>
    <row r="21" spans="1:24" ht="15" customHeight="1">
      <c r="B21" s="23" t="s">
        <v>483</v>
      </c>
      <c r="C21" s="24" t="s">
        <v>484</v>
      </c>
      <c r="D21" s="31" t="s">
        <v>486</v>
      </c>
      <c r="E21" s="31" t="s">
        <v>487</v>
      </c>
      <c r="F21" s="31" t="s">
        <v>488</v>
      </c>
      <c r="G21" s="40" t="s">
        <v>496</v>
      </c>
      <c r="H21" s="39" t="s">
        <v>485</v>
      </c>
      <c r="I21" s="39" t="s">
        <v>542</v>
      </c>
      <c r="K21" s="39" t="s">
        <v>540</v>
      </c>
      <c r="M21" s="39" t="s">
        <v>562</v>
      </c>
      <c r="O21" t="s">
        <v>541</v>
      </c>
      <c r="Q21" t="s">
        <v>556</v>
      </c>
      <c r="S21" t="s">
        <v>543</v>
      </c>
      <c r="U21" t="s">
        <v>558</v>
      </c>
      <c r="X21" t="s">
        <v>501</v>
      </c>
    </row>
    <row r="22" spans="1:24">
      <c r="A22" s="1" t="s">
        <v>9</v>
      </c>
      <c r="B22" s="1"/>
      <c r="D22" s="32"/>
      <c r="E22" s="32"/>
      <c r="F22" s="32"/>
      <c r="X22">
        <v>2</v>
      </c>
    </row>
    <row r="23" spans="1:24">
      <c r="A23" s="1">
        <v>0</v>
      </c>
      <c r="B23" s="1" t="s">
        <v>22</v>
      </c>
      <c r="C23" s="1">
        <v>0</v>
      </c>
      <c r="D23" s="33">
        <v>0</v>
      </c>
      <c r="E23" s="33">
        <v>0</v>
      </c>
      <c r="F23" s="33">
        <v>0</v>
      </c>
      <c r="G23">
        <v>0.41117668200000002</v>
      </c>
      <c r="H23">
        <f>IF(G23&gt;$A$2,1,0)</f>
        <v>0</v>
      </c>
      <c r="I23">
        <v>0.46192759275436401</v>
      </c>
      <c r="J23">
        <f>IF(I23&gt;$A$2,1,0)</f>
        <v>0</v>
      </c>
      <c r="K23">
        <v>0.71444350481033303</v>
      </c>
      <c r="L23">
        <f>IF(K23&gt;$A$2,1,0)</f>
        <v>1</v>
      </c>
      <c r="M23">
        <v>0.24951195700000001</v>
      </c>
      <c r="N23">
        <f>IF(M23&gt;$A$2,1,0)</f>
        <v>0</v>
      </c>
      <c r="O23">
        <v>0.30434042215347301</v>
      </c>
      <c r="P23">
        <f>IF(O23&gt;$A$2,1,0)</f>
        <v>0</v>
      </c>
      <c r="Q23">
        <v>0.42021510000000001</v>
      </c>
      <c r="R23">
        <f>IF(Q23&gt;$A$2,1,0)</f>
        <v>0</v>
      </c>
      <c r="S23">
        <v>0.74531471729278498</v>
      </c>
      <c r="T23">
        <f>IF(S23&gt;$A$2,1,0)</f>
        <v>1</v>
      </c>
      <c r="U23" s="1">
        <v>0.77432420000000002</v>
      </c>
      <c r="V23" s="1">
        <v>1</v>
      </c>
      <c r="X23">
        <v>0</v>
      </c>
    </row>
    <row r="24" spans="1:24">
      <c r="A24" s="1">
        <v>0</v>
      </c>
      <c r="B24" s="7" t="s">
        <v>23</v>
      </c>
      <c r="C24" s="1">
        <v>0</v>
      </c>
      <c r="D24" s="33">
        <v>0</v>
      </c>
      <c r="E24" s="34">
        <v>0</v>
      </c>
      <c r="F24" s="33">
        <v>0</v>
      </c>
      <c r="G24">
        <v>3.4404241000000002E-2</v>
      </c>
      <c r="H24">
        <f t="shared" ref="H24:H87" si="11">IF(G24&gt;$A$2,1,0)</f>
        <v>0</v>
      </c>
      <c r="I24">
        <v>4.3995529413223003E-2</v>
      </c>
      <c r="J24">
        <f t="shared" ref="J24:J87" si="12">IF(I24&gt;$A$2,1,0)</f>
        <v>0</v>
      </c>
      <c r="K24">
        <v>1.3769069686532E-2</v>
      </c>
      <c r="L24">
        <f t="shared" ref="L24:R87" si="13">IF(K24&gt;$A$2,1,0)</f>
        <v>0</v>
      </c>
      <c r="M24">
        <v>1.7730399999999999E-8</v>
      </c>
      <c r="N24">
        <f t="shared" si="13"/>
        <v>0</v>
      </c>
      <c r="O24">
        <v>2.3577270621900001E-4</v>
      </c>
      <c r="P24">
        <f t="shared" si="13"/>
        <v>0</v>
      </c>
      <c r="Q24">
        <v>0.26420143200000001</v>
      </c>
      <c r="R24">
        <f t="shared" si="13"/>
        <v>0</v>
      </c>
      <c r="S24">
        <v>1.143320463598E-3</v>
      </c>
      <c r="T24">
        <f t="shared" ref="T24:T86" si="14">IF(S24&gt;$A$2,1,0)</f>
        <v>0</v>
      </c>
      <c r="U24" s="7">
        <v>0.25091255000000001</v>
      </c>
      <c r="V24" s="7">
        <v>0</v>
      </c>
      <c r="X24">
        <v>1</v>
      </c>
    </row>
    <row r="25" spans="1:24">
      <c r="A25" s="1">
        <v>0</v>
      </c>
      <c r="B25" s="1" t="s">
        <v>24</v>
      </c>
      <c r="C25" s="1">
        <v>0</v>
      </c>
      <c r="D25" s="33">
        <v>0</v>
      </c>
      <c r="E25" s="34">
        <v>0</v>
      </c>
      <c r="F25" s="33">
        <v>0</v>
      </c>
      <c r="G25">
        <v>4.8790268999999997E-2</v>
      </c>
      <c r="H25">
        <f t="shared" si="11"/>
        <v>0</v>
      </c>
      <c r="I25" s="30">
        <v>4.7740619629619997E-3</v>
      </c>
      <c r="J25">
        <f t="shared" si="12"/>
        <v>0</v>
      </c>
      <c r="K25">
        <v>4.81759943068E-3</v>
      </c>
      <c r="L25">
        <f t="shared" si="13"/>
        <v>0</v>
      </c>
      <c r="M25">
        <v>2.8154539999999998E-3</v>
      </c>
      <c r="N25">
        <f t="shared" si="13"/>
        <v>0</v>
      </c>
      <c r="O25">
        <v>1.0158177465201E-2</v>
      </c>
      <c r="P25">
        <f t="shared" si="13"/>
        <v>0</v>
      </c>
      <c r="Q25">
        <v>0.117153414</v>
      </c>
      <c r="R25">
        <f t="shared" si="13"/>
        <v>0</v>
      </c>
      <c r="S25">
        <v>5.5659824283799998E-4</v>
      </c>
      <c r="T25">
        <f t="shared" si="14"/>
        <v>0</v>
      </c>
      <c r="U25" s="1">
        <v>0.33407360000000003</v>
      </c>
      <c r="V25" s="1">
        <v>0</v>
      </c>
      <c r="X25">
        <v>0</v>
      </c>
    </row>
    <row r="26" spans="1:24">
      <c r="A26" s="1">
        <v>0</v>
      </c>
      <c r="B26" s="1" t="s">
        <v>25</v>
      </c>
      <c r="C26" s="1">
        <v>0</v>
      </c>
      <c r="D26" s="33">
        <v>0</v>
      </c>
      <c r="E26" s="34">
        <v>0</v>
      </c>
      <c r="F26" s="33">
        <v>0</v>
      </c>
      <c r="G26">
        <v>0.76597183899999999</v>
      </c>
      <c r="H26">
        <f t="shared" si="11"/>
        <v>1</v>
      </c>
      <c r="I26">
        <v>0.29603376984596202</v>
      </c>
      <c r="J26">
        <f t="shared" si="12"/>
        <v>0</v>
      </c>
      <c r="K26">
        <v>0.361362844705582</v>
      </c>
      <c r="L26">
        <f t="shared" si="13"/>
        <v>0</v>
      </c>
      <c r="M26">
        <v>6.6480740999999996E-2</v>
      </c>
      <c r="N26">
        <f t="shared" si="13"/>
        <v>0</v>
      </c>
      <c r="O26">
        <v>0.12092386931181</v>
      </c>
      <c r="P26">
        <f t="shared" si="13"/>
        <v>0</v>
      </c>
      <c r="Q26">
        <v>0.62134820199999996</v>
      </c>
      <c r="R26">
        <f t="shared" si="13"/>
        <v>1</v>
      </c>
      <c r="S26">
        <v>0.64408266544341997</v>
      </c>
      <c r="T26">
        <f t="shared" si="14"/>
        <v>1</v>
      </c>
      <c r="U26" s="1">
        <v>0.62168840000000003</v>
      </c>
      <c r="V26" s="1">
        <v>0</v>
      </c>
      <c r="X26">
        <v>0</v>
      </c>
    </row>
    <row r="27" spans="1:24">
      <c r="A27" s="1">
        <v>0</v>
      </c>
      <c r="B27" s="1" t="s">
        <v>26</v>
      </c>
      <c r="C27" s="1">
        <v>0</v>
      </c>
      <c r="D27" s="33">
        <v>0</v>
      </c>
      <c r="E27" s="34">
        <v>0</v>
      </c>
      <c r="F27" s="33">
        <v>0</v>
      </c>
      <c r="G27" s="30">
        <v>3.4402813999999997E-2</v>
      </c>
      <c r="H27">
        <f t="shared" si="11"/>
        <v>0</v>
      </c>
      <c r="I27" s="30">
        <v>7.1005517384037403E-5</v>
      </c>
      <c r="J27">
        <f t="shared" si="12"/>
        <v>0</v>
      </c>
      <c r="K27" s="30">
        <v>7.7114324085414396E-5</v>
      </c>
      <c r="L27">
        <f t="shared" si="13"/>
        <v>0</v>
      </c>
      <c r="M27">
        <v>1.4026640000000001E-3</v>
      </c>
      <c r="N27">
        <f t="shared" si="13"/>
        <v>0</v>
      </c>
      <c r="O27">
        <v>1.4695990830660001E-3</v>
      </c>
      <c r="P27">
        <f t="shared" si="13"/>
        <v>0</v>
      </c>
      <c r="Q27">
        <v>3.2688674000000001E-2</v>
      </c>
      <c r="R27">
        <f t="shared" si="13"/>
        <v>0</v>
      </c>
      <c r="S27">
        <v>1.618258538656E-3</v>
      </c>
      <c r="T27">
        <f t="shared" si="14"/>
        <v>0</v>
      </c>
      <c r="U27" s="1">
        <v>6.3632750000000002E-2</v>
      </c>
      <c r="V27" s="1">
        <v>0</v>
      </c>
      <c r="X27">
        <v>0</v>
      </c>
    </row>
    <row r="28" spans="1:24">
      <c r="A28" s="1">
        <v>0</v>
      </c>
      <c r="B28" s="1" t="s">
        <v>27</v>
      </c>
      <c r="C28" s="1">
        <v>0</v>
      </c>
      <c r="D28" s="33">
        <v>0</v>
      </c>
      <c r="E28" s="34">
        <v>0</v>
      </c>
      <c r="F28" s="33">
        <v>0</v>
      </c>
      <c r="G28">
        <v>0.25044506799999999</v>
      </c>
      <c r="H28">
        <f t="shared" si="11"/>
        <v>0</v>
      </c>
      <c r="I28">
        <v>0.62026315927505504</v>
      </c>
      <c r="J28">
        <f t="shared" si="12"/>
        <v>1</v>
      </c>
      <c r="K28">
        <v>0.31461942195892301</v>
      </c>
      <c r="L28">
        <f t="shared" si="13"/>
        <v>0</v>
      </c>
      <c r="M28">
        <v>1.8747382E-2</v>
      </c>
      <c r="N28">
        <f t="shared" si="13"/>
        <v>0</v>
      </c>
      <c r="O28">
        <v>0.89189964532852195</v>
      </c>
      <c r="P28">
        <f t="shared" si="13"/>
        <v>1</v>
      </c>
      <c r="Q28">
        <v>0.30019444200000001</v>
      </c>
      <c r="R28">
        <f t="shared" si="13"/>
        <v>0</v>
      </c>
      <c r="S28">
        <v>0.86902481317520097</v>
      </c>
      <c r="T28">
        <f t="shared" si="14"/>
        <v>1</v>
      </c>
      <c r="U28" s="1">
        <v>0.52185570000000003</v>
      </c>
      <c r="V28" s="1">
        <v>0</v>
      </c>
      <c r="X28">
        <v>0</v>
      </c>
    </row>
    <row r="29" spans="1:24">
      <c r="A29" s="1">
        <v>0</v>
      </c>
      <c r="B29" s="1" t="s">
        <v>28</v>
      </c>
      <c r="C29" s="1">
        <v>0</v>
      </c>
      <c r="D29" s="33">
        <v>0</v>
      </c>
      <c r="E29" s="34">
        <v>0</v>
      </c>
      <c r="F29" s="33">
        <v>0</v>
      </c>
      <c r="G29">
        <v>7.8706443000000001E-2</v>
      </c>
      <c r="H29">
        <f t="shared" si="11"/>
        <v>0</v>
      </c>
      <c r="I29">
        <v>0.16287280619144401</v>
      </c>
      <c r="J29">
        <f t="shared" si="12"/>
        <v>0</v>
      </c>
      <c r="K29">
        <v>3.4766364842652997E-2</v>
      </c>
      <c r="L29">
        <f t="shared" si="13"/>
        <v>0</v>
      </c>
      <c r="M29">
        <v>1.3453349E-2</v>
      </c>
      <c r="N29">
        <f t="shared" si="13"/>
        <v>0</v>
      </c>
      <c r="O29">
        <v>3.4936379641295E-2</v>
      </c>
      <c r="P29">
        <f t="shared" si="13"/>
        <v>0</v>
      </c>
      <c r="Q29">
        <v>0.55831795900000003</v>
      </c>
      <c r="R29">
        <f t="shared" si="13"/>
        <v>1</v>
      </c>
      <c r="S29">
        <v>2.6475332677363999E-2</v>
      </c>
      <c r="T29">
        <f t="shared" si="14"/>
        <v>0</v>
      </c>
      <c r="U29" s="1">
        <v>0.41340598000000001</v>
      </c>
      <c r="V29" s="1">
        <v>0</v>
      </c>
      <c r="X29">
        <v>0</v>
      </c>
    </row>
    <row r="30" spans="1:24">
      <c r="A30" s="1">
        <v>0</v>
      </c>
      <c r="B30" s="1" t="s">
        <v>29</v>
      </c>
      <c r="C30" s="1">
        <v>0</v>
      </c>
      <c r="D30" s="33">
        <v>0</v>
      </c>
      <c r="E30" s="34">
        <v>0</v>
      </c>
      <c r="F30" s="33">
        <v>0</v>
      </c>
      <c r="G30" s="30">
        <v>4.0703449000000003E-2</v>
      </c>
      <c r="H30">
        <f t="shared" si="11"/>
        <v>0</v>
      </c>
      <c r="I30" s="30">
        <v>1.4810960274189999E-3</v>
      </c>
      <c r="J30">
        <f t="shared" si="12"/>
        <v>0</v>
      </c>
      <c r="K30">
        <v>9.6449797274500003E-4</v>
      </c>
      <c r="L30">
        <f t="shared" si="13"/>
        <v>0</v>
      </c>
      <c r="M30" s="30">
        <v>4.9984100000000004E-7</v>
      </c>
      <c r="N30">
        <f t="shared" si="13"/>
        <v>0</v>
      </c>
      <c r="O30" s="30">
        <v>4.3533323332669996E-3</v>
      </c>
      <c r="P30">
        <f t="shared" si="13"/>
        <v>0</v>
      </c>
      <c r="Q30">
        <v>4.2386941999999997E-2</v>
      </c>
      <c r="R30">
        <f t="shared" si="13"/>
        <v>0</v>
      </c>
      <c r="S30" s="30">
        <v>6.7333305196370902E-5</v>
      </c>
      <c r="T30">
        <f t="shared" si="14"/>
        <v>0</v>
      </c>
      <c r="U30" s="1">
        <v>0.11710234</v>
      </c>
      <c r="V30" s="1">
        <v>0</v>
      </c>
      <c r="X30">
        <v>0</v>
      </c>
    </row>
    <row r="31" spans="1:24">
      <c r="A31" s="1">
        <v>0</v>
      </c>
      <c r="B31" s="1" t="s">
        <v>30</v>
      </c>
      <c r="C31" s="1">
        <v>0</v>
      </c>
      <c r="D31" s="33">
        <v>0</v>
      </c>
      <c r="E31" s="34">
        <v>0</v>
      </c>
      <c r="F31" s="33">
        <v>0</v>
      </c>
      <c r="G31">
        <v>0.109919056</v>
      </c>
      <c r="H31">
        <f t="shared" si="11"/>
        <v>0</v>
      </c>
      <c r="I31">
        <v>0.191889673471451</v>
      </c>
      <c r="J31">
        <f t="shared" si="12"/>
        <v>0</v>
      </c>
      <c r="K31">
        <v>0.43133100867271401</v>
      </c>
      <c r="L31">
        <f t="shared" si="13"/>
        <v>0</v>
      </c>
      <c r="M31">
        <v>8.3479330000000004E-2</v>
      </c>
      <c r="N31">
        <f t="shared" si="13"/>
        <v>0</v>
      </c>
      <c r="O31">
        <v>0.11852806061506301</v>
      </c>
      <c r="P31">
        <f t="shared" si="13"/>
        <v>0</v>
      </c>
      <c r="Q31">
        <v>9.7013347E-2</v>
      </c>
      <c r="R31">
        <f t="shared" si="13"/>
        <v>0</v>
      </c>
      <c r="S31">
        <v>3.6601398140191997E-2</v>
      </c>
      <c r="T31">
        <f t="shared" si="14"/>
        <v>0</v>
      </c>
      <c r="U31" s="1">
        <v>0.46790549999999997</v>
      </c>
      <c r="V31" s="1">
        <v>0</v>
      </c>
      <c r="X31">
        <v>0</v>
      </c>
    </row>
    <row r="32" spans="1:24">
      <c r="A32" s="1">
        <v>0</v>
      </c>
      <c r="B32" s="1" t="s">
        <v>31</v>
      </c>
      <c r="C32" s="1">
        <v>0</v>
      </c>
      <c r="D32" s="33">
        <v>0</v>
      </c>
      <c r="E32" s="34">
        <v>0</v>
      </c>
      <c r="F32" s="33">
        <v>0</v>
      </c>
      <c r="G32">
        <v>0.61243802300000005</v>
      </c>
      <c r="H32">
        <f t="shared" si="11"/>
        <v>1</v>
      </c>
      <c r="I32">
        <v>0.98425889015197798</v>
      </c>
      <c r="J32">
        <f t="shared" si="12"/>
        <v>1</v>
      </c>
      <c r="K32">
        <v>0.31357759237289401</v>
      </c>
      <c r="L32">
        <f t="shared" si="13"/>
        <v>0</v>
      </c>
      <c r="M32" s="30">
        <v>5.5926129999999998E-3</v>
      </c>
      <c r="N32">
        <f t="shared" si="13"/>
        <v>0</v>
      </c>
      <c r="O32">
        <v>0.28898277878761303</v>
      </c>
      <c r="P32">
        <f t="shared" si="13"/>
        <v>0</v>
      </c>
      <c r="Q32">
        <v>0.42708665099999998</v>
      </c>
      <c r="R32">
        <f t="shared" si="13"/>
        <v>0</v>
      </c>
      <c r="S32">
        <v>8.3291925489902996E-2</v>
      </c>
      <c r="T32">
        <f t="shared" si="14"/>
        <v>0</v>
      </c>
      <c r="U32" s="1">
        <v>0.73446584000000004</v>
      </c>
      <c r="V32" s="1">
        <v>1</v>
      </c>
      <c r="X32">
        <v>0</v>
      </c>
    </row>
    <row r="33" spans="1:24">
      <c r="A33" s="1">
        <v>0</v>
      </c>
      <c r="B33" s="1" t="s">
        <v>32</v>
      </c>
      <c r="C33" s="1">
        <v>0</v>
      </c>
      <c r="D33" s="33">
        <v>0</v>
      </c>
      <c r="E33" s="34">
        <v>0</v>
      </c>
      <c r="F33" s="33">
        <v>0</v>
      </c>
      <c r="G33">
        <v>0.43385157000000002</v>
      </c>
      <c r="H33">
        <f t="shared" si="11"/>
        <v>0</v>
      </c>
      <c r="I33">
        <v>9.7945094108582001E-2</v>
      </c>
      <c r="J33">
        <f t="shared" si="12"/>
        <v>0</v>
      </c>
      <c r="K33">
        <v>0.17167054116725899</v>
      </c>
      <c r="L33">
        <f t="shared" si="13"/>
        <v>0</v>
      </c>
      <c r="M33">
        <v>0.137590766</v>
      </c>
      <c r="N33">
        <f t="shared" si="13"/>
        <v>0</v>
      </c>
      <c r="O33">
        <v>0.32864859700202897</v>
      </c>
      <c r="P33">
        <f t="shared" si="13"/>
        <v>0</v>
      </c>
      <c r="Q33">
        <v>0.263690323</v>
      </c>
      <c r="R33">
        <f t="shared" si="13"/>
        <v>0</v>
      </c>
      <c r="S33">
        <v>0.267490833997726</v>
      </c>
      <c r="T33">
        <f t="shared" si="14"/>
        <v>0</v>
      </c>
      <c r="U33" s="1">
        <v>0.60115397000000004</v>
      </c>
      <c r="V33" s="1">
        <v>0</v>
      </c>
      <c r="X33">
        <v>0</v>
      </c>
    </row>
    <row r="34" spans="1:24">
      <c r="A34" s="1">
        <v>0</v>
      </c>
      <c r="B34" s="1" t="s">
        <v>548</v>
      </c>
      <c r="C34" s="1">
        <v>0</v>
      </c>
      <c r="D34" s="33">
        <v>0</v>
      </c>
      <c r="E34" s="34">
        <v>0</v>
      </c>
      <c r="F34" s="33">
        <v>1</v>
      </c>
      <c r="G34" s="30">
        <v>2.7501661E-2</v>
      </c>
      <c r="H34">
        <f t="shared" si="11"/>
        <v>0</v>
      </c>
      <c r="I34" s="30">
        <v>2.4626826416351799E-5</v>
      </c>
      <c r="J34">
        <f t="shared" si="12"/>
        <v>0</v>
      </c>
      <c r="K34" s="30">
        <v>1.51323911268E-4</v>
      </c>
      <c r="L34">
        <f t="shared" si="13"/>
        <v>0</v>
      </c>
      <c r="M34" s="30">
        <v>4.7075499999999999E-10</v>
      </c>
      <c r="N34">
        <f t="shared" si="13"/>
        <v>0</v>
      </c>
      <c r="O34">
        <v>3.3238902688000001E-4</v>
      </c>
      <c r="P34">
        <f t="shared" si="13"/>
        <v>0</v>
      </c>
      <c r="Q34" s="30">
        <v>3.4774825000000002E-2</v>
      </c>
      <c r="R34">
        <f t="shared" si="13"/>
        <v>0</v>
      </c>
      <c r="S34" s="30">
        <v>4.6317680244101198E-5</v>
      </c>
      <c r="T34">
        <f t="shared" si="14"/>
        <v>0</v>
      </c>
      <c r="U34" s="1">
        <v>5.9641949999999999E-2</v>
      </c>
      <c r="V34" s="1">
        <v>0</v>
      </c>
      <c r="X34">
        <v>0</v>
      </c>
    </row>
    <row r="35" spans="1:24">
      <c r="A35" s="1">
        <v>0</v>
      </c>
      <c r="B35" s="1" t="s">
        <v>34</v>
      </c>
      <c r="C35" s="1">
        <v>0</v>
      </c>
      <c r="D35" s="33">
        <v>0</v>
      </c>
      <c r="E35" s="34">
        <v>0</v>
      </c>
      <c r="F35" s="33">
        <v>0</v>
      </c>
      <c r="G35">
        <v>6.6260508999999995E-2</v>
      </c>
      <c r="H35">
        <f t="shared" si="11"/>
        <v>0</v>
      </c>
      <c r="I35">
        <v>1.9700011238456001E-2</v>
      </c>
      <c r="J35">
        <f t="shared" si="12"/>
        <v>0</v>
      </c>
      <c r="K35">
        <v>3.6060590296984003E-2</v>
      </c>
      <c r="L35">
        <f t="shared" si="13"/>
        <v>0</v>
      </c>
      <c r="M35">
        <v>0.25495687099999997</v>
      </c>
      <c r="N35">
        <f t="shared" si="13"/>
        <v>0</v>
      </c>
      <c r="O35">
        <v>1.1630158871412E-2</v>
      </c>
      <c r="P35">
        <f t="shared" si="13"/>
        <v>0</v>
      </c>
      <c r="Q35">
        <v>0.17454640599999999</v>
      </c>
      <c r="R35">
        <f t="shared" si="13"/>
        <v>0</v>
      </c>
      <c r="S35">
        <v>0.29330399632453902</v>
      </c>
      <c r="T35">
        <f t="shared" si="14"/>
        <v>0</v>
      </c>
      <c r="U35" s="1">
        <v>0.27931866</v>
      </c>
      <c r="V35" s="1">
        <v>0</v>
      </c>
      <c r="X35">
        <v>0</v>
      </c>
    </row>
    <row r="36" spans="1:24">
      <c r="A36" s="1">
        <v>0</v>
      </c>
      <c r="B36" s="1" t="s">
        <v>35</v>
      </c>
      <c r="C36" s="1">
        <v>0</v>
      </c>
      <c r="D36" s="33">
        <v>0</v>
      </c>
      <c r="E36" s="34">
        <v>0</v>
      </c>
      <c r="F36" s="33">
        <v>0</v>
      </c>
      <c r="G36">
        <v>0.40021002300000003</v>
      </c>
      <c r="H36">
        <f t="shared" si="11"/>
        <v>0</v>
      </c>
      <c r="I36">
        <v>9.3340829014777998E-2</v>
      </c>
      <c r="J36">
        <f t="shared" si="12"/>
        <v>0</v>
      </c>
      <c r="K36">
        <v>0.44614326953887901</v>
      </c>
      <c r="L36">
        <f t="shared" si="13"/>
        <v>0</v>
      </c>
      <c r="M36" s="30">
        <v>0.57867670100000002</v>
      </c>
      <c r="N36">
        <f t="shared" si="13"/>
        <v>1</v>
      </c>
      <c r="O36">
        <v>0.127210363745689</v>
      </c>
      <c r="P36">
        <f t="shared" si="13"/>
        <v>0</v>
      </c>
      <c r="Q36">
        <v>0.53220063399999995</v>
      </c>
      <c r="R36">
        <f t="shared" si="13"/>
        <v>1</v>
      </c>
      <c r="S36">
        <v>0.30585965514183</v>
      </c>
      <c r="T36">
        <f t="shared" si="14"/>
        <v>0</v>
      </c>
      <c r="U36" s="1">
        <v>0.74473730000000005</v>
      </c>
      <c r="V36" s="1">
        <v>1</v>
      </c>
      <c r="X36">
        <v>0</v>
      </c>
    </row>
    <row r="37" spans="1:24">
      <c r="A37" s="1">
        <v>0</v>
      </c>
      <c r="B37" s="1" t="s">
        <v>36</v>
      </c>
      <c r="C37" s="1">
        <v>0</v>
      </c>
      <c r="D37" s="33">
        <v>0</v>
      </c>
      <c r="E37" s="34">
        <v>0</v>
      </c>
      <c r="F37" s="33">
        <v>0</v>
      </c>
      <c r="G37" s="30">
        <v>3.7474084999999997E-2</v>
      </c>
      <c r="H37">
        <f t="shared" si="11"/>
        <v>0</v>
      </c>
      <c r="I37" s="30">
        <v>7.4563060479704304E-5</v>
      </c>
      <c r="J37">
        <f t="shared" si="12"/>
        <v>0</v>
      </c>
      <c r="K37">
        <v>2.6406507822699998E-4</v>
      </c>
      <c r="L37">
        <f t="shared" si="13"/>
        <v>0</v>
      </c>
      <c r="M37" s="30">
        <v>1.5940000000000001E-7</v>
      </c>
      <c r="N37">
        <f t="shared" si="13"/>
        <v>0</v>
      </c>
      <c r="O37">
        <v>1.78583330126E-4</v>
      </c>
      <c r="P37">
        <f t="shared" si="13"/>
        <v>0</v>
      </c>
      <c r="Q37" s="30">
        <v>0.124173246</v>
      </c>
      <c r="R37">
        <f t="shared" si="13"/>
        <v>0</v>
      </c>
      <c r="S37">
        <v>2.5898803141899998E-4</v>
      </c>
      <c r="T37">
        <f t="shared" si="14"/>
        <v>0</v>
      </c>
      <c r="U37" s="1">
        <v>0.13928309</v>
      </c>
      <c r="V37" s="1">
        <v>0</v>
      </c>
      <c r="X37">
        <v>0</v>
      </c>
    </row>
    <row r="38" spans="1:24">
      <c r="A38" s="1">
        <v>0</v>
      </c>
      <c r="B38" s="1" t="s">
        <v>37</v>
      </c>
      <c r="C38" s="1">
        <v>0</v>
      </c>
      <c r="D38" s="33">
        <v>0</v>
      </c>
      <c r="E38" s="34">
        <v>0</v>
      </c>
      <c r="F38" s="33">
        <v>0</v>
      </c>
      <c r="G38">
        <v>0.11991059799999999</v>
      </c>
      <c r="H38">
        <f t="shared" si="11"/>
        <v>0</v>
      </c>
      <c r="I38" s="30">
        <v>3.7088242825119998E-3</v>
      </c>
      <c r="J38">
        <f t="shared" si="12"/>
        <v>0</v>
      </c>
      <c r="K38">
        <v>1.3468807563186001E-2</v>
      </c>
      <c r="L38">
        <f t="shared" si="13"/>
        <v>0</v>
      </c>
      <c r="M38">
        <v>2.4601316000000002E-2</v>
      </c>
      <c r="N38">
        <f t="shared" si="13"/>
        <v>0</v>
      </c>
      <c r="O38">
        <v>1.5947826206684002E-2</v>
      </c>
      <c r="P38">
        <f t="shared" si="13"/>
        <v>0</v>
      </c>
      <c r="Q38">
        <v>0.159208298</v>
      </c>
      <c r="R38">
        <f t="shared" si="13"/>
        <v>0</v>
      </c>
      <c r="S38">
        <v>1.408261526376E-2</v>
      </c>
      <c r="T38">
        <f t="shared" si="14"/>
        <v>0</v>
      </c>
      <c r="U38" s="1">
        <v>0.37275887000000002</v>
      </c>
      <c r="V38" s="1">
        <v>0</v>
      </c>
      <c r="X38">
        <v>0</v>
      </c>
    </row>
    <row r="39" spans="1:24">
      <c r="A39" s="1">
        <v>0</v>
      </c>
      <c r="B39" s="1" t="s">
        <v>38</v>
      </c>
      <c r="C39" s="1">
        <v>0</v>
      </c>
      <c r="D39" s="33">
        <v>0</v>
      </c>
      <c r="E39" s="34">
        <v>0</v>
      </c>
      <c r="F39" s="33">
        <v>0</v>
      </c>
      <c r="G39">
        <v>0.794053495</v>
      </c>
      <c r="H39">
        <f t="shared" si="11"/>
        <v>1</v>
      </c>
      <c r="I39">
        <v>0.97456181049346902</v>
      </c>
      <c r="J39">
        <f t="shared" si="12"/>
        <v>1</v>
      </c>
      <c r="K39">
        <v>0.60226774215698198</v>
      </c>
      <c r="L39">
        <f t="shared" si="13"/>
        <v>1</v>
      </c>
      <c r="M39" s="30">
        <v>8.9079390000000001E-3</v>
      </c>
      <c r="N39">
        <f t="shared" si="13"/>
        <v>0</v>
      </c>
      <c r="O39">
        <v>0.91557252407073997</v>
      </c>
      <c r="P39">
        <f t="shared" si="13"/>
        <v>1</v>
      </c>
      <c r="Q39">
        <v>0.70779317600000002</v>
      </c>
      <c r="R39">
        <f t="shared" si="13"/>
        <v>1</v>
      </c>
      <c r="S39">
        <v>9.9714517593383997E-2</v>
      </c>
      <c r="T39">
        <f t="shared" si="14"/>
        <v>0</v>
      </c>
      <c r="U39" s="1">
        <v>0.60547499999999999</v>
      </c>
      <c r="V39" s="1">
        <v>0</v>
      </c>
      <c r="X39">
        <v>0</v>
      </c>
    </row>
    <row r="40" spans="1:24">
      <c r="A40" s="1">
        <v>0</v>
      </c>
      <c r="B40" s="1" t="s">
        <v>39</v>
      </c>
      <c r="C40" s="1">
        <v>0</v>
      </c>
      <c r="D40" s="33">
        <v>0</v>
      </c>
      <c r="E40" s="34">
        <v>0</v>
      </c>
      <c r="F40" s="33">
        <v>0</v>
      </c>
      <c r="G40">
        <v>0.16272161900000001</v>
      </c>
      <c r="H40">
        <f t="shared" si="11"/>
        <v>0</v>
      </c>
      <c r="I40">
        <v>0.16527996957302099</v>
      </c>
      <c r="J40">
        <f t="shared" si="12"/>
        <v>0</v>
      </c>
      <c r="K40">
        <v>1.4703972265124E-2</v>
      </c>
      <c r="L40">
        <f t="shared" si="13"/>
        <v>0</v>
      </c>
      <c r="M40">
        <v>1.8041227E-2</v>
      </c>
      <c r="N40">
        <f t="shared" si="13"/>
        <v>0</v>
      </c>
      <c r="O40">
        <v>0.43144965171813998</v>
      </c>
      <c r="P40">
        <f t="shared" si="13"/>
        <v>0</v>
      </c>
      <c r="Q40">
        <v>6.8493120000000005E-2</v>
      </c>
      <c r="R40">
        <f t="shared" si="13"/>
        <v>0</v>
      </c>
      <c r="S40">
        <v>0.247004330158234</v>
      </c>
      <c r="T40">
        <f t="shared" si="14"/>
        <v>0</v>
      </c>
      <c r="U40" s="1">
        <v>0.12225402</v>
      </c>
      <c r="V40" s="1">
        <v>0</v>
      </c>
      <c r="X40">
        <v>0</v>
      </c>
    </row>
    <row r="41" spans="1:24">
      <c r="A41" s="1">
        <v>0</v>
      </c>
      <c r="B41" s="7" t="s">
        <v>547</v>
      </c>
      <c r="C41" s="1">
        <v>0</v>
      </c>
      <c r="D41" s="33">
        <v>1</v>
      </c>
      <c r="E41" s="34">
        <v>0</v>
      </c>
      <c r="F41" s="33">
        <v>0</v>
      </c>
      <c r="G41" s="30">
        <v>5.7265401E-2</v>
      </c>
      <c r="H41">
        <f t="shared" si="11"/>
        <v>0</v>
      </c>
      <c r="I41" s="30">
        <v>1.8766045570374E-2</v>
      </c>
      <c r="J41">
        <f t="shared" si="12"/>
        <v>0</v>
      </c>
      <c r="K41">
        <v>3.4547142684459999E-2</v>
      </c>
      <c r="L41">
        <f t="shared" si="13"/>
        <v>0</v>
      </c>
      <c r="M41" s="30">
        <v>8.2588209999999995E-3</v>
      </c>
      <c r="N41">
        <f t="shared" si="13"/>
        <v>0</v>
      </c>
      <c r="O41">
        <v>2.1073771640660001E-3</v>
      </c>
      <c r="P41">
        <f t="shared" si="13"/>
        <v>0</v>
      </c>
      <c r="Q41">
        <v>5.5413693E-2</v>
      </c>
      <c r="R41">
        <f t="shared" si="13"/>
        <v>0</v>
      </c>
      <c r="S41">
        <v>6.8186759017410002E-3</v>
      </c>
      <c r="T41">
        <f t="shared" si="14"/>
        <v>0</v>
      </c>
      <c r="U41" s="7">
        <v>0.18406954</v>
      </c>
      <c r="V41" s="7">
        <v>0</v>
      </c>
      <c r="X41">
        <v>1</v>
      </c>
    </row>
    <row r="42" spans="1:24">
      <c r="A42" s="1">
        <v>0</v>
      </c>
      <c r="B42" s="1" t="s">
        <v>41</v>
      </c>
      <c r="C42" s="1">
        <v>0</v>
      </c>
      <c r="D42" s="33">
        <v>0</v>
      </c>
      <c r="E42" s="33">
        <v>1</v>
      </c>
      <c r="F42" s="33">
        <v>1</v>
      </c>
      <c r="G42">
        <v>0.12160787000000001</v>
      </c>
      <c r="H42">
        <f t="shared" si="11"/>
        <v>0</v>
      </c>
      <c r="I42">
        <v>2.858048770577E-3</v>
      </c>
      <c r="J42">
        <f t="shared" si="12"/>
        <v>0</v>
      </c>
      <c r="K42">
        <v>2.7649827301501999E-2</v>
      </c>
      <c r="L42">
        <f t="shared" si="13"/>
        <v>0</v>
      </c>
      <c r="M42">
        <v>0.173298016</v>
      </c>
      <c r="N42">
        <f t="shared" si="13"/>
        <v>0</v>
      </c>
      <c r="O42">
        <v>4.4502569362520001E-3</v>
      </c>
      <c r="P42">
        <f t="shared" si="13"/>
        <v>0</v>
      </c>
      <c r="Q42">
        <v>0.27900618300000002</v>
      </c>
      <c r="R42">
        <f t="shared" si="13"/>
        <v>0</v>
      </c>
      <c r="S42">
        <v>8.9808860793709998E-3</v>
      </c>
      <c r="T42">
        <f t="shared" si="14"/>
        <v>0</v>
      </c>
      <c r="U42" s="1">
        <v>0.39967686000000002</v>
      </c>
      <c r="V42" s="1">
        <v>0</v>
      </c>
      <c r="X42">
        <v>0</v>
      </c>
    </row>
    <row r="43" spans="1:24">
      <c r="A43" s="1">
        <v>0</v>
      </c>
      <c r="B43" s="1" t="s">
        <v>549</v>
      </c>
      <c r="C43" s="1">
        <v>0</v>
      </c>
      <c r="D43" s="33">
        <v>1</v>
      </c>
      <c r="E43" s="33">
        <v>1</v>
      </c>
      <c r="F43" s="33">
        <v>0</v>
      </c>
      <c r="G43">
        <v>0.22153252400000001</v>
      </c>
      <c r="H43">
        <f t="shared" si="11"/>
        <v>0</v>
      </c>
      <c r="I43">
        <v>0.87495303153991699</v>
      </c>
      <c r="J43">
        <f t="shared" si="12"/>
        <v>1</v>
      </c>
      <c r="K43">
        <v>0.421103626489639</v>
      </c>
      <c r="L43">
        <f t="shared" si="13"/>
        <v>0</v>
      </c>
      <c r="M43">
        <v>4.3345010000000002E-3</v>
      </c>
      <c r="N43">
        <f t="shared" si="13"/>
        <v>0</v>
      </c>
      <c r="O43">
        <v>0.37032914161682101</v>
      </c>
      <c r="P43">
        <f t="shared" si="13"/>
        <v>0</v>
      </c>
      <c r="Q43">
        <v>0.26773294800000003</v>
      </c>
      <c r="R43">
        <f t="shared" si="13"/>
        <v>0</v>
      </c>
      <c r="S43">
        <v>1.5516929328442E-2</v>
      </c>
      <c r="T43">
        <f t="shared" si="14"/>
        <v>0</v>
      </c>
      <c r="U43" s="1">
        <v>0.66077684999999997</v>
      </c>
      <c r="V43" s="1">
        <v>1</v>
      </c>
      <c r="X43">
        <v>0</v>
      </c>
    </row>
    <row r="44" spans="1:24">
      <c r="A44" s="1">
        <v>0</v>
      </c>
      <c r="B44" s="1" t="s">
        <v>43</v>
      </c>
      <c r="C44" s="1">
        <v>0</v>
      </c>
      <c r="D44" s="33">
        <v>0</v>
      </c>
      <c r="E44" s="34">
        <v>0</v>
      </c>
      <c r="F44" s="33">
        <v>0</v>
      </c>
      <c r="G44">
        <v>0.30502989899999999</v>
      </c>
      <c r="H44">
        <f t="shared" si="11"/>
        <v>0</v>
      </c>
      <c r="I44">
        <v>0.69138497114181496</v>
      </c>
      <c r="J44">
        <f t="shared" si="12"/>
        <v>1</v>
      </c>
      <c r="K44">
        <v>0.35597348213195801</v>
      </c>
      <c r="L44">
        <f t="shared" si="13"/>
        <v>0</v>
      </c>
      <c r="M44" s="30">
        <v>3.3863187000000003E-2</v>
      </c>
      <c r="N44">
        <f t="shared" si="13"/>
        <v>0</v>
      </c>
      <c r="O44">
        <v>0.46390926837921098</v>
      </c>
      <c r="P44">
        <f t="shared" si="13"/>
        <v>0</v>
      </c>
      <c r="Q44">
        <v>8.4882221999999993E-2</v>
      </c>
      <c r="R44">
        <f t="shared" si="13"/>
        <v>0</v>
      </c>
      <c r="S44">
        <v>0.48726126551628102</v>
      </c>
      <c r="T44">
        <f t="shared" si="14"/>
        <v>0</v>
      </c>
      <c r="U44" s="1">
        <v>0.45171951999999999</v>
      </c>
      <c r="V44" s="1">
        <v>0</v>
      </c>
      <c r="X44">
        <v>0</v>
      </c>
    </row>
    <row r="45" spans="1:24">
      <c r="A45" s="1">
        <v>0</v>
      </c>
      <c r="B45" s="1" t="s">
        <v>44</v>
      </c>
      <c r="C45" s="1">
        <v>0</v>
      </c>
      <c r="D45" s="33">
        <v>0</v>
      </c>
      <c r="E45" s="34">
        <v>0</v>
      </c>
      <c r="F45" s="33">
        <v>0</v>
      </c>
      <c r="G45" s="30">
        <v>0.21047036299999999</v>
      </c>
      <c r="H45">
        <f t="shared" si="11"/>
        <v>0</v>
      </c>
      <c r="I45">
        <v>0.975383341312408</v>
      </c>
      <c r="J45">
        <f t="shared" si="12"/>
        <v>1</v>
      </c>
      <c r="K45">
        <v>0.25424835085868802</v>
      </c>
      <c r="L45">
        <f t="shared" si="13"/>
        <v>0</v>
      </c>
      <c r="M45">
        <v>3.9586722999999997E-2</v>
      </c>
      <c r="N45">
        <f t="shared" si="13"/>
        <v>0</v>
      </c>
      <c r="O45">
        <v>0.98536807298660301</v>
      </c>
      <c r="P45">
        <f t="shared" si="13"/>
        <v>1</v>
      </c>
      <c r="Q45">
        <v>0.34213969100000002</v>
      </c>
      <c r="R45">
        <f t="shared" si="13"/>
        <v>0</v>
      </c>
      <c r="S45">
        <v>2.2140873596071999E-2</v>
      </c>
      <c r="T45">
        <f t="shared" si="14"/>
        <v>0</v>
      </c>
      <c r="U45" s="1">
        <v>0.59779789999999999</v>
      </c>
      <c r="V45" s="1">
        <v>0</v>
      </c>
      <c r="X45">
        <v>0</v>
      </c>
    </row>
    <row r="46" spans="1:24">
      <c r="A46" s="1">
        <v>0</v>
      </c>
      <c r="B46" s="1" t="s">
        <v>550</v>
      </c>
      <c r="C46" s="1">
        <v>0</v>
      </c>
      <c r="D46" s="33">
        <v>1</v>
      </c>
      <c r="E46" s="34">
        <v>0</v>
      </c>
      <c r="F46" s="33">
        <v>0</v>
      </c>
      <c r="G46">
        <v>0.24335973</v>
      </c>
      <c r="H46">
        <f t="shared" si="11"/>
        <v>0</v>
      </c>
      <c r="I46">
        <v>0.25440073013305697</v>
      </c>
      <c r="J46">
        <f t="shared" si="12"/>
        <v>0</v>
      </c>
      <c r="K46">
        <v>0.226319044828415</v>
      </c>
      <c r="L46">
        <f t="shared" si="13"/>
        <v>0</v>
      </c>
      <c r="M46" s="30">
        <v>0.22217936799999999</v>
      </c>
      <c r="N46">
        <f t="shared" si="13"/>
        <v>0</v>
      </c>
      <c r="O46">
        <v>0.43531730771064803</v>
      </c>
      <c r="P46">
        <f t="shared" si="13"/>
        <v>0</v>
      </c>
      <c r="Q46">
        <v>0.23533441099999999</v>
      </c>
      <c r="R46">
        <f t="shared" si="13"/>
        <v>0</v>
      </c>
      <c r="S46">
        <v>0.82703959941864003</v>
      </c>
      <c r="T46">
        <f t="shared" si="14"/>
        <v>1</v>
      </c>
      <c r="U46" s="1">
        <v>0.32843446999999998</v>
      </c>
      <c r="V46" s="1">
        <v>0</v>
      </c>
      <c r="X46">
        <v>0</v>
      </c>
    </row>
    <row r="47" spans="1:24">
      <c r="A47" s="1">
        <v>0</v>
      </c>
      <c r="B47" s="1" t="s">
        <v>46</v>
      </c>
      <c r="C47" s="1">
        <v>0</v>
      </c>
      <c r="D47" s="33">
        <v>0</v>
      </c>
      <c r="E47" s="34">
        <v>0</v>
      </c>
      <c r="F47" s="33">
        <v>0</v>
      </c>
      <c r="G47" s="30">
        <v>3.1320213999999999E-2</v>
      </c>
      <c r="H47">
        <f t="shared" si="11"/>
        <v>0</v>
      </c>
      <c r="I47" s="30">
        <v>2.4902699515219999E-3</v>
      </c>
      <c r="J47">
        <f t="shared" si="12"/>
        <v>0</v>
      </c>
      <c r="K47" s="30">
        <v>6.5186503343280001E-3</v>
      </c>
      <c r="L47">
        <f t="shared" si="13"/>
        <v>0</v>
      </c>
      <c r="M47" s="30">
        <v>8.8053099999999999E-5</v>
      </c>
      <c r="N47">
        <f t="shared" si="13"/>
        <v>0</v>
      </c>
      <c r="O47">
        <v>5.1292520947750003E-3</v>
      </c>
      <c r="P47">
        <f t="shared" si="13"/>
        <v>0</v>
      </c>
      <c r="Q47">
        <v>3.6893729E-2</v>
      </c>
      <c r="R47">
        <f t="shared" si="13"/>
        <v>0</v>
      </c>
      <c r="S47">
        <v>3.0042638536500002E-4</v>
      </c>
      <c r="T47">
        <f t="shared" si="14"/>
        <v>0</v>
      </c>
      <c r="U47" s="1">
        <v>7.9175830000000003E-2</v>
      </c>
      <c r="V47" s="1">
        <v>0</v>
      </c>
      <c r="X47">
        <v>0</v>
      </c>
    </row>
    <row r="48" spans="1:24">
      <c r="A48" s="1">
        <v>0</v>
      </c>
      <c r="B48" s="1" t="s">
        <v>47</v>
      </c>
      <c r="C48" s="1">
        <v>0</v>
      </c>
      <c r="D48" s="33">
        <v>0</v>
      </c>
      <c r="E48" s="34">
        <v>0</v>
      </c>
      <c r="F48" s="33">
        <v>0</v>
      </c>
      <c r="G48">
        <v>6.8509974000000001E-2</v>
      </c>
      <c r="H48">
        <f t="shared" si="11"/>
        <v>0</v>
      </c>
      <c r="I48">
        <v>0.30841550230979897</v>
      </c>
      <c r="J48">
        <f t="shared" si="12"/>
        <v>0</v>
      </c>
      <c r="K48">
        <v>4.6255208551884003E-2</v>
      </c>
      <c r="L48">
        <f t="shared" si="13"/>
        <v>0</v>
      </c>
      <c r="M48" s="30">
        <v>4.8401100000000003E-6</v>
      </c>
      <c r="N48">
        <f t="shared" si="13"/>
        <v>0</v>
      </c>
      <c r="O48">
        <v>1.6863543540239001E-2</v>
      </c>
      <c r="P48">
        <f t="shared" si="13"/>
        <v>0</v>
      </c>
      <c r="Q48">
        <v>0.100331157</v>
      </c>
      <c r="R48">
        <f t="shared" si="13"/>
        <v>0</v>
      </c>
      <c r="S48">
        <v>2.30796795222E-4</v>
      </c>
      <c r="T48">
        <f t="shared" si="14"/>
        <v>0</v>
      </c>
      <c r="U48" s="1">
        <v>0.20033719</v>
      </c>
      <c r="V48" s="1">
        <v>0</v>
      </c>
      <c r="X48">
        <v>0</v>
      </c>
    </row>
    <row r="49" spans="1:24">
      <c r="A49" s="1">
        <v>0</v>
      </c>
      <c r="B49" s="1" t="s">
        <v>551</v>
      </c>
      <c r="C49" s="1">
        <v>0</v>
      </c>
      <c r="D49" s="33">
        <v>1</v>
      </c>
      <c r="E49" s="34">
        <v>0</v>
      </c>
      <c r="F49" s="33">
        <v>0</v>
      </c>
      <c r="G49">
        <v>8.5797727000000004E-2</v>
      </c>
      <c r="H49">
        <f t="shared" si="11"/>
        <v>0</v>
      </c>
      <c r="I49">
        <v>5.4171726107596997E-2</v>
      </c>
      <c r="J49">
        <f t="shared" si="12"/>
        <v>0</v>
      </c>
      <c r="K49">
        <v>7.2440586984158006E-2</v>
      </c>
      <c r="L49">
        <f t="shared" si="13"/>
        <v>0</v>
      </c>
      <c r="M49">
        <v>2.5641869999999999E-3</v>
      </c>
      <c r="N49">
        <f t="shared" si="13"/>
        <v>0</v>
      </c>
      <c r="O49">
        <v>7.3537245392799003E-2</v>
      </c>
      <c r="P49">
        <f t="shared" si="13"/>
        <v>0</v>
      </c>
      <c r="Q49">
        <v>0.45586133000000001</v>
      </c>
      <c r="R49">
        <f t="shared" si="13"/>
        <v>0</v>
      </c>
      <c r="S49">
        <v>1.9645281136035999E-2</v>
      </c>
      <c r="T49">
        <f t="shared" si="14"/>
        <v>0</v>
      </c>
      <c r="U49" s="1">
        <v>0.48589164000000001</v>
      </c>
      <c r="V49" s="1">
        <v>0</v>
      </c>
      <c r="X49">
        <v>0</v>
      </c>
    </row>
    <row r="50" spans="1:24">
      <c r="A50" s="1">
        <v>0</v>
      </c>
      <c r="B50" s="1" t="s">
        <v>49</v>
      </c>
      <c r="C50" s="1">
        <v>0</v>
      </c>
      <c r="D50" s="33">
        <v>0</v>
      </c>
      <c r="E50" s="34">
        <v>0</v>
      </c>
      <c r="F50" s="33">
        <v>0</v>
      </c>
      <c r="G50" s="30">
        <v>0.93920826899999998</v>
      </c>
      <c r="H50">
        <f t="shared" si="11"/>
        <v>1</v>
      </c>
      <c r="I50">
        <v>0.99944347143173196</v>
      </c>
      <c r="J50">
        <f t="shared" si="12"/>
        <v>1</v>
      </c>
      <c r="K50">
        <v>0.96828192472457897</v>
      </c>
      <c r="L50">
        <f t="shared" si="13"/>
        <v>1</v>
      </c>
      <c r="M50" s="30">
        <v>0.93265885100000001</v>
      </c>
      <c r="N50">
        <f t="shared" si="13"/>
        <v>1</v>
      </c>
      <c r="O50">
        <v>0.59417408704757702</v>
      </c>
      <c r="P50">
        <f t="shared" si="13"/>
        <v>1</v>
      </c>
      <c r="Q50">
        <v>0.49416488400000003</v>
      </c>
      <c r="R50">
        <f t="shared" si="13"/>
        <v>0</v>
      </c>
      <c r="S50">
        <v>0.92674219608306896</v>
      </c>
      <c r="T50">
        <f t="shared" si="14"/>
        <v>1</v>
      </c>
      <c r="U50" s="1">
        <v>0.64132385999999997</v>
      </c>
      <c r="V50" s="1">
        <v>1</v>
      </c>
      <c r="X50">
        <v>0</v>
      </c>
    </row>
    <row r="51" spans="1:24">
      <c r="A51" s="1">
        <v>0</v>
      </c>
      <c r="B51" s="1" t="s">
        <v>50</v>
      </c>
      <c r="C51" s="1">
        <v>0</v>
      </c>
      <c r="D51" s="33">
        <v>0</v>
      </c>
      <c r="E51" s="34">
        <v>0</v>
      </c>
      <c r="F51" s="33">
        <v>0</v>
      </c>
      <c r="G51">
        <v>7.3044023999999999E-2</v>
      </c>
      <c r="H51">
        <f t="shared" si="11"/>
        <v>0</v>
      </c>
      <c r="I51" s="30">
        <v>0.231474548578262</v>
      </c>
      <c r="J51">
        <f t="shared" si="12"/>
        <v>0</v>
      </c>
      <c r="K51">
        <v>3.8142438977957001E-2</v>
      </c>
      <c r="L51">
        <f t="shared" si="13"/>
        <v>0</v>
      </c>
      <c r="M51" s="30">
        <v>3.6295899999999999E-4</v>
      </c>
      <c r="N51">
        <f t="shared" si="13"/>
        <v>0</v>
      </c>
      <c r="O51">
        <v>3.2008927315474001E-2</v>
      </c>
      <c r="P51">
        <f t="shared" si="13"/>
        <v>0</v>
      </c>
      <c r="Q51">
        <v>0.174472928</v>
      </c>
      <c r="R51">
        <f t="shared" si="13"/>
        <v>0</v>
      </c>
      <c r="S51">
        <v>1.168714184314E-2</v>
      </c>
      <c r="T51">
        <f t="shared" si="14"/>
        <v>0</v>
      </c>
      <c r="U51" s="1">
        <v>0.5887983</v>
      </c>
      <c r="V51" s="1">
        <v>0</v>
      </c>
      <c r="X51">
        <v>0</v>
      </c>
    </row>
    <row r="52" spans="1:24">
      <c r="A52" s="1">
        <v>0</v>
      </c>
      <c r="B52" s="1" t="s">
        <v>51</v>
      </c>
      <c r="C52" s="1">
        <v>0</v>
      </c>
      <c r="D52" s="33">
        <v>0</v>
      </c>
      <c r="E52" s="34">
        <v>0</v>
      </c>
      <c r="F52" s="33">
        <v>0</v>
      </c>
      <c r="G52">
        <v>8.1698916999999996E-2</v>
      </c>
      <c r="H52">
        <f t="shared" si="11"/>
        <v>0</v>
      </c>
      <c r="I52">
        <v>4.2441785335541E-2</v>
      </c>
      <c r="J52">
        <f t="shared" si="12"/>
        <v>0</v>
      </c>
      <c r="K52">
        <v>0.27153807878494302</v>
      </c>
      <c r="L52">
        <f t="shared" si="13"/>
        <v>0</v>
      </c>
      <c r="M52" s="30">
        <v>5.538179E-2</v>
      </c>
      <c r="N52">
        <f t="shared" si="13"/>
        <v>0</v>
      </c>
      <c r="O52">
        <v>0.10680788010358799</v>
      </c>
      <c r="P52">
        <f t="shared" si="13"/>
        <v>0</v>
      </c>
      <c r="Q52">
        <v>0.324139446</v>
      </c>
      <c r="R52">
        <f t="shared" si="13"/>
        <v>0</v>
      </c>
      <c r="S52">
        <v>5.7964194566011998E-2</v>
      </c>
      <c r="T52">
        <f t="shared" si="14"/>
        <v>0</v>
      </c>
      <c r="U52" s="1">
        <v>0.33284363</v>
      </c>
      <c r="V52" s="1">
        <v>0</v>
      </c>
      <c r="X52">
        <v>0</v>
      </c>
    </row>
    <row r="53" spans="1:24">
      <c r="A53" s="1">
        <v>0</v>
      </c>
      <c r="B53" s="1" t="s">
        <v>52</v>
      </c>
      <c r="C53" s="1">
        <v>0</v>
      </c>
      <c r="D53" s="33">
        <v>0</v>
      </c>
      <c r="E53" s="34">
        <v>0</v>
      </c>
      <c r="F53" s="33">
        <v>0</v>
      </c>
      <c r="G53" s="30">
        <v>3.3894713999999999E-2</v>
      </c>
      <c r="H53">
        <f t="shared" si="11"/>
        <v>0</v>
      </c>
      <c r="I53" s="30">
        <v>2.1769029262900001E-4</v>
      </c>
      <c r="J53">
        <f t="shared" si="12"/>
        <v>0</v>
      </c>
      <c r="K53" s="30">
        <v>4.0968635585199997E-4</v>
      </c>
      <c r="L53">
        <f t="shared" si="13"/>
        <v>0</v>
      </c>
      <c r="M53" s="30">
        <v>5.6919599999999997E-11</v>
      </c>
      <c r="N53">
        <f t="shared" si="13"/>
        <v>0</v>
      </c>
      <c r="O53">
        <v>2.58498854237E-4</v>
      </c>
      <c r="P53">
        <f t="shared" si="13"/>
        <v>0</v>
      </c>
      <c r="Q53">
        <v>3.0249244000000002E-2</v>
      </c>
      <c r="R53">
        <f t="shared" si="13"/>
        <v>0</v>
      </c>
      <c r="S53" s="30">
        <v>7.0998074079398106E-5</v>
      </c>
      <c r="T53">
        <f t="shared" si="14"/>
        <v>0</v>
      </c>
      <c r="U53" s="1">
        <v>8.9354320000000001E-2</v>
      </c>
      <c r="V53" s="1">
        <v>0</v>
      </c>
      <c r="X53">
        <v>0</v>
      </c>
    </row>
    <row r="54" spans="1:24">
      <c r="A54" s="1">
        <v>0</v>
      </c>
      <c r="B54" s="1" t="s">
        <v>53</v>
      </c>
      <c r="C54" s="1">
        <v>0</v>
      </c>
      <c r="D54" s="33">
        <v>0</v>
      </c>
      <c r="E54" s="34">
        <v>0</v>
      </c>
      <c r="F54" s="33">
        <v>0</v>
      </c>
      <c r="G54" s="30">
        <v>5.0833110000000001E-2</v>
      </c>
      <c r="H54">
        <f t="shared" si="11"/>
        <v>0</v>
      </c>
      <c r="I54" s="30">
        <v>2.0261709578339999E-3</v>
      </c>
      <c r="J54">
        <f t="shared" si="12"/>
        <v>0</v>
      </c>
      <c r="K54">
        <v>9.8599644843499991E-4</v>
      </c>
      <c r="L54">
        <f t="shared" si="13"/>
        <v>0</v>
      </c>
      <c r="M54" s="30">
        <v>1.9511300000000001E-5</v>
      </c>
      <c r="N54">
        <f t="shared" si="13"/>
        <v>0</v>
      </c>
      <c r="O54">
        <v>2.1199691109360002E-3</v>
      </c>
      <c r="P54">
        <f t="shared" si="13"/>
        <v>0</v>
      </c>
      <c r="Q54">
        <v>4.3499399000000001E-2</v>
      </c>
      <c r="R54">
        <f t="shared" si="13"/>
        <v>0</v>
      </c>
      <c r="S54">
        <v>2.49229895417E-4</v>
      </c>
      <c r="T54">
        <f t="shared" si="14"/>
        <v>0</v>
      </c>
      <c r="U54" s="1">
        <v>7.8021989999999999E-2</v>
      </c>
      <c r="V54" s="1">
        <v>0</v>
      </c>
      <c r="X54">
        <v>0</v>
      </c>
    </row>
    <row r="55" spans="1:24">
      <c r="A55" s="1">
        <v>0</v>
      </c>
      <c r="B55" s="1" t="s">
        <v>54</v>
      </c>
      <c r="C55" s="1">
        <v>0</v>
      </c>
      <c r="D55" s="33">
        <v>0</v>
      </c>
      <c r="E55" s="34">
        <v>0</v>
      </c>
      <c r="F55" s="33">
        <v>0</v>
      </c>
      <c r="G55">
        <v>7.5974978999999998E-2</v>
      </c>
      <c r="H55">
        <f t="shared" si="11"/>
        <v>0</v>
      </c>
      <c r="I55">
        <v>8.4423618391159996E-3</v>
      </c>
      <c r="J55">
        <f t="shared" si="12"/>
        <v>0</v>
      </c>
      <c r="K55">
        <v>2.1674802526832002E-2</v>
      </c>
      <c r="L55">
        <f t="shared" si="13"/>
        <v>0</v>
      </c>
      <c r="M55" s="30">
        <v>8.8882170000000003E-3</v>
      </c>
      <c r="N55">
        <f t="shared" si="13"/>
        <v>0</v>
      </c>
      <c r="O55">
        <v>8.1075601279735995E-2</v>
      </c>
      <c r="P55">
        <f t="shared" si="13"/>
        <v>0</v>
      </c>
      <c r="Q55">
        <v>0.47613591</v>
      </c>
      <c r="R55">
        <f t="shared" si="13"/>
        <v>0</v>
      </c>
      <c r="S55">
        <v>3.3710377756509999E-3</v>
      </c>
      <c r="T55">
        <f t="shared" si="14"/>
        <v>0</v>
      </c>
      <c r="U55" s="1">
        <v>0.36291233000000001</v>
      </c>
      <c r="V55" s="1">
        <v>0</v>
      </c>
      <c r="X55">
        <v>0</v>
      </c>
    </row>
    <row r="56" spans="1:24">
      <c r="A56" s="1">
        <v>0</v>
      </c>
      <c r="B56" s="1" t="s">
        <v>552</v>
      </c>
      <c r="C56" s="1">
        <v>0</v>
      </c>
      <c r="D56" s="33">
        <v>0</v>
      </c>
      <c r="E56" s="34">
        <v>0</v>
      </c>
      <c r="F56" s="33">
        <v>1</v>
      </c>
      <c r="G56">
        <v>0.87168657800000005</v>
      </c>
      <c r="H56">
        <f t="shared" si="11"/>
        <v>1</v>
      </c>
      <c r="I56">
        <v>0.65736341476440396</v>
      </c>
      <c r="J56">
        <f t="shared" si="12"/>
        <v>1</v>
      </c>
      <c r="K56">
        <v>0.36415061354637102</v>
      </c>
      <c r="L56">
        <f t="shared" si="13"/>
        <v>0</v>
      </c>
      <c r="M56">
        <v>0.18732541799999999</v>
      </c>
      <c r="N56">
        <f t="shared" si="13"/>
        <v>0</v>
      </c>
      <c r="O56">
        <v>0.45316872000694303</v>
      </c>
      <c r="P56">
        <f t="shared" si="13"/>
        <v>0</v>
      </c>
      <c r="Q56">
        <v>0.40223425600000001</v>
      </c>
      <c r="R56">
        <f t="shared" si="13"/>
        <v>0</v>
      </c>
      <c r="S56">
        <v>0.428956568241119</v>
      </c>
      <c r="T56">
        <f t="shared" si="14"/>
        <v>0</v>
      </c>
      <c r="U56" s="1">
        <v>0.43669614000000001</v>
      </c>
      <c r="V56" s="1">
        <v>0</v>
      </c>
      <c r="X56">
        <v>0</v>
      </c>
    </row>
    <row r="57" spans="1:24">
      <c r="A57" s="1">
        <v>0</v>
      </c>
      <c r="B57" s="1" t="s">
        <v>56</v>
      </c>
      <c r="C57" s="1">
        <v>0</v>
      </c>
      <c r="D57" s="33">
        <v>0</v>
      </c>
      <c r="E57" s="34">
        <v>0</v>
      </c>
      <c r="F57" s="33">
        <v>0</v>
      </c>
      <c r="G57">
        <v>6.3568897999999999E-2</v>
      </c>
      <c r="H57">
        <f t="shared" si="11"/>
        <v>0</v>
      </c>
      <c r="I57" s="30">
        <v>9.5922583714130004E-3</v>
      </c>
      <c r="J57">
        <f t="shared" si="12"/>
        <v>0</v>
      </c>
      <c r="K57">
        <v>9.1363750398159999E-3</v>
      </c>
      <c r="L57">
        <f t="shared" si="13"/>
        <v>0</v>
      </c>
      <c r="M57">
        <v>9.8057200000000008E-4</v>
      </c>
      <c r="N57">
        <f t="shared" si="13"/>
        <v>0</v>
      </c>
      <c r="O57">
        <v>3.0466750264168001E-2</v>
      </c>
      <c r="P57">
        <f t="shared" si="13"/>
        <v>0</v>
      </c>
      <c r="Q57">
        <v>0.120025441</v>
      </c>
      <c r="R57">
        <f t="shared" si="13"/>
        <v>0</v>
      </c>
      <c r="S57">
        <v>1.1605426669121E-2</v>
      </c>
      <c r="T57">
        <f t="shared" si="14"/>
        <v>0</v>
      </c>
      <c r="U57" s="1">
        <v>0.44561457999999998</v>
      </c>
      <c r="V57" s="1">
        <v>0</v>
      </c>
      <c r="X57">
        <v>0</v>
      </c>
    </row>
    <row r="58" spans="1:24">
      <c r="A58" s="1">
        <v>0</v>
      </c>
      <c r="B58" s="1" t="s">
        <v>57</v>
      </c>
      <c r="C58" s="1">
        <v>0</v>
      </c>
      <c r="D58" s="33">
        <v>0</v>
      </c>
      <c r="E58" s="34">
        <v>0</v>
      </c>
      <c r="F58" s="33">
        <v>0</v>
      </c>
      <c r="G58">
        <v>0.37753292900000002</v>
      </c>
      <c r="H58">
        <f t="shared" si="11"/>
        <v>0</v>
      </c>
      <c r="I58">
        <v>0.11683844774961499</v>
      </c>
      <c r="J58">
        <f t="shared" si="12"/>
        <v>0</v>
      </c>
      <c r="K58">
        <v>0.78420883417129505</v>
      </c>
      <c r="L58">
        <f t="shared" si="13"/>
        <v>1</v>
      </c>
      <c r="M58" s="30">
        <v>0.14591254300000001</v>
      </c>
      <c r="N58">
        <f t="shared" si="13"/>
        <v>0</v>
      </c>
      <c r="O58">
        <v>0.91812217235565197</v>
      </c>
      <c r="P58">
        <f t="shared" si="13"/>
        <v>1</v>
      </c>
      <c r="Q58">
        <v>0.66239017200000005</v>
      </c>
      <c r="R58">
        <f t="shared" si="13"/>
        <v>1</v>
      </c>
      <c r="S58">
        <v>0.72307705879211404</v>
      </c>
      <c r="T58">
        <f t="shared" si="14"/>
        <v>1</v>
      </c>
      <c r="U58" s="1">
        <v>0.67305910000000002</v>
      </c>
      <c r="V58" s="1">
        <v>1</v>
      </c>
      <c r="X58">
        <v>0</v>
      </c>
    </row>
    <row r="59" spans="1:24">
      <c r="A59" s="1">
        <v>0</v>
      </c>
      <c r="B59" s="1" t="s">
        <v>58</v>
      </c>
      <c r="C59" s="1">
        <v>0</v>
      </c>
      <c r="D59" s="33">
        <v>0</v>
      </c>
      <c r="E59" s="34">
        <v>0</v>
      </c>
      <c r="F59" s="33">
        <v>0</v>
      </c>
      <c r="G59" s="30">
        <v>3.6920041000000001E-2</v>
      </c>
      <c r="H59">
        <f t="shared" si="11"/>
        <v>0</v>
      </c>
      <c r="I59" s="30">
        <v>8.35036975332E-4</v>
      </c>
      <c r="J59">
        <f t="shared" si="12"/>
        <v>0</v>
      </c>
      <c r="K59" s="30">
        <v>8.5231324192099999E-4</v>
      </c>
      <c r="L59">
        <f t="shared" si="13"/>
        <v>0</v>
      </c>
      <c r="M59" s="30">
        <v>6.3956899999999997E-7</v>
      </c>
      <c r="N59">
        <f t="shared" si="13"/>
        <v>0</v>
      </c>
      <c r="O59">
        <v>4.4477006304099998E-4</v>
      </c>
      <c r="P59">
        <f t="shared" si="13"/>
        <v>0</v>
      </c>
      <c r="Q59" s="30">
        <v>3.7612725E-2</v>
      </c>
      <c r="R59">
        <f t="shared" si="13"/>
        <v>0</v>
      </c>
      <c r="S59">
        <v>1.14774018584E-4</v>
      </c>
      <c r="T59">
        <f t="shared" si="14"/>
        <v>0</v>
      </c>
      <c r="U59" s="1">
        <v>4.4690977999999999E-2</v>
      </c>
      <c r="V59" s="1">
        <v>0</v>
      </c>
      <c r="X59">
        <v>0</v>
      </c>
    </row>
    <row r="60" spans="1:24">
      <c r="A60" s="1">
        <v>0</v>
      </c>
      <c r="B60" s="1" t="s">
        <v>59</v>
      </c>
      <c r="C60" s="1">
        <v>0</v>
      </c>
      <c r="D60" s="33">
        <v>0</v>
      </c>
      <c r="E60" s="34">
        <v>0</v>
      </c>
      <c r="F60" s="33">
        <v>0</v>
      </c>
      <c r="G60">
        <v>0.38774117800000002</v>
      </c>
      <c r="H60">
        <f t="shared" si="11"/>
        <v>0</v>
      </c>
      <c r="I60">
        <v>0.21493859589099901</v>
      </c>
      <c r="J60">
        <f t="shared" si="12"/>
        <v>0</v>
      </c>
      <c r="K60">
        <v>5.2659496665000999E-2</v>
      </c>
      <c r="L60">
        <f t="shared" si="13"/>
        <v>0</v>
      </c>
      <c r="M60">
        <v>5.1773720000000004E-3</v>
      </c>
      <c r="N60">
        <f t="shared" si="13"/>
        <v>0</v>
      </c>
      <c r="O60">
        <v>0.29976937174797103</v>
      </c>
      <c r="P60">
        <f t="shared" si="13"/>
        <v>0</v>
      </c>
      <c r="Q60">
        <v>0.15889108199999999</v>
      </c>
      <c r="R60">
        <f t="shared" si="13"/>
        <v>0</v>
      </c>
      <c r="S60">
        <v>9.1053150594234994E-2</v>
      </c>
      <c r="T60">
        <f t="shared" si="14"/>
        <v>0</v>
      </c>
      <c r="U60" s="1">
        <v>0.31510472</v>
      </c>
      <c r="V60" s="1">
        <v>0</v>
      </c>
      <c r="X60">
        <v>0</v>
      </c>
    </row>
    <row r="61" spans="1:24">
      <c r="A61" s="1">
        <v>0</v>
      </c>
      <c r="B61" s="1" t="s">
        <v>60</v>
      </c>
      <c r="C61" s="1">
        <v>0</v>
      </c>
      <c r="D61" s="33">
        <v>0</v>
      </c>
      <c r="E61" s="34">
        <v>0</v>
      </c>
      <c r="F61" s="33">
        <v>0</v>
      </c>
      <c r="G61">
        <v>0.101360254</v>
      </c>
      <c r="H61">
        <f t="shared" si="11"/>
        <v>0</v>
      </c>
      <c r="I61">
        <v>0.16912978887558</v>
      </c>
      <c r="J61">
        <f t="shared" si="12"/>
        <v>0</v>
      </c>
      <c r="K61">
        <v>9.7743319347500003E-3</v>
      </c>
      <c r="L61">
        <f t="shared" si="13"/>
        <v>0</v>
      </c>
      <c r="M61">
        <v>3.2353900000000002E-4</v>
      </c>
      <c r="N61">
        <f t="shared" si="13"/>
        <v>0</v>
      </c>
      <c r="O61">
        <v>2.9194647446275E-2</v>
      </c>
      <c r="P61">
        <f t="shared" si="13"/>
        <v>0</v>
      </c>
      <c r="Q61">
        <v>0.12679722900000001</v>
      </c>
      <c r="R61">
        <f t="shared" si="13"/>
        <v>0</v>
      </c>
      <c r="S61">
        <v>1.0704014450312001E-2</v>
      </c>
      <c r="T61">
        <f t="shared" si="14"/>
        <v>0</v>
      </c>
      <c r="U61" s="1">
        <v>0.31218364999999998</v>
      </c>
      <c r="V61" s="1">
        <v>0</v>
      </c>
      <c r="X61">
        <v>0</v>
      </c>
    </row>
    <row r="62" spans="1:24">
      <c r="A62" s="1">
        <v>0</v>
      </c>
      <c r="B62" s="1" t="s">
        <v>61</v>
      </c>
      <c r="C62" s="1">
        <v>0</v>
      </c>
      <c r="D62" s="33">
        <v>0</v>
      </c>
      <c r="E62" s="34">
        <v>0</v>
      </c>
      <c r="F62" s="33">
        <v>0</v>
      </c>
      <c r="G62">
        <v>0.127456456</v>
      </c>
      <c r="H62">
        <f t="shared" si="11"/>
        <v>0</v>
      </c>
      <c r="I62" s="30">
        <v>6.8888254463670001E-3</v>
      </c>
      <c r="J62">
        <f t="shared" si="12"/>
        <v>0</v>
      </c>
      <c r="K62">
        <v>5.845420528203E-3</v>
      </c>
      <c r="L62">
        <f t="shared" si="13"/>
        <v>0</v>
      </c>
      <c r="M62">
        <v>2.1858250000000002E-3</v>
      </c>
      <c r="N62">
        <f t="shared" si="13"/>
        <v>0</v>
      </c>
      <c r="O62">
        <v>0.16385178267955799</v>
      </c>
      <c r="P62">
        <f t="shared" si="13"/>
        <v>0</v>
      </c>
      <c r="Q62">
        <v>0.27997761999999998</v>
      </c>
      <c r="R62">
        <f t="shared" si="13"/>
        <v>0</v>
      </c>
      <c r="S62">
        <v>5.6165810674429998E-3</v>
      </c>
      <c r="T62">
        <f t="shared" si="14"/>
        <v>0</v>
      </c>
      <c r="U62" s="1">
        <v>0.31245645999999999</v>
      </c>
      <c r="V62" s="1">
        <v>0</v>
      </c>
      <c r="X62">
        <v>0</v>
      </c>
    </row>
    <row r="63" spans="1:24">
      <c r="A63" s="1">
        <v>0</v>
      </c>
      <c r="B63" s="1" t="s">
        <v>62</v>
      </c>
      <c r="C63" s="1">
        <v>0</v>
      </c>
      <c r="D63" s="33">
        <v>0</v>
      </c>
      <c r="E63" s="34">
        <v>0</v>
      </c>
      <c r="F63" s="33">
        <v>0</v>
      </c>
      <c r="G63">
        <v>0.20350547099999999</v>
      </c>
      <c r="H63">
        <f t="shared" si="11"/>
        <v>0</v>
      </c>
      <c r="I63">
        <v>1.0107285343111E-2</v>
      </c>
      <c r="J63">
        <f t="shared" si="12"/>
        <v>0</v>
      </c>
      <c r="K63">
        <v>4.4668789952992997E-2</v>
      </c>
      <c r="L63">
        <f t="shared" si="13"/>
        <v>0</v>
      </c>
      <c r="M63">
        <v>5.9034020000000003E-3</v>
      </c>
      <c r="N63">
        <f t="shared" si="13"/>
        <v>0</v>
      </c>
      <c r="O63">
        <v>1.5789533033967001E-2</v>
      </c>
      <c r="P63">
        <f t="shared" si="13"/>
        <v>0</v>
      </c>
      <c r="Q63">
        <v>0.277976006</v>
      </c>
      <c r="R63">
        <f t="shared" si="13"/>
        <v>0</v>
      </c>
      <c r="S63">
        <v>2.8029279783368E-2</v>
      </c>
      <c r="T63">
        <f t="shared" si="14"/>
        <v>0</v>
      </c>
      <c r="U63" s="1">
        <v>0.22056907000000001</v>
      </c>
      <c r="V63" s="1">
        <v>0</v>
      </c>
      <c r="X63">
        <v>0</v>
      </c>
    </row>
    <row r="64" spans="1:24">
      <c r="A64" s="1">
        <v>0</v>
      </c>
      <c r="B64" s="1" t="s">
        <v>63</v>
      </c>
      <c r="C64" s="1">
        <v>0</v>
      </c>
      <c r="D64" s="33">
        <v>0</v>
      </c>
      <c r="E64" s="34">
        <v>0</v>
      </c>
      <c r="F64" s="33">
        <v>0</v>
      </c>
      <c r="G64">
        <v>3.5499758999999999E-2</v>
      </c>
      <c r="H64">
        <f t="shared" si="11"/>
        <v>0</v>
      </c>
      <c r="I64" s="30">
        <v>2.4868973996490002E-3</v>
      </c>
      <c r="J64">
        <f t="shared" si="12"/>
        <v>0</v>
      </c>
      <c r="K64">
        <v>3.324860474095E-3</v>
      </c>
      <c r="L64">
        <f t="shared" si="13"/>
        <v>0</v>
      </c>
      <c r="M64" s="30">
        <v>1.0073699999999999E-4</v>
      </c>
      <c r="N64">
        <f t="shared" si="13"/>
        <v>0</v>
      </c>
      <c r="O64">
        <v>1.311071333475E-3</v>
      </c>
      <c r="P64">
        <f t="shared" si="13"/>
        <v>0</v>
      </c>
      <c r="Q64">
        <v>5.101224E-2</v>
      </c>
      <c r="R64">
        <f t="shared" si="13"/>
        <v>0</v>
      </c>
      <c r="S64">
        <v>4.0104039362599998E-4</v>
      </c>
      <c r="T64">
        <f t="shared" si="14"/>
        <v>0</v>
      </c>
      <c r="U64" s="1">
        <v>0.16358069</v>
      </c>
      <c r="V64" s="1">
        <v>0</v>
      </c>
      <c r="X64">
        <v>0</v>
      </c>
    </row>
    <row r="65" spans="1:24">
      <c r="A65" s="1">
        <v>0</v>
      </c>
      <c r="B65" s="1" t="s">
        <v>64</v>
      </c>
      <c r="C65" s="1">
        <v>0</v>
      </c>
      <c r="D65" s="33">
        <v>0</v>
      </c>
      <c r="E65" s="34">
        <v>0</v>
      </c>
      <c r="F65" s="33">
        <v>0</v>
      </c>
      <c r="G65">
        <v>0.42849183099999999</v>
      </c>
      <c r="H65">
        <f t="shared" si="11"/>
        <v>0</v>
      </c>
      <c r="I65">
        <v>0.638982653617859</v>
      </c>
      <c r="J65">
        <f t="shared" si="12"/>
        <v>1</v>
      </c>
      <c r="K65">
        <v>0.277764141559601</v>
      </c>
      <c r="L65">
        <f t="shared" si="13"/>
        <v>0</v>
      </c>
      <c r="M65">
        <v>0.24966095399999999</v>
      </c>
      <c r="N65">
        <f t="shared" si="13"/>
        <v>0</v>
      </c>
      <c r="O65">
        <v>0.95206916332244895</v>
      </c>
      <c r="P65">
        <f t="shared" si="13"/>
        <v>1</v>
      </c>
      <c r="Q65">
        <v>0.355607271</v>
      </c>
      <c r="R65">
        <f t="shared" si="13"/>
        <v>0</v>
      </c>
      <c r="S65">
        <v>0.35439202189445501</v>
      </c>
      <c r="T65">
        <f t="shared" si="14"/>
        <v>0</v>
      </c>
      <c r="U65" s="1">
        <v>0.36983660000000002</v>
      </c>
      <c r="V65" s="1">
        <v>0</v>
      </c>
      <c r="X65">
        <v>0</v>
      </c>
    </row>
    <row r="66" spans="1:24">
      <c r="A66" s="1">
        <v>0</v>
      </c>
      <c r="B66" s="1" t="s">
        <v>65</v>
      </c>
      <c r="C66" s="1">
        <v>0</v>
      </c>
      <c r="D66" s="33">
        <v>0</v>
      </c>
      <c r="E66" s="34">
        <v>0</v>
      </c>
      <c r="F66" s="33">
        <v>0</v>
      </c>
      <c r="G66" s="30">
        <v>3.6448280999999999E-2</v>
      </c>
      <c r="H66">
        <f t="shared" si="11"/>
        <v>0</v>
      </c>
      <c r="I66" s="30">
        <v>3.6028923204867203E-5</v>
      </c>
      <c r="J66">
        <f t="shared" si="12"/>
        <v>0</v>
      </c>
      <c r="K66">
        <v>2.8803714667399998E-4</v>
      </c>
      <c r="L66">
        <f t="shared" si="13"/>
        <v>0</v>
      </c>
      <c r="M66" s="30">
        <v>3.6750199999999998E-7</v>
      </c>
      <c r="N66">
        <f t="shared" si="13"/>
        <v>0</v>
      </c>
      <c r="O66">
        <v>1.60152558237E-4</v>
      </c>
      <c r="P66">
        <f t="shared" si="13"/>
        <v>0</v>
      </c>
      <c r="Q66">
        <v>3.8287211000000002E-2</v>
      </c>
      <c r="R66">
        <f t="shared" si="13"/>
        <v>0</v>
      </c>
      <c r="S66">
        <v>1.89841739484E-4</v>
      </c>
      <c r="T66">
        <f t="shared" si="14"/>
        <v>0</v>
      </c>
      <c r="U66" s="1">
        <v>0.10240871</v>
      </c>
      <c r="V66" s="1">
        <v>0</v>
      </c>
      <c r="X66">
        <v>0</v>
      </c>
    </row>
    <row r="67" spans="1:24">
      <c r="A67" s="1">
        <v>1</v>
      </c>
      <c r="B67" s="7" t="s">
        <v>66</v>
      </c>
      <c r="C67" s="1">
        <v>1</v>
      </c>
      <c r="D67" s="33">
        <v>1</v>
      </c>
      <c r="E67" s="33">
        <v>1</v>
      </c>
      <c r="F67" s="33">
        <v>1</v>
      </c>
      <c r="G67">
        <v>0.95791137199999998</v>
      </c>
      <c r="H67">
        <f t="shared" si="11"/>
        <v>1</v>
      </c>
      <c r="I67">
        <v>0.99999988079071001</v>
      </c>
      <c r="J67">
        <f t="shared" si="12"/>
        <v>1</v>
      </c>
      <c r="K67">
        <v>0.999994397163391</v>
      </c>
      <c r="L67">
        <f t="shared" si="13"/>
        <v>1</v>
      </c>
      <c r="M67">
        <v>0.99997425100000004</v>
      </c>
      <c r="N67">
        <f t="shared" si="13"/>
        <v>1</v>
      </c>
      <c r="O67">
        <v>0.99999988079071001</v>
      </c>
      <c r="P67">
        <f t="shared" si="13"/>
        <v>1</v>
      </c>
      <c r="Q67">
        <v>0.92249399399999998</v>
      </c>
      <c r="R67">
        <f t="shared" si="13"/>
        <v>1</v>
      </c>
      <c r="S67">
        <v>0.999972343444824</v>
      </c>
      <c r="T67">
        <f t="shared" si="14"/>
        <v>1</v>
      </c>
      <c r="U67" s="7">
        <v>0.78033799999999998</v>
      </c>
      <c r="V67">
        <v>1</v>
      </c>
      <c r="X67">
        <v>1</v>
      </c>
    </row>
    <row r="68" spans="1:24">
      <c r="A68" s="1">
        <v>1</v>
      </c>
      <c r="B68" s="1" t="s">
        <v>67</v>
      </c>
      <c r="C68" s="1">
        <v>1</v>
      </c>
      <c r="D68" s="33">
        <v>1</v>
      </c>
      <c r="E68" s="33">
        <v>1</v>
      </c>
      <c r="F68" s="33">
        <v>1</v>
      </c>
      <c r="G68">
        <v>0.96390312899999997</v>
      </c>
      <c r="H68">
        <f t="shared" si="11"/>
        <v>1</v>
      </c>
      <c r="I68">
        <v>0.95674991607666005</v>
      </c>
      <c r="J68">
        <f t="shared" si="12"/>
        <v>1</v>
      </c>
      <c r="K68">
        <v>0.806521236896515</v>
      </c>
      <c r="L68">
        <f t="shared" si="13"/>
        <v>1</v>
      </c>
      <c r="M68">
        <v>0.94821715399999995</v>
      </c>
      <c r="N68">
        <f t="shared" si="13"/>
        <v>1</v>
      </c>
      <c r="O68">
        <v>0.620142102241516</v>
      </c>
      <c r="P68">
        <f t="shared" si="13"/>
        <v>1</v>
      </c>
      <c r="Q68">
        <v>0.84118092099999997</v>
      </c>
      <c r="R68">
        <f t="shared" si="13"/>
        <v>1</v>
      </c>
      <c r="S68">
        <v>0.89250576496124301</v>
      </c>
      <c r="T68">
        <f t="shared" si="14"/>
        <v>1</v>
      </c>
      <c r="U68" s="1">
        <v>0.47930790000000001</v>
      </c>
      <c r="V68">
        <v>0</v>
      </c>
      <c r="X68">
        <v>0</v>
      </c>
    </row>
    <row r="69" spans="1:24">
      <c r="A69" s="1">
        <v>1</v>
      </c>
      <c r="B69" s="7" t="s">
        <v>68</v>
      </c>
      <c r="C69" s="1">
        <v>1</v>
      </c>
      <c r="D69" s="33">
        <v>1</v>
      </c>
      <c r="E69" s="33">
        <v>1</v>
      </c>
      <c r="F69" s="33">
        <v>1</v>
      </c>
      <c r="G69">
        <v>0.68877869800000002</v>
      </c>
      <c r="H69">
        <f t="shared" si="11"/>
        <v>1</v>
      </c>
      <c r="I69">
        <v>0.13930149376392401</v>
      </c>
      <c r="J69">
        <f t="shared" si="12"/>
        <v>0</v>
      </c>
      <c r="K69">
        <v>6.9428734481335005E-2</v>
      </c>
      <c r="L69">
        <f t="shared" si="13"/>
        <v>0</v>
      </c>
      <c r="M69" s="30">
        <v>3.2889570999999999E-2</v>
      </c>
      <c r="N69">
        <f t="shared" si="13"/>
        <v>0</v>
      </c>
      <c r="O69">
        <v>3.6671112757179999E-3</v>
      </c>
      <c r="P69">
        <f t="shared" si="13"/>
        <v>0</v>
      </c>
      <c r="Q69">
        <v>0.59303128699999996</v>
      </c>
      <c r="R69">
        <f t="shared" si="13"/>
        <v>1</v>
      </c>
      <c r="S69">
        <v>0.53384518623352095</v>
      </c>
      <c r="T69">
        <f t="shared" si="14"/>
        <v>1</v>
      </c>
      <c r="U69" s="7">
        <v>0.73060840000000005</v>
      </c>
      <c r="V69">
        <v>1</v>
      </c>
      <c r="X69">
        <v>1</v>
      </c>
    </row>
    <row r="70" spans="1:24">
      <c r="A70" s="1">
        <v>1</v>
      </c>
      <c r="B70" s="1" t="s">
        <v>69</v>
      </c>
      <c r="C70" s="1">
        <v>1</v>
      </c>
      <c r="D70" s="33">
        <v>0</v>
      </c>
      <c r="E70" s="34">
        <v>1</v>
      </c>
      <c r="F70" s="33">
        <v>1</v>
      </c>
      <c r="G70">
        <v>0.84151428900000003</v>
      </c>
      <c r="H70">
        <f t="shared" si="11"/>
        <v>1</v>
      </c>
      <c r="I70">
        <v>0.73705375194549605</v>
      </c>
      <c r="J70">
        <f t="shared" si="12"/>
        <v>1</v>
      </c>
      <c r="K70">
        <v>0.75255483388900801</v>
      </c>
      <c r="L70">
        <f t="shared" si="13"/>
        <v>1</v>
      </c>
      <c r="M70">
        <v>0.47379913899999998</v>
      </c>
      <c r="N70">
        <f t="shared" si="13"/>
        <v>0</v>
      </c>
      <c r="O70">
        <v>0.993455469608307</v>
      </c>
      <c r="P70">
        <f t="shared" si="13"/>
        <v>1</v>
      </c>
      <c r="Q70">
        <v>0.69416481299999999</v>
      </c>
      <c r="R70">
        <f t="shared" si="13"/>
        <v>1</v>
      </c>
      <c r="S70">
        <v>0.60998642444610596</v>
      </c>
      <c r="T70">
        <f t="shared" si="14"/>
        <v>1</v>
      </c>
      <c r="U70" s="1">
        <v>0.63275015000000001</v>
      </c>
      <c r="V70">
        <v>1</v>
      </c>
      <c r="X70">
        <v>0</v>
      </c>
    </row>
    <row r="71" spans="1:24">
      <c r="A71" s="1">
        <v>1</v>
      </c>
      <c r="B71" s="1" t="s">
        <v>70</v>
      </c>
      <c r="C71" s="1">
        <v>1</v>
      </c>
      <c r="D71" s="33">
        <v>1</v>
      </c>
      <c r="E71" s="33">
        <v>1</v>
      </c>
      <c r="F71" s="33">
        <v>1</v>
      </c>
      <c r="G71">
        <v>0.56368881500000001</v>
      </c>
      <c r="H71">
        <f t="shared" si="11"/>
        <v>1</v>
      </c>
      <c r="I71">
        <v>0.59250420331955</v>
      </c>
      <c r="J71">
        <f t="shared" si="12"/>
        <v>1</v>
      </c>
      <c r="K71">
        <v>4.5882996171713E-2</v>
      </c>
      <c r="L71">
        <f t="shared" si="13"/>
        <v>0</v>
      </c>
      <c r="M71">
        <v>0.313500583</v>
      </c>
      <c r="N71">
        <f t="shared" si="13"/>
        <v>0</v>
      </c>
      <c r="O71">
        <v>2.9887452255930001E-3</v>
      </c>
      <c r="P71">
        <f t="shared" si="13"/>
        <v>0</v>
      </c>
      <c r="Q71">
        <v>0.89254915700000004</v>
      </c>
      <c r="R71">
        <f t="shared" si="13"/>
        <v>1</v>
      </c>
      <c r="S71">
        <v>0.60725331306457497</v>
      </c>
      <c r="T71">
        <f t="shared" si="14"/>
        <v>1</v>
      </c>
      <c r="U71" s="1">
        <v>0.49982437000000002</v>
      </c>
      <c r="V71">
        <v>0</v>
      </c>
      <c r="X71">
        <v>0</v>
      </c>
    </row>
    <row r="72" spans="1:24">
      <c r="A72" s="1">
        <v>1</v>
      </c>
      <c r="B72" s="1" t="s">
        <v>71</v>
      </c>
      <c r="C72" s="1">
        <v>1</v>
      </c>
      <c r="D72" s="33">
        <v>1</v>
      </c>
      <c r="E72" s="33">
        <v>1</v>
      </c>
      <c r="F72" s="33">
        <v>1</v>
      </c>
      <c r="G72" s="30">
        <v>0.91674715299999998</v>
      </c>
      <c r="H72">
        <f t="shared" si="11"/>
        <v>1</v>
      </c>
      <c r="I72">
        <v>0.99842876195907604</v>
      </c>
      <c r="J72">
        <f t="shared" si="12"/>
        <v>1</v>
      </c>
      <c r="K72">
        <v>0.97416162490844704</v>
      </c>
      <c r="L72">
        <f t="shared" si="13"/>
        <v>1</v>
      </c>
      <c r="M72" s="30">
        <v>0.92131882899999995</v>
      </c>
      <c r="N72">
        <f t="shared" si="13"/>
        <v>1</v>
      </c>
      <c r="O72">
        <v>0.95036578178405795</v>
      </c>
      <c r="P72">
        <f t="shared" si="13"/>
        <v>1</v>
      </c>
      <c r="Q72">
        <v>0.72512167699999996</v>
      </c>
      <c r="R72">
        <f t="shared" si="13"/>
        <v>1</v>
      </c>
      <c r="S72">
        <v>0.97572392225265503</v>
      </c>
      <c r="T72">
        <f t="shared" si="14"/>
        <v>1</v>
      </c>
      <c r="U72" s="1">
        <v>0.60617829999999995</v>
      </c>
      <c r="V72">
        <v>1</v>
      </c>
      <c r="X72">
        <v>0</v>
      </c>
    </row>
    <row r="73" spans="1:24">
      <c r="A73" s="1">
        <v>1</v>
      </c>
      <c r="B73" s="1" t="s">
        <v>72</v>
      </c>
      <c r="C73" s="1">
        <v>1</v>
      </c>
      <c r="D73" s="33">
        <v>1</v>
      </c>
      <c r="E73" s="33">
        <v>1</v>
      </c>
      <c r="F73" s="33">
        <v>1</v>
      </c>
      <c r="G73">
        <v>0.88736516200000004</v>
      </c>
      <c r="H73">
        <f t="shared" si="11"/>
        <v>1</v>
      </c>
      <c r="I73">
        <v>0.99986231327056896</v>
      </c>
      <c r="J73">
        <f t="shared" si="12"/>
        <v>1</v>
      </c>
      <c r="K73">
        <v>0.98368996381759599</v>
      </c>
      <c r="L73">
        <f t="shared" si="13"/>
        <v>1</v>
      </c>
      <c r="M73">
        <v>0.96992099300000001</v>
      </c>
      <c r="N73">
        <f t="shared" si="13"/>
        <v>1</v>
      </c>
      <c r="O73">
        <v>0.99957865476608299</v>
      </c>
      <c r="P73">
        <f t="shared" si="13"/>
        <v>1</v>
      </c>
      <c r="Q73">
        <v>0.79203820199999997</v>
      </c>
      <c r="R73">
        <f t="shared" si="13"/>
        <v>1</v>
      </c>
      <c r="S73">
        <v>0.84038865566253695</v>
      </c>
      <c r="T73">
        <f t="shared" si="14"/>
        <v>1</v>
      </c>
      <c r="U73" s="1">
        <v>0.75590544999999998</v>
      </c>
      <c r="V73">
        <v>1</v>
      </c>
      <c r="X73">
        <v>0</v>
      </c>
    </row>
    <row r="74" spans="1:24">
      <c r="A74" s="1">
        <v>1</v>
      </c>
      <c r="B74" s="1" t="s">
        <v>73</v>
      </c>
      <c r="C74" s="1">
        <v>1</v>
      </c>
      <c r="D74" s="33">
        <v>1</v>
      </c>
      <c r="E74" s="33">
        <v>1</v>
      </c>
      <c r="F74" s="33">
        <v>1</v>
      </c>
      <c r="G74">
        <v>0.96009969699999997</v>
      </c>
      <c r="H74">
        <f t="shared" si="11"/>
        <v>1</v>
      </c>
      <c r="I74">
        <v>0.99981862306594804</v>
      </c>
      <c r="J74">
        <f t="shared" si="12"/>
        <v>1</v>
      </c>
      <c r="K74">
        <v>0.99907910823821999</v>
      </c>
      <c r="L74">
        <f t="shared" si="13"/>
        <v>1</v>
      </c>
      <c r="M74">
        <v>0.999498844</v>
      </c>
      <c r="N74">
        <f t="shared" si="13"/>
        <v>1</v>
      </c>
      <c r="O74">
        <v>0.99484574794769298</v>
      </c>
      <c r="P74">
        <f t="shared" si="13"/>
        <v>1</v>
      </c>
      <c r="Q74">
        <v>0.89357197300000002</v>
      </c>
      <c r="R74">
        <f t="shared" si="13"/>
        <v>1</v>
      </c>
      <c r="S74">
        <v>0.99369883537292503</v>
      </c>
      <c r="T74">
        <f t="shared" si="14"/>
        <v>1</v>
      </c>
      <c r="U74" s="1">
        <v>0.74641716000000002</v>
      </c>
      <c r="V74">
        <v>1</v>
      </c>
      <c r="X74">
        <v>0</v>
      </c>
    </row>
    <row r="75" spans="1:24">
      <c r="A75" s="82">
        <v>1</v>
      </c>
      <c r="B75" s="7" t="s">
        <v>74</v>
      </c>
      <c r="C75" s="1">
        <v>1</v>
      </c>
      <c r="D75" s="33">
        <v>1</v>
      </c>
      <c r="E75" s="33">
        <v>1</v>
      </c>
      <c r="F75" s="33">
        <v>1</v>
      </c>
      <c r="G75">
        <v>0.44135627199999999</v>
      </c>
      <c r="H75">
        <f t="shared" si="11"/>
        <v>0</v>
      </c>
      <c r="I75">
        <v>0.33487367630004899</v>
      </c>
      <c r="J75">
        <f t="shared" si="12"/>
        <v>0</v>
      </c>
      <c r="K75">
        <v>0.76452326774597201</v>
      </c>
      <c r="L75">
        <f t="shared" si="13"/>
        <v>1</v>
      </c>
      <c r="M75" s="30">
        <v>0.72475153199999998</v>
      </c>
      <c r="N75">
        <f t="shared" si="13"/>
        <v>1</v>
      </c>
      <c r="O75">
        <v>0.14453089237213099</v>
      </c>
      <c r="P75">
        <f t="shared" si="13"/>
        <v>0</v>
      </c>
      <c r="Q75">
        <v>0.78311711500000003</v>
      </c>
      <c r="R75">
        <f t="shared" si="13"/>
        <v>1</v>
      </c>
      <c r="S75">
        <v>0.30963915586471602</v>
      </c>
      <c r="T75">
        <f t="shared" si="14"/>
        <v>0</v>
      </c>
      <c r="U75" s="7">
        <v>0.51418370000000002</v>
      </c>
      <c r="V75">
        <v>0</v>
      </c>
      <c r="X75">
        <v>1</v>
      </c>
    </row>
    <row r="76" spans="1:24">
      <c r="A76" s="1">
        <v>1</v>
      </c>
      <c r="B76" s="1" t="s">
        <v>75</v>
      </c>
      <c r="C76" s="1">
        <v>1</v>
      </c>
      <c r="D76" s="33">
        <v>1</v>
      </c>
      <c r="E76" s="34">
        <v>1</v>
      </c>
      <c r="F76" s="33">
        <v>1</v>
      </c>
      <c r="G76">
        <v>0.96152067200000002</v>
      </c>
      <c r="H76">
        <f t="shared" si="11"/>
        <v>1</v>
      </c>
      <c r="I76">
        <v>0.99221825599670399</v>
      </c>
      <c r="J76">
        <f t="shared" si="12"/>
        <v>1</v>
      </c>
      <c r="K76">
        <v>0.95867222547531095</v>
      </c>
      <c r="L76">
        <f t="shared" si="13"/>
        <v>1</v>
      </c>
      <c r="M76">
        <v>0.97275811400000001</v>
      </c>
      <c r="N76">
        <f t="shared" si="13"/>
        <v>1</v>
      </c>
      <c r="O76">
        <v>0.99935990571975697</v>
      </c>
      <c r="P76">
        <f t="shared" si="13"/>
        <v>1</v>
      </c>
      <c r="Q76">
        <v>0.50341218700000001</v>
      </c>
      <c r="R76">
        <f t="shared" si="13"/>
        <v>1</v>
      </c>
      <c r="S76">
        <v>0.99746608734130904</v>
      </c>
      <c r="T76">
        <f t="shared" si="14"/>
        <v>1</v>
      </c>
      <c r="U76" s="1">
        <v>0.77418529999999997</v>
      </c>
      <c r="V76">
        <v>1</v>
      </c>
      <c r="X76">
        <v>0</v>
      </c>
    </row>
    <row r="77" spans="1:24">
      <c r="A77" s="1">
        <v>1</v>
      </c>
      <c r="B77" s="1" t="s">
        <v>76</v>
      </c>
      <c r="C77" s="1">
        <v>1</v>
      </c>
      <c r="D77" s="33">
        <v>1</v>
      </c>
      <c r="E77" s="33">
        <v>1</v>
      </c>
      <c r="F77" s="33">
        <v>1</v>
      </c>
      <c r="G77">
        <v>0.71828061300000001</v>
      </c>
      <c r="H77">
        <f t="shared" si="11"/>
        <v>1</v>
      </c>
      <c r="I77">
        <v>0.82798326015472401</v>
      </c>
      <c r="J77">
        <f t="shared" si="12"/>
        <v>1</v>
      </c>
      <c r="K77">
        <v>0.74667507410049405</v>
      </c>
      <c r="L77">
        <f t="shared" si="13"/>
        <v>1</v>
      </c>
      <c r="M77">
        <v>0.94163477399999995</v>
      </c>
      <c r="N77">
        <f t="shared" si="13"/>
        <v>1</v>
      </c>
      <c r="O77">
        <v>0.98927593231201205</v>
      </c>
      <c r="P77">
        <f t="shared" si="13"/>
        <v>1</v>
      </c>
      <c r="Q77">
        <v>0.52306985900000003</v>
      </c>
      <c r="R77">
        <f t="shared" si="13"/>
        <v>1</v>
      </c>
      <c r="S77">
        <v>0.90709358453750599</v>
      </c>
      <c r="T77">
        <f t="shared" si="14"/>
        <v>1</v>
      </c>
      <c r="U77" s="1">
        <v>0.58033299999999999</v>
      </c>
      <c r="V77">
        <v>0</v>
      </c>
      <c r="X77">
        <v>0</v>
      </c>
    </row>
    <row r="78" spans="1:24">
      <c r="A78" s="1">
        <v>1</v>
      </c>
      <c r="B78" s="1" t="s">
        <v>77</v>
      </c>
      <c r="C78" s="1">
        <v>1</v>
      </c>
      <c r="D78" s="33">
        <v>1</v>
      </c>
      <c r="E78" s="33">
        <v>1</v>
      </c>
      <c r="F78" s="33">
        <v>1</v>
      </c>
      <c r="G78">
        <v>0.95899867999999999</v>
      </c>
      <c r="H78">
        <f t="shared" si="11"/>
        <v>1</v>
      </c>
      <c r="I78">
        <v>0.99999952316284202</v>
      </c>
      <c r="J78">
        <f t="shared" si="12"/>
        <v>1</v>
      </c>
      <c r="K78">
        <v>0.99999666213989302</v>
      </c>
      <c r="L78">
        <f t="shared" si="13"/>
        <v>1</v>
      </c>
      <c r="M78">
        <v>1</v>
      </c>
      <c r="N78">
        <f t="shared" si="13"/>
        <v>1</v>
      </c>
      <c r="O78">
        <v>0.99999988079071001</v>
      </c>
      <c r="P78">
        <f t="shared" si="13"/>
        <v>1</v>
      </c>
      <c r="Q78">
        <v>0.92819863599999997</v>
      </c>
      <c r="R78">
        <f t="shared" si="13"/>
        <v>1</v>
      </c>
      <c r="S78">
        <v>0.99962878227233898</v>
      </c>
      <c r="T78">
        <f t="shared" si="14"/>
        <v>1</v>
      </c>
      <c r="U78" s="1">
        <v>0.78842734999999997</v>
      </c>
      <c r="V78">
        <v>1</v>
      </c>
      <c r="X78">
        <v>0</v>
      </c>
    </row>
    <row r="79" spans="1:24">
      <c r="A79" s="1">
        <v>1</v>
      </c>
      <c r="B79" s="1" t="s">
        <v>553</v>
      </c>
      <c r="C79" s="1">
        <v>1</v>
      </c>
      <c r="D79" s="33">
        <v>1</v>
      </c>
      <c r="E79" s="34">
        <v>0</v>
      </c>
      <c r="F79" s="33">
        <v>1</v>
      </c>
      <c r="G79" s="30">
        <v>0.82723426799999999</v>
      </c>
      <c r="H79">
        <f t="shared" si="11"/>
        <v>1</v>
      </c>
      <c r="I79">
        <v>0.95355474948883101</v>
      </c>
      <c r="J79">
        <f t="shared" si="12"/>
        <v>1</v>
      </c>
      <c r="K79">
        <v>0.77580910921096802</v>
      </c>
      <c r="L79">
        <f t="shared" si="13"/>
        <v>1</v>
      </c>
      <c r="M79" s="30">
        <v>0.60802978299999999</v>
      </c>
      <c r="N79">
        <f t="shared" si="13"/>
        <v>1</v>
      </c>
      <c r="O79">
        <v>0.96171951293945301</v>
      </c>
      <c r="P79">
        <f t="shared" si="13"/>
        <v>1</v>
      </c>
      <c r="Q79">
        <v>0.52962541600000002</v>
      </c>
      <c r="R79">
        <f t="shared" si="13"/>
        <v>1</v>
      </c>
      <c r="S79">
        <v>0.57453185319900502</v>
      </c>
      <c r="T79">
        <f t="shared" si="14"/>
        <v>1</v>
      </c>
      <c r="U79" s="1">
        <v>0.73138320000000001</v>
      </c>
      <c r="V79">
        <v>1</v>
      </c>
      <c r="X79">
        <v>0</v>
      </c>
    </row>
    <row r="80" spans="1:24">
      <c r="A80" s="1">
        <v>1</v>
      </c>
      <c r="B80" s="1" t="s">
        <v>554</v>
      </c>
      <c r="C80" s="1">
        <v>1</v>
      </c>
      <c r="D80" s="33">
        <v>0</v>
      </c>
      <c r="E80" s="34">
        <v>1</v>
      </c>
      <c r="F80" s="33">
        <v>1</v>
      </c>
      <c r="G80">
        <v>0.91988301299999997</v>
      </c>
      <c r="H80">
        <f t="shared" si="11"/>
        <v>1</v>
      </c>
      <c r="I80">
        <v>0.97949194908142101</v>
      </c>
      <c r="J80">
        <f t="shared" si="12"/>
        <v>1</v>
      </c>
      <c r="K80">
        <v>0.93361353874206499</v>
      </c>
      <c r="L80">
        <f t="shared" si="13"/>
        <v>1</v>
      </c>
      <c r="M80">
        <v>0.98426520799999995</v>
      </c>
      <c r="N80">
        <f t="shared" si="13"/>
        <v>1</v>
      </c>
      <c r="O80">
        <v>0.95267993211746205</v>
      </c>
      <c r="P80">
        <f t="shared" si="13"/>
        <v>1</v>
      </c>
      <c r="Q80">
        <v>0.63109022400000003</v>
      </c>
      <c r="R80">
        <f t="shared" si="13"/>
        <v>1</v>
      </c>
      <c r="S80">
        <v>0.97784900665283203</v>
      </c>
      <c r="T80">
        <f t="shared" si="14"/>
        <v>1</v>
      </c>
      <c r="U80" s="1">
        <v>0.6445246</v>
      </c>
      <c r="V80">
        <v>1</v>
      </c>
      <c r="X80">
        <v>0</v>
      </c>
    </row>
    <row r="81" spans="1:24">
      <c r="A81" s="1">
        <v>1</v>
      </c>
      <c r="B81" s="1" t="s">
        <v>80</v>
      </c>
      <c r="C81" s="1">
        <v>1</v>
      </c>
      <c r="D81" s="33">
        <v>1</v>
      </c>
      <c r="E81" s="33">
        <v>1</v>
      </c>
      <c r="F81" s="33">
        <v>1</v>
      </c>
      <c r="G81">
        <v>0.87934929100000003</v>
      </c>
      <c r="H81">
        <f t="shared" si="11"/>
        <v>1</v>
      </c>
      <c r="I81">
        <v>0.84085768461227395</v>
      </c>
      <c r="J81">
        <f t="shared" si="12"/>
        <v>1</v>
      </c>
      <c r="K81">
        <v>0.43236985802650502</v>
      </c>
      <c r="L81">
        <f t="shared" si="13"/>
        <v>0</v>
      </c>
      <c r="M81">
        <v>0.99639350199999999</v>
      </c>
      <c r="N81">
        <f t="shared" si="13"/>
        <v>1</v>
      </c>
      <c r="O81">
        <v>0.65155410766601596</v>
      </c>
      <c r="P81">
        <f t="shared" si="13"/>
        <v>1</v>
      </c>
      <c r="Q81">
        <v>0.409403026</v>
      </c>
      <c r="R81">
        <f t="shared" si="13"/>
        <v>0</v>
      </c>
      <c r="S81">
        <v>0.97595280408859197</v>
      </c>
      <c r="T81">
        <f t="shared" si="14"/>
        <v>1</v>
      </c>
      <c r="U81" s="1">
        <v>0.65565709999999999</v>
      </c>
      <c r="V81">
        <v>1</v>
      </c>
      <c r="X81">
        <v>0</v>
      </c>
    </row>
    <row r="82" spans="1:24">
      <c r="A82" s="1">
        <v>1</v>
      </c>
      <c r="B82" s="7" t="s">
        <v>81</v>
      </c>
      <c r="C82" s="1">
        <v>1</v>
      </c>
      <c r="D82" s="33">
        <v>1</v>
      </c>
      <c r="E82" s="33">
        <v>1</v>
      </c>
      <c r="F82" s="33">
        <v>1</v>
      </c>
      <c r="G82">
        <v>0.83488756399999997</v>
      </c>
      <c r="H82">
        <f t="shared" si="11"/>
        <v>1</v>
      </c>
      <c r="I82">
        <v>0.97401469945907604</v>
      </c>
      <c r="J82">
        <f t="shared" si="12"/>
        <v>1</v>
      </c>
      <c r="K82">
        <v>0.64651614427566495</v>
      </c>
      <c r="L82">
        <f t="shared" si="13"/>
        <v>1</v>
      </c>
      <c r="M82">
        <v>0.632440746</v>
      </c>
      <c r="N82">
        <f t="shared" si="13"/>
        <v>1</v>
      </c>
      <c r="O82">
        <v>0.84025460481643699</v>
      </c>
      <c r="P82">
        <f t="shared" si="13"/>
        <v>1</v>
      </c>
      <c r="Q82">
        <v>0.40094032899999998</v>
      </c>
      <c r="R82">
        <f t="shared" si="13"/>
        <v>0</v>
      </c>
      <c r="S82">
        <v>0.69582772254943903</v>
      </c>
      <c r="T82">
        <f t="shared" si="14"/>
        <v>1</v>
      </c>
      <c r="U82" s="7">
        <v>0.69393530000000003</v>
      </c>
      <c r="V82">
        <v>1</v>
      </c>
      <c r="X82">
        <v>1</v>
      </c>
    </row>
    <row r="83" spans="1:24">
      <c r="A83" s="1">
        <v>1</v>
      </c>
      <c r="B83" s="1" t="s">
        <v>82</v>
      </c>
      <c r="C83" s="1">
        <v>1</v>
      </c>
      <c r="D83" s="33">
        <v>1</v>
      </c>
      <c r="E83" s="33">
        <v>1</v>
      </c>
      <c r="F83" s="33">
        <v>1</v>
      </c>
      <c r="G83">
        <v>0.95989251099999995</v>
      </c>
      <c r="H83">
        <f t="shared" si="11"/>
        <v>1</v>
      </c>
      <c r="I83">
        <v>0.99510806798934903</v>
      </c>
      <c r="J83">
        <f t="shared" si="12"/>
        <v>1</v>
      </c>
      <c r="K83">
        <v>0.99803644418716397</v>
      </c>
      <c r="L83">
        <f t="shared" si="13"/>
        <v>1</v>
      </c>
      <c r="M83">
        <v>0.99923837199999999</v>
      </c>
      <c r="N83">
        <f t="shared" si="13"/>
        <v>1</v>
      </c>
      <c r="O83">
        <v>0.99705851078033403</v>
      </c>
      <c r="P83">
        <f t="shared" si="13"/>
        <v>1</v>
      </c>
      <c r="Q83">
        <v>0.87888550799999998</v>
      </c>
      <c r="R83">
        <f t="shared" si="13"/>
        <v>1</v>
      </c>
      <c r="S83">
        <v>0.99855536222457897</v>
      </c>
      <c r="T83">
        <f t="shared" si="14"/>
        <v>1</v>
      </c>
      <c r="U83" s="1">
        <v>0.76701874000000003</v>
      </c>
      <c r="V83">
        <v>1</v>
      </c>
      <c r="X83">
        <v>0</v>
      </c>
    </row>
    <row r="84" spans="1:24">
      <c r="A84" s="1">
        <v>1</v>
      </c>
      <c r="B84" s="1" t="s">
        <v>83</v>
      </c>
      <c r="C84" s="1">
        <v>1</v>
      </c>
      <c r="D84" s="33">
        <v>1</v>
      </c>
      <c r="E84" s="33">
        <v>1</v>
      </c>
      <c r="F84" s="33">
        <v>1</v>
      </c>
      <c r="G84">
        <v>0.96155458699999996</v>
      </c>
      <c r="H84">
        <f t="shared" si="11"/>
        <v>1</v>
      </c>
      <c r="I84">
        <v>0.99917393922805797</v>
      </c>
      <c r="J84">
        <f t="shared" si="12"/>
        <v>1</v>
      </c>
      <c r="K84">
        <v>0.98752403259277299</v>
      </c>
      <c r="L84">
        <f t="shared" si="13"/>
        <v>1</v>
      </c>
      <c r="M84">
        <v>0.99656277900000001</v>
      </c>
      <c r="N84">
        <f t="shared" si="13"/>
        <v>1</v>
      </c>
      <c r="O84">
        <v>0.99998211860656705</v>
      </c>
      <c r="P84">
        <f t="shared" si="13"/>
        <v>1</v>
      </c>
      <c r="Q84">
        <v>0.80510062000000004</v>
      </c>
      <c r="R84">
        <f t="shared" si="13"/>
        <v>1</v>
      </c>
      <c r="S84">
        <v>0.99339687824249301</v>
      </c>
      <c r="T84">
        <f t="shared" si="14"/>
        <v>1</v>
      </c>
      <c r="U84" s="1">
        <v>0.7693411</v>
      </c>
      <c r="V84">
        <v>1</v>
      </c>
      <c r="X84">
        <v>0</v>
      </c>
    </row>
    <row r="85" spans="1:24">
      <c r="A85" s="1">
        <v>1</v>
      </c>
      <c r="B85" s="1" t="s">
        <v>84</v>
      </c>
      <c r="C85" s="1">
        <v>1</v>
      </c>
      <c r="D85" s="33">
        <v>1</v>
      </c>
      <c r="E85" s="33">
        <v>1</v>
      </c>
      <c r="F85" s="33">
        <v>1</v>
      </c>
      <c r="G85">
        <v>0.92727613399999997</v>
      </c>
      <c r="H85">
        <f t="shared" si="11"/>
        <v>1</v>
      </c>
      <c r="I85">
        <v>0.91380399465560902</v>
      </c>
      <c r="J85">
        <f t="shared" si="12"/>
        <v>1</v>
      </c>
      <c r="K85">
        <v>0.43171599507331898</v>
      </c>
      <c r="L85">
        <f t="shared" si="13"/>
        <v>0</v>
      </c>
      <c r="M85">
        <v>0.57419186799999999</v>
      </c>
      <c r="N85">
        <f t="shared" si="13"/>
        <v>1</v>
      </c>
      <c r="O85">
        <v>0.96718865633010798</v>
      </c>
      <c r="P85">
        <f t="shared" si="13"/>
        <v>1</v>
      </c>
      <c r="Q85">
        <v>0.51769143299999998</v>
      </c>
      <c r="R85">
        <f t="shared" si="13"/>
        <v>1</v>
      </c>
      <c r="S85">
        <v>0.60025811195373502</v>
      </c>
      <c r="T85">
        <f t="shared" si="14"/>
        <v>1</v>
      </c>
      <c r="U85" s="1">
        <v>0.67439039999999995</v>
      </c>
      <c r="V85">
        <v>1</v>
      </c>
      <c r="X85">
        <v>0</v>
      </c>
    </row>
    <row r="86" spans="1:24">
      <c r="A86" s="1">
        <v>1</v>
      </c>
      <c r="B86" s="1" t="s">
        <v>85</v>
      </c>
      <c r="C86" s="1">
        <v>1</v>
      </c>
      <c r="D86" s="33">
        <v>1</v>
      </c>
      <c r="E86" s="33">
        <v>1</v>
      </c>
      <c r="F86" s="33">
        <v>1</v>
      </c>
      <c r="G86">
        <v>0.96849924300000001</v>
      </c>
      <c r="H86">
        <f t="shared" si="11"/>
        <v>1</v>
      </c>
      <c r="I86">
        <v>0.99933630228042603</v>
      </c>
      <c r="J86">
        <f t="shared" si="12"/>
        <v>1</v>
      </c>
      <c r="K86">
        <v>0.95642679929733299</v>
      </c>
      <c r="L86">
        <f t="shared" si="13"/>
        <v>1</v>
      </c>
      <c r="M86" s="30">
        <v>0.99987411500000001</v>
      </c>
      <c r="N86">
        <f t="shared" si="13"/>
        <v>1</v>
      </c>
      <c r="O86">
        <v>0.99998021125793501</v>
      </c>
      <c r="P86">
        <f t="shared" si="13"/>
        <v>1</v>
      </c>
      <c r="Q86">
        <v>0.78453326199999995</v>
      </c>
      <c r="R86">
        <f t="shared" si="13"/>
        <v>1</v>
      </c>
      <c r="S86">
        <v>0.996890008449554</v>
      </c>
      <c r="T86">
        <f t="shared" si="14"/>
        <v>1</v>
      </c>
      <c r="U86" s="1">
        <v>0.73549454999999997</v>
      </c>
      <c r="V86">
        <v>1</v>
      </c>
      <c r="X86">
        <v>0</v>
      </c>
    </row>
    <row r="87" spans="1:24">
      <c r="A87" s="1">
        <v>1</v>
      </c>
      <c r="B87" s="1" t="s">
        <v>544</v>
      </c>
      <c r="C87" s="1">
        <v>1</v>
      </c>
      <c r="D87" s="33">
        <v>1</v>
      </c>
      <c r="E87" s="33">
        <v>1</v>
      </c>
      <c r="F87" s="33">
        <v>1</v>
      </c>
      <c r="G87">
        <v>0.411835909</v>
      </c>
      <c r="H87">
        <f t="shared" si="11"/>
        <v>0</v>
      </c>
      <c r="I87">
        <v>8.4037601947785007E-2</v>
      </c>
      <c r="J87">
        <f t="shared" si="12"/>
        <v>0</v>
      </c>
      <c r="K87">
        <v>6.9296225905417994E-2</v>
      </c>
      <c r="L87">
        <f t="shared" si="13"/>
        <v>0</v>
      </c>
      <c r="M87">
        <v>4.952525E-2</v>
      </c>
      <c r="N87">
        <f t="shared" si="13"/>
        <v>0</v>
      </c>
      <c r="O87">
        <v>6.2958031892777003E-2</v>
      </c>
      <c r="P87">
        <f t="shared" si="13"/>
        <v>0</v>
      </c>
      <c r="Q87">
        <v>0.142041892</v>
      </c>
      <c r="R87">
        <f t="shared" ref="R87:R112" si="15">IF(Q87&gt;$A$2,1,0)</f>
        <v>0</v>
      </c>
      <c r="S87">
        <v>6.0616418719291999E-2</v>
      </c>
      <c r="T87">
        <f>IF(S87&gt;$A$2,1,0)</f>
        <v>0</v>
      </c>
      <c r="U87" s="1">
        <v>0.45666760000000001</v>
      </c>
      <c r="V87">
        <v>0</v>
      </c>
      <c r="X87">
        <v>0</v>
      </c>
    </row>
    <row r="88" spans="1:24">
      <c r="A88" s="1">
        <v>1</v>
      </c>
      <c r="B88" s="1" t="s">
        <v>87</v>
      </c>
      <c r="C88" s="1">
        <v>1</v>
      </c>
      <c r="D88" s="33">
        <v>1</v>
      </c>
      <c r="E88" s="33">
        <v>1</v>
      </c>
      <c r="F88" s="33">
        <v>1</v>
      </c>
      <c r="G88">
        <v>0.59571760900000004</v>
      </c>
      <c r="H88">
        <f t="shared" ref="H88:H151" si="16">IF(G88&gt;$A$2,1,0)</f>
        <v>1</v>
      </c>
      <c r="I88">
        <v>0.35911685228347801</v>
      </c>
      <c r="J88">
        <f t="shared" ref="J88:J151" si="17">IF(I88&gt;$A$2,1,0)</f>
        <v>0</v>
      </c>
      <c r="K88">
        <v>0.50428867340087902</v>
      </c>
      <c r="L88">
        <f t="shared" ref="L88:L112" si="18">IF(K88&gt;$A$2,1,0)</f>
        <v>1</v>
      </c>
      <c r="M88">
        <v>0.74773383100000002</v>
      </c>
      <c r="N88">
        <f t="shared" ref="N88:N112" si="19">IF(M88&gt;$A$2,1,0)</f>
        <v>1</v>
      </c>
      <c r="O88">
        <v>0.198225483298302</v>
      </c>
      <c r="P88">
        <f t="shared" ref="P88:P112" si="20">IF(O88&gt;$A$2,1,0)</f>
        <v>0</v>
      </c>
      <c r="Q88">
        <v>0.34535431900000002</v>
      </c>
      <c r="R88">
        <f t="shared" si="15"/>
        <v>0</v>
      </c>
      <c r="S88">
        <v>0.28775072097778298</v>
      </c>
      <c r="T88">
        <f>IF(S88&gt;$A$2,1,0)</f>
        <v>0</v>
      </c>
      <c r="U88" s="1">
        <v>0.51542399999999999</v>
      </c>
      <c r="V88">
        <v>0</v>
      </c>
      <c r="X88">
        <v>0</v>
      </c>
    </row>
    <row r="89" spans="1:24">
      <c r="A89" s="1">
        <v>1</v>
      </c>
      <c r="B89" s="5" t="s">
        <v>88</v>
      </c>
      <c r="C89" s="1">
        <v>1</v>
      </c>
      <c r="D89" s="33">
        <v>1</v>
      </c>
      <c r="E89" s="34">
        <v>0</v>
      </c>
      <c r="F89" s="33">
        <v>1</v>
      </c>
      <c r="G89">
        <v>0.72893416899999997</v>
      </c>
      <c r="H89">
        <f t="shared" si="16"/>
        <v>1</v>
      </c>
      <c r="I89">
        <v>0.96740883588790905</v>
      </c>
      <c r="J89">
        <f t="shared" si="17"/>
        <v>1</v>
      </c>
      <c r="K89">
        <v>0.36976367235183699</v>
      </c>
      <c r="L89">
        <f t="shared" si="18"/>
        <v>0</v>
      </c>
      <c r="M89">
        <v>0.18998657199999999</v>
      </c>
      <c r="N89">
        <f t="shared" si="19"/>
        <v>0</v>
      </c>
      <c r="O89">
        <v>0.67938637733459495</v>
      </c>
      <c r="P89">
        <f t="shared" si="20"/>
        <v>1</v>
      </c>
      <c r="Q89">
        <v>0.65061539400000001</v>
      </c>
      <c r="R89">
        <f t="shared" si="15"/>
        <v>1</v>
      </c>
      <c r="S89">
        <v>0.76659154891967796</v>
      </c>
      <c r="T89">
        <f>IF(S89&gt;$A$2,1,0)</f>
        <v>1</v>
      </c>
      <c r="U89" s="1">
        <v>0.77506584000000001</v>
      </c>
      <c r="V89">
        <v>1</v>
      </c>
      <c r="X89">
        <v>0</v>
      </c>
    </row>
    <row r="90" spans="1:24">
      <c r="A90" s="1">
        <v>1</v>
      </c>
      <c r="B90" s="1" t="s">
        <v>89</v>
      </c>
      <c r="C90" s="1">
        <v>1</v>
      </c>
      <c r="D90" s="33">
        <v>1</v>
      </c>
      <c r="E90" s="33">
        <v>1</v>
      </c>
      <c r="F90" s="33">
        <v>1</v>
      </c>
      <c r="G90">
        <v>0.78670287100000003</v>
      </c>
      <c r="H90">
        <f t="shared" si="16"/>
        <v>1</v>
      </c>
      <c r="I90">
        <v>0.96242845058441195</v>
      </c>
      <c r="J90">
        <f t="shared" si="17"/>
        <v>1</v>
      </c>
      <c r="K90">
        <v>0.436273694038391</v>
      </c>
      <c r="L90">
        <f t="shared" si="18"/>
        <v>0</v>
      </c>
      <c r="M90">
        <v>0.67295479800000002</v>
      </c>
      <c r="N90">
        <f t="shared" si="19"/>
        <v>1</v>
      </c>
      <c r="O90">
        <v>0.102612249553204</v>
      </c>
      <c r="P90">
        <f t="shared" si="20"/>
        <v>0</v>
      </c>
      <c r="Q90">
        <v>0.80057561399999999</v>
      </c>
      <c r="R90">
        <f t="shared" si="15"/>
        <v>1</v>
      </c>
      <c r="S90">
        <v>0.13014172017574299</v>
      </c>
      <c r="T90">
        <f t="shared" ref="T90:T151" si="21">IF(S90&gt;$A$2,1,0)</f>
        <v>0</v>
      </c>
      <c r="U90" s="1">
        <v>0.73872477000000003</v>
      </c>
      <c r="V90">
        <v>1</v>
      </c>
      <c r="X90">
        <v>0</v>
      </c>
    </row>
    <row r="91" spans="1:24">
      <c r="A91" s="1">
        <v>1</v>
      </c>
      <c r="B91" s="1" t="s">
        <v>90</v>
      </c>
      <c r="C91" s="1">
        <v>1</v>
      </c>
      <c r="D91" s="33">
        <v>1</v>
      </c>
      <c r="E91" s="33">
        <v>1</v>
      </c>
      <c r="F91" s="33">
        <v>1</v>
      </c>
      <c r="G91">
        <v>0.96071731999999999</v>
      </c>
      <c r="H91">
        <f t="shared" si="16"/>
        <v>1</v>
      </c>
      <c r="I91">
        <v>0.99998700618743896</v>
      </c>
      <c r="J91">
        <f t="shared" si="17"/>
        <v>1</v>
      </c>
      <c r="K91">
        <v>0.98635208606720004</v>
      </c>
      <c r="L91">
        <f t="shared" si="18"/>
        <v>1</v>
      </c>
      <c r="M91">
        <v>0.97790366399999995</v>
      </c>
      <c r="N91">
        <f t="shared" si="19"/>
        <v>1</v>
      </c>
      <c r="O91">
        <v>0.99983680248260498</v>
      </c>
      <c r="P91">
        <f t="shared" si="20"/>
        <v>1</v>
      </c>
      <c r="Q91">
        <v>0.85031056400000005</v>
      </c>
      <c r="R91">
        <f t="shared" si="15"/>
        <v>1</v>
      </c>
      <c r="S91">
        <v>0.99877899885177601</v>
      </c>
      <c r="T91">
        <f t="shared" si="21"/>
        <v>1</v>
      </c>
      <c r="U91" s="1">
        <v>0.77574659999999995</v>
      </c>
      <c r="V91">
        <v>1</v>
      </c>
      <c r="X91">
        <v>0</v>
      </c>
    </row>
    <row r="92" spans="1:24">
      <c r="A92" s="1">
        <v>1</v>
      </c>
      <c r="B92" s="1" t="s">
        <v>91</v>
      </c>
      <c r="C92" s="1">
        <v>1</v>
      </c>
      <c r="D92" s="33">
        <v>1</v>
      </c>
      <c r="E92" s="33">
        <v>1</v>
      </c>
      <c r="F92" s="33">
        <v>1</v>
      </c>
      <c r="G92">
        <v>0.96285748500000001</v>
      </c>
      <c r="H92">
        <f t="shared" si="16"/>
        <v>1</v>
      </c>
      <c r="I92">
        <v>0.99850022792816195</v>
      </c>
      <c r="J92">
        <f t="shared" si="17"/>
        <v>1</v>
      </c>
      <c r="K92">
        <v>0.99973553419113204</v>
      </c>
      <c r="L92">
        <f t="shared" si="18"/>
        <v>1</v>
      </c>
      <c r="M92">
        <v>0.99999988100000003</v>
      </c>
      <c r="N92">
        <f t="shared" si="19"/>
        <v>1</v>
      </c>
      <c r="O92">
        <v>0.998634994029999</v>
      </c>
      <c r="P92">
        <f t="shared" si="20"/>
        <v>1</v>
      </c>
      <c r="Q92">
        <v>0.89119452200000004</v>
      </c>
      <c r="R92">
        <f t="shared" si="15"/>
        <v>1</v>
      </c>
      <c r="S92">
        <v>0.99997961521148704</v>
      </c>
      <c r="T92">
        <f t="shared" si="21"/>
        <v>1</v>
      </c>
      <c r="U92" s="1">
        <v>0.77767085999999996</v>
      </c>
      <c r="V92">
        <v>1</v>
      </c>
      <c r="X92">
        <v>0</v>
      </c>
    </row>
    <row r="93" spans="1:24">
      <c r="A93" s="1">
        <v>1</v>
      </c>
      <c r="B93" s="1" t="s">
        <v>92</v>
      </c>
      <c r="C93" s="1">
        <v>1</v>
      </c>
      <c r="D93" s="33">
        <v>1</v>
      </c>
      <c r="E93" s="33">
        <v>1</v>
      </c>
      <c r="F93" s="33">
        <v>1</v>
      </c>
      <c r="G93">
        <v>0.97233486199999997</v>
      </c>
      <c r="H93">
        <f t="shared" si="16"/>
        <v>1</v>
      </c>
      <c r="I93">
        <v>0.99864786863327004</v>
      </c>
      <c r="J93">
        <f t="shared" si="17"/>
        <v>1</v>
      </c>
      <c r="K93">
        <v>0.97225189208984397</v>
      </c>
      <c r="L93">
        <f t="shared" si="18"/>
        <v>1</v>
      </c>
      <c r="M93">
        <v>0.99577563999999996</v>
      </c>
      <c r="N93">
        <f t="shared" si="19"/>
        <v>1</v>
      </c>
      <c r="O93">
        <v>0.99899333715438798</v>
      </c>
      <c r="P93">
        <f t="shared" si="20"/>
        <v>1</v>
      </c>
      <c r="Q93">
        <v>0.81875664000000004</v>
      </c>
      <c r="R93">
        <f t="shared" si="15"/>
        <v>1</v>
      </c>
      <c r="S93">
        <v>0.99080675840377797</v>
      </c>
      <c r="T93">
        <f t="shared" si="21"/>
        <v>1</v>
      </c>
      <c r="U93" s="1">
        <v>0.72981775000000004</v>
      </c>
      <c r="V93">
        <v>1</v>
      </c>
      <c r="X93">
        <v>0</v>
      </c>
    </row>
    <row r="94" spans="1:24">
      <c r="A94" s="1">
        <v>1</v>
      </c>
      <c r="B94" s="1" t="s">
        <v>93</v>
      </c>
      <c r="C94" s="1">
        <v>1</v>
      </c>
      <c r="D94" s="33">
        <v>1</v>
      </c>
      <c r="E94" s="33">
        <v>1</v>
      </c>
      <c r="F94" s="33">
        <v>1</v>
      </c>
      <c r="G94">
        <v>0.965305686</v>
      </c>
      <c r="H94">
        <f t="shared" si="16"/>
        <v>1</v>
      </c>
      <c r="I94">
        <v>0.99877995252609197</v>
      </c>
      <c r="J94">
        <f t="shared" si="17"/>
        <v>1</v>
      </c>
      <c r="K94">
        <v>0.99585884809493996</v>
      </c>
      <c r="L94">
        <f t="shared" si="18"/>
        <v>1</v>
      </c>
      <c r="M94">
        <v>0.99875688600000001</v>
      </c>
      <c r="N94">
        <f t="shared" si="19"/>
        <v>1</v>
      </c>
      <c r="O94">
        <v>0.99986207485198897</v>
      </c>
      <c r="P94">
        <f t="shared" si="20"/>
        <v>1</v>
      </c>
      <c r="Q94">
        <v>0.829523444</v>
      </c>
      <c r="R94">
        <f t="shared" si="15"/>
        <v>1</v>
      </c>
      <c r="S94">
        <v>0.72706359624862704</v>
      </c>
      <c r="T94">
        <f t="shared" si="21"/>
        <v>1</v>
      </c>
      <c r="U94" s="1">
        <v>0.76708929999999997</v>
      </c>
      <c r="V94">
        <v>1</v>
      </c>
      <c r="X94">
        <v>0</v>
      </c>
    </row>
    <row r="95" spans="1:24">
      <c r="A95" s="1">
        <v>1</v>
      </c>
      <c r="B95" s="1" t="s">
        <v>94</v>
      </c>
      <c r="C95" s="1">
        <v>1</v>
      </c>
      <c r="D95" s="33">
        <v>1</v>
      </c>
      <c r="E95" s="33">
        <v>1</v>
      </c>
      <c r="F95" s="33">
        <v>1</v>
      </c>
      <c r="G95">
        <v>0.90490353099999998</v>
      </c>
      <c r="H95">
        <f t="shared" si="16"/>
        <v>1</v>
      </c>
      <c r="I95">
        <v>0.99999988079071001</v>
      </c>
      <c r="J95">
        <f t="shared" si="17"/>
        <v>1</v>
      </c>
      <c r="K95">
        <v>0.99478405714035001</v>
      </c>
      <c r="L95">
        <f t="shared" si="18"/>
        <v>1</v>
      </c>
      <c r="M95" s="30">
        <v>0.94715756200000001</v>
      </c>
      <c r="N95">
        <f t="shared" si="19"/>
        <v>1</v>
      </c>
      <c r="O95">
        <v>0.99999511241912797</v>
      </c>
      <c r="P95">
        <f t="shared" si="20"/>
        <v>1</v>
      </c>
      <c r="Q95">
        <v>0.90015363699999995</v>
      </c>
      <c r="R95">
        <f t="shared" si="15"/>
        <v>1</v>
      </c>
      <c r="S95">
        <v>0.98427802324295</v>
      </c>
      <c r="T95">
        <f t="shared" si="21"/>
        <v>1</v>
      </c>
      <c r="U95" s="1">
        <v>0.79336876000000001</v>
      </c>
      <c r="V95">
        <v>1</v>
      </c>
      <c r="X95">
        <v>0</v>
      </c>
    </row>
    <row r="96" spans="1:24">
      <c r="A96" s="1">
        <v>1</v>
      </c>
      <c r="B96" s="1" t="s">
        <v>95</v>
      </c>
      <c r="C96" s="1">
        <v>1</v>
      </c>
      <c r="D96" s="33">
        <v>1</v>
      </c>
      <c r="E96" s="33">
        <v>1</v>
      </c>
      <c r="F96" s="33">
        <v>1</v>
      </c>
      <c r="G96">
        <v>0.93761545400000001</v>
      </c>
      <c r="H96">
        <f t="shared" si="16"/>
        <v>1</v>
      </c>
      <c r="I96">
        <v>0.99998784065246604</v>
      </c>
      <c r="J96">
        <f t="shared" si="17"/>
        <v>1</v>
      </c>
      <c r="K96">
        <v>0.95749509334564198</v>
      </c>
      <c r="L96">
        <f t="shared" si="18"/>
        <v>1</v>
      </c>
      <c r="M96">
        <v>0.95277827999999998</v>
      </c>
      <c r="N96">
        <f t="shared" si="19"/>
        <v>1</v>
      </c>
      <c r="O96">
        <v>0.99980455636978205</v>
      </c>
      <c r="P96">
        <f t="shared" si="20"/>
        <v>1</v>
      </c>
      <c r="Q96">
        <v>0.78138959399999997</v>
      </c>
      <c r="R96">
        <f t="shared" si="15"/>
        <v>1</v>
      </c>
      <c r="S96">
        <v>0.98121958971023604</v>
      </c>
      <c r="T96">
        <f t="shared" si="21"/>
        <v>1</v>
      </c>
      <c r="U96" s="1">
        <v>0.76771425999999998</v>
      </c>
      <c r="V96">
        <v>1</v>
      </c>
      <c r="X96">
        <v>0</v>
      </c>
    </row>
    <row r="97" spans="1:24">
      <c r="A97" s="1">
        <v>1</v>
      </c>
      <c r="B97" s="1" t="s">
        <v>96</v>
      </c>
      <c r="C97" s="1">
        <v>1</v>
      </c>
      <c r="D97" s="33">
        <v>1</v>
      </c>
      <c r="E97" s="33">
        <v>1</v>
      </c>
      <c r="F97" s="33">
        <v>1</v>
      </c>
      <c r="G97">
        <v>0.94553768599999999</v>
      </c>
      <c r="H97">
        <f t="shared" si="16"/>
        <v>1</v>
      </c>
      <c r="I97">
        <v>0.99871063232421897</v>
      </c>
      <c r="J97">
        <f t="shared" si="17"/>
        <v>1</v>
      </c>
      <c r="K97">
        <v>0.97774803638458196</v>
      </c>
      <c r="L97">
        <f t="shared" si="18"/>
        <v>1</v>
      </c>
      <c r="M97">
        <v>0.96074670600000001</v>
      </c>
      <c r="N97">
        <f t="shared" si="19"/>
        <v>1</v>
      </c>
      <c r="O97">
        <v>0.98615449666976895</v>
      </c>
      <c r="P97">
        <f t="shared" si="20"/>
        <v>1</v>
      </c>
      <c r="Q97">
        <v>0.45492902400000002</v>
      </c>
      <c r="R97">
        <f t="shared" si="15"/>
        <v>0</v>
      </c>
      <c r="S97">
        <v>0.98442286252975397</v>
      </c>
      <c r="T97">
        <f t="shared" si="21"/>
        <v>1</v>
      </c>
      <c r="U97" s="1">
        <v>0.73318136</v>
      </c>
      <c r="V97">
        <v>1</v>
      </c>
      <c r="X97">
        <v>0</v>
      </c>
    </row>
    <row r="98" spans="1:24">
      <c r="A98" s="1">
        <v>1</v>
      </c>
      <c r="B98" s="1" t="s">
        <v>97</v>
      </c>
      <c r="C98" s="1">
        <v>1</v>
      </c>
      <c r="D98" s="33">
        <v>1</v>
      </c>
      <c r="E98" s="33">
        <v>1</v>
      </c>
      <c r="F98" s="33">
        <v>1</v>
      </c>
      <c r="G98">
        <v>0.965146422</v>
      </c>
      <c r="H98">
        <f t="shared" si="16"/>
        <v>1</v>
      </c>
      <c r="I98">
        <v>0.99893110990524303</v>
      </c>
      <c r="J98">
        <f t="shared" si="17"/>
        <v>1</v>
      </c>
      <c r="K98">
        <v>0.98324155807495095</v>
      </c>
      <c r="L98">
        <f t="shared" si="18"/>
        <v>1</v>
      </c>
      <c r="M98" s="30">
        <v>0.99870979800000004</v>
      </c>
      <c r="N98">
        <f t="shared" si="19"/>
        <v>1</v>
      </c>
      <c r="O98">
        <v>0.99819773435592596</v>
      </c>
      <c r="P98">
        <f t="shared" si="20"/>
        <v>1</v>
      </c>
      <c r="Q98">
        <v>0.838037908</v>
      </c>
      <c r="R98">
        <f t="shared" si="15"/>
        <v>1</v>
      </c>
      <c r="S98">
        <v>0.98616504669189398</v>
      </c>
      <c r="T98">
        <f t="shared" si="21"/>
        <v>1</v>
      </c>
      <c r="U98" s="1">
        <v>0.77221439999999997</v>
      </c>
      <c r="V98">
        <v>1</v>
      </c>
      <c r="X98">
        <v>0</v>
      </c>
    </row>
    <row r="99" spans="1:24">
      <c r="A99" s="1">
        <v>1</v>
      </c>
      <c r="B99" s="1" t="s">
        <v>98</v>
      </c>
      <c r="C99" s="1">
        <v>1</v>
      </c>
      <c r="D99" s="33">
        <v>1</v>
      </c>
      <c r="E99" s="33">
        <v>1</v>
      </c>
      <c r="F99" s="33">
        <v>1</v>
      </c>
      <c r="G99">
        <v>0.96745979800000004</v>
      </c>
      <c r="H99">
        <f t="shared" si="16"/>
        <v>1</v>
      </c>
      <c r="I99">
        <v>0.99971133470535301</v>
      </c>
      <c r="J99">
        <f t="shared" si="17"/>
        <v>1</v>
      </c>
      <c r="K99">
        <v>0.999983310699463</v>
      </c>
      <c r="L99">
        <f t="shared" si="18"/>
        <v>1</v>
      </c>
      <c r="M99">
        <v>1</v>
      </c>
      <c r="N99">
        <f t="shared" si="19"/>
        <v>1</v>
      </c>
      <c r="O99">
        <v>0.99988925457000699</v>
      </c>
      <c r="P99">
        <f t="shared" si="20"/>
        <v>1</v>
      </c>
      <c r="Q99">
        <v>0.878177702</v>
      </c>
      <c r="R99">
        <f t="shared" si="15"/>
        <v>1</v>
      </c>
      <c r="S99">
        <v>0.99998247623443604</v>
      </c>
      <c r="T99">
        <f t="shared" si="21"/>
        <v>1</v>
      </c>
      <c r="U99" s="1">
        <v>0.77528850000000005</v>
      </c>
      <c r="V99">
        <v>1</v>
      </c>
      <c r="X99">
        <v>0</v>
      </c>
    </row>
    <row r="100" spans="1:24">
      <c r="A100" s="1">
        <v>1</v>
      </c>
      <c r="B100" s="1" t="s">
        <v>99</v>
      </c>
      <c r="C100" s="1">
        <v>1</v>
      </c>
      <c r="D100" s="33">
        <v>1</v>
      </c>
      <c r="E100" s="33">
        <v>1</v>
      </c>
      <c r="F100" s="33">
        <v>1</v>
      </c>
      <c r="G100">
        <v>0.96640187499999997</v>
      </c>
      <c r="H100">
        <f t="shared" si="16"/>
        <v>1</v>
      </c>
      <c r="I100">
        <v>0.99921238422393799</v>
      </c>
      <c r="J100">
        <f t="shared" si="17"/>
        <v>1</v>
      </c>
      <c r="K100">
        <v>0.99779736995696999</v>
      </c>
      <c r="L100">
        <f t="shared" si="18"/>
        <v>1</v>
      </c>
      <c r="M100" s="30">
        <v>0.99271303399999999</v>
      </c>
      <c r="N100">
        <f t="shared" si="19"/>
        <v>1</v>
      </c>
      <c r="O100">
        <v>0.99990117549896196</v>
      </c>
      <c r="P100">
        <f t="shared" si="20"/>
        <v>1</v>
      </c>
      <c r="Q100">
        <v>0.88832616799999997</v>
      </c>
      <c r="R100">
        <f t="shared" si="15"/>
        <v>1</v>
      </c>
      <c r="S100">
        <v>0.99999320507049605</v>
      </c>
      <c r="T100">
        <f t="shared" si="21"/>
        <v>1</v>
      </c>
      <c r="U100" s="1">
        <v>0.76498884</v>
      </c>
      <c r="V100">
        <v>1</v>
      </c>
      <c r="X100">
        <v>0</v>
      </c>
    </row>
    <row r="101" spans="1:24">
      <c r="A101" s="1">
        <v>1</v>
      </c>
      <c r="B101" s="1" t="s">
        <v>100</v>
      </c>
      <c r="C101" s="1">
        <v>1</v>
      </c>
      <c r="D101" s="33">
        <v>1</v>
      </c>
      <c r="E101" s="33">
        <v>1</v>
      </c>
      <c r="F101" s="33">
        <v>1</v>
      </c>
      <c r="G101">
        <v>0.96214419600000001</v>
      </c>
      <c r="H101">
        <f t="shared" si="16"/>
        <v>1</v>
      </c>
      <c r="I101">
        <v>0.99992454051971402</v>
      </c>
      <c r="J101">
        <f t="shared" si="17"/>
        <v>1</v>
      </c>
      <c r="K101">
        <v>0.99993491172790505</v>
      </c>
      <c r="L101">
        <f t="shared" si="18"/>
        <v>1</v>
      </c>
      <c r="M101">
        <v>0.99995088600000004</v>
      </c>
      <c r="N101">
        <f t="shared" si="19"/>
        <v>1</v>
      </c>
      <c r="O101">
        <v>0.99996352195739702</v>
      </c>
      <c r="P101">
        <f t="shared" si="20"/>
        <v>1</v>
      </c>
      <c r="Q101">
        <v>0.87216711000000002</v>
      </c>
      <c r="R101">
        <f t="shared" si="15"/>
        <v>1</v>
      </c>
      <c r="S101">
        <v>0.99924904108047496</v>
      </c>
      <c r="T101">
        <f t="shared" si="21"/>
        <v>1</v>
      </c>
      <c r="U101" s="1">
        <v>0.75175404999999995</v>
      </c>
      <c r="V101">
        <v>1</v>
      </c>
      <c r="X101">
        <v>0</v>
      </c>
    </row>
    <row r="102" spans="1:24">
      <c r="A102" s="1">
        <v>1</v>
      </c>
      <c r="B102" s="1" t="s">
        <v>101</v>
      </c>
      <c r="C102" s="1">
        <v>1</v>
      </c>
      <c r="D102" s="33">
        <v>0</v>
      </c>
      <c r="E102" s="33">
        <v>1</v>
      </c>
      <c r="F102" s="33">
        <v>1</v>
      </c>
      <c r="G102">
        <v>0.91987121100000002</v>
      </c>
      <c r="H102">
        <f t="shared" si="16"/>
        <v>1</v>
      </c>
      <c r="I102">
        <v>0.99999928474426303</v>
      </c>
      <c r="J102">
        <f t="shared" si="17"/>
        <v>1</v>
      </c>
      <c r="K102">
        <v>0.99851113557815596</v>
      </c>
      <c r="L102">
        <f t="shared" si="18"/>
        <v>1</v>
      </c>
      <c r="M102">
        <v>0.99891805600000005</v>
      </c>
      <c r="N102">
        <f t="shared" si="19"/>
        <v>1</v>
      </c>
      <c r="O102">
        <v>0.99989068508148204</v>
      </c>
      <c r="P102">
        <f t="shared" si="20"/>
        <v>1</v>
      </c>
      <c r="Q102">
        <v>0.88706994100000003</v>
      </c>
      <c r="R102">
        <f t="shared" si="15"/>
        <v>1</v>
      </c>
      <c r="S102">
        <v>0.94638317823410001</v>
      </c>
      <c r="T102">
        <f t="shared" si="21"/>
        <v>1</v>
      </c>
      <c r="U102" s="1">
        <v>0.78506047000000001</v>
      </c>
      <c r="V102">
        <v>1</v>
      </c>
      <c r="X102">
        <v>0</v>
      </c>
    </row>
    <row r="103" spans="1:24">
      <c r="A103" s="1">
        <v>1</v>
      </c>
      <c r="B103" s="1" t="s">
        <v>102</v>
      </c>
      <c r="C103" s="1">
        <v>1</v>
      </c>
      <c r="D103" s="33">
        <v>1</v>
      </c>
      <c r="E103" s="33">
        <v>1</v>
      </c>
      <c r="F103" s="33">
        <v>1</v>
      </c>
      <c r="G103">
        <v>0.95293903400000002</v>
      </c>
      <c r="H103">
        <f t="shared" si="16"/>
        <v>1</v>
      </c>
      <c r="I103">
        <v>0.99917596578598</v>
      </c>
      <c r="J103">
        <f t="shared" si="17"/>
        <v>1</v>
      </c>
      <c r="K103">
        <v>0.98499679565429699</v>
      </c>
      <c r="L103">
        <f t="shared" si="18"/>
        <v>1</v>
      </c>
      <c r="M103">
        <v>0.99861276099999996</v>
      </c>
      <c r="N103">
        <f t="shared" si="19"/>
        <v>1</v>
      </c>
      <c r="O103">
        <v>0.99999952316284202</v>
      </c>
      <c r="P103">
        <f t="shared" si="20"/>
        <v>1</v>
      </c>
      <c r="Q103">
        <v>0.84758335399999996</v>
      </c>
      <c r="R103">
        <f t="shared" si="15"/>
        <v>1</v>
      </c>
      <c r="S103">
        <v>0.99871599674224798</v>
      </c>
      <c r="T103">
        <f t="shared" si="21"/>
        <v>1</v>
      </c>
      <c r="U103" s="1">
        <v>0.76260287000000004</v>
      </c>
      <c r="V103">
        <v>1</v>
      </c>
      <c r="X103">
        <v>0</v>
      </c>
    </row>
    <row r="104" spans="1:24">
      <c r="A104" s="1">
        <v>1</v>
      </c>
      <c r="B104" s="1" t="s">
        <v>103</v>
      </c>
      <c r="C104" s="1">
        <v>1</v>
      </c>
      <c r="D104" s="33">
        <v>1</v>
      </c>
      <c r="E104" s="34">
        <v>1</v>
      </c>
      <c r="F104" s="33">
        <v>1</v>
      </c>
      <c r="G104">
        <v>0.96401393400000002</v>
      </c>
      <c r="H104">
        <f t="shared" si="16"/>
        <v>1</v>
      </c>
      <c r="I104">
        <v>0.99434483051300004</v>
      </c>
      <c r="J104">
        <f t="shared" si="17"/>
        <v>1</v>
      </c>
      <c r="K104">
        <v>0.98652702569961603</v>
      </c>
      <c r="L104">
        <f t="shared" si="18"/>
        <v>1</v>
      </c>
      <c r="M104">
        <v>0.999979854</v>
      </c>
      <c r="N104">
        <f t="shared" si="19"/>
        <v>1</v>
      </c>
      <c r="O104">
        <v>0.99996900558471702</v>
      </c>
      <c r="P104">
        <f t="shared" si="20"/>
        <v>1</v>
      </c>
      <c r="Q104">
        <v>0.80730718400000001</v>
      </c>
      <c r="R104">
        <f t="shared" si="15"/>
        <v>1</v>
      </c>
      <c r="S104">
        <v>0.99653959274292003</v>
      </c>
      <c r="T104">
        <f t="shared" si="21"/>
        <v>1</v>
      </c>
      <c r="U104" s="1">
        <v>0.77508867000000004</v>
      </c>
      <c r="V104">
        <v>1</v>
      </c>
      <c r="X104">
        <v>0</v>
      </c>
    </row>
    <row r="105" spans="1:24">
      <c r="A105" s="1">
        <v>1</v>
      </c>
      <c r="B105" s="1" t="s">
        <v>104</v>
      </c>
      <c r="C105" s="1">
        <v>1</v>
      </c>
      <c r="D105" s="33">
        <v>1</v>
      </c>
      <c r="E105" s="33">
        <v>1</v>
      </c>
      <c r="F105" s="33">
        <v>1</v>
      </c>
      <c r="G105">
        <v>0.94920879599999997</v>
      </c>
      <c r="H105">
        <f t="shared" si="16"/>
        <v>1</v>
      </c>
      <c r="I105">
        <v>0.91096240282058705</v>
      </c>
      <c r="J105">
        <f t="shared" si="17"/>
        <v>1</v>
      </c>
      <c r="K105">
        <v>0.99497270584106401</v>
      </c>
      <c r="L105">
        <f t="shared" si="18"/>
        <v>1</v>
      </c>
      <c r="M105">
        <v>0.99191802699999998</v>
      </c>
      <c r="N105">
        <f t="shared" si="19"/>
        <v>1</v>
      </c>
      <c r="O105">
        <v>0.99376100301742598</v>
      </c>
      <c r="P105">
        <f t="shared" si="20"/>
        <v>1</v>
      </c>
      <c r="Q105">
        <v>0.68751621200000002</v>
      </c>
      <c r="R105">
        <f t="shared" si="15"/>
        <v>1</v>
      </c>
      <c r="S105">
        <v>0.97565972805023204</v>
      </c>
      <c r="T105">
        <f t="shared" si="21"/>
        <v>1</v>
      </c>
      <c r="U105" s="1">
        <v>0.70931416999999997</v>
      </c>
      <c r="V105">
        <v>1</v>
      </c>
      <c r="X105">
        <v>0</v>
      </c>
    </row>
    <row r="106" spans="1:24">
      <c r="A106" s="1">
        <v>1</v>
      </c>
      <c r="B106" s="1" t="s">
        <v>105</v>
      </c>
      <c r="C106" s="1">
        <v>1</v>
      </c>
      <c r="D106" s="33">
        <v>1</v>
      </c>
      <c r="E106" s="33">
        <v>1</v>
      </c>
      <c r="F106" s="33">
        <v>1</v>
      </c>
      <c r="G106">
        <v>0.79753172400000005</v>
      </c>
      <c r="H106">
        <f t="shared" si="16"/>
        <v>1</v>
      </c>
      <c r="I106">
        <v>4.5185379683972002E-2</v>
      </c>
      <c r="J106">
        <f t="shared" si="17"/>
        <v>0</v>
      </c>
      <c r="K106">
        <v>0.30660971999168402</v>
      </c>
      <c r="L106">
        <f t="shared" si="18"/>
        <v>0</v>
      </c>
      <c r="M106">
        <v>2.7573269000000001E-2</v>
      </c>
      <c r="N106">
        <f t="shared" si="19"/>
        <v>0</v>
      </c>
      <c r="O106">
        <v>0.217459321022034</v>
      </c>
      <c r="P106">
        <f t="shared" si="20"/>
        <v>0</v>
      </c>
      <c r="Q106">
        <v>0.66905653499999995</v>
      </c>
      <c r="R106">
        <f t="shared" si="15"/>
        <v>1</v>
      </c>
      <c r="S106">
        <v>0.76427721977233898</v>
      </c>
      <c r="T106">
        <f t="shared" si="21"/>
        <v>1</v>
      </c>
      <c r="U106" s="1">
        <v>0.70984139999999996</v>
      </c>
      <c r="V106">
        <v>1</v>
      </c>
      <c r="X106">
        <v>0</v>
      </c>
    </row>
    <row r="107" spans="1:24">
      <c r="A107" s="1">
        <v>1</v>
      </c>
      <c r="B107" s="1" t="s">
        <v>106</v>
      </c>
      <c r="C107" s="1">
        <v>1</v>
      </c>
      <c r="D107" s="33">
        <v>0</v>
      </c>
      <c r="E107" s="33">
        <v>1</v>
      </c>
      <c r="F107" s="33">
        <v>1</v>
      </c>
      <c r="G107">
        <v>0.109710135</v>
      </c>
      <c r="H107">
        <f t="shared" si="16"/>
        <v>0</v>
      </c>
      <c r="I107">
        <v>0.15352682769298501</v>
      </c>
      <c r="J107">
        <f t="shared" si="17"/>
        <v>0</v>
      </c>
      <c r="K107">
        <v>2.4418370798230001E-2</v>
      </c>
      <c r="L107">
        <f t="shared" si="18"/>
        <v>0</v>
      </c>
      <c r="M107">
        <v>1.230763E-2</v>
      </c>
      <c r="N107">
        <f t="shared" si="19"/>
        <v>0</v>
      </c>
      <c r="O107">
        <v>1.5369425527751999E-2</v>
      </c>
      <c r="P107">
        <f t="shared" si="20"/>
        <v>0</v>
      </c>
      <c r="Q107">
        <v>0.110225067</v>
      </c>
      <c r="R107">
        <f t="shared" si="15"/>
        <v>0</v>
      </c>
      <c r="S107">
        <v>7.8502865508200004E-3</v>
      </c>
      <c r="T107">
        <f t="shared" si="21"/>
        <v>0</v>
      </c>
      <c r="U107" s="1">
        <v>0.15198210000000001</v>
      </c>
      <c r="V107">
        <v>0</v>
      </c>
      <c r="X107">
        <v>0</v>
      </c>
    </row>
    <row r="108" spans="1:24">
      <c r="A108" s="1">
        <v>1</v>
      </c>
      <c r="B108" s="1" t="s">
        <v>107</v>
      </c>
      <c r="C108" s="1">
        <v>1</v>
      </c>
      <c r="D108" s="33">
        <v>1</v>
      </c>
      <c r="E108" s="33">
        <v>1</v>
      </c>
      <c r="F108" s="33">
        <v>1</v>
      </c>
      <c r="G108">
        <v>0.945689797</v>
      </c>
      <c r="H108">
        <f t="shared" si="16"/>
        <v>1</v>
      </c>
      <c r="I108">
        <v>0.99999773502349798</v>
      </c>
      <c r="J108">
        <f t="shared" si="17"/>
        <v>1</v>
      </c>
      <c r="K108">
        <v>0.99995398521423295</v>
      </c>
      <c r="L108">
        <f t="shared" si="18"/>
        <v>1</v>
      </c>
      <c r="M108">
        <v>0.99904745800000005</v>
      </c>
      <c r="N108">
        <f t="shared" si="19"/>
        <v>1</v>
      </c>
      <c r="O108">
        <v>0.99999833106994596</v>
      </c>
      <c r="P108">
        <f t="shared" si="20"/>
        <v>1</v>
      </c>
      <c r="Q108">
        <v>0.90441310399999997</v>
      </c>
      <c r="R108">
        <f t="shared" si="15"/>
        <v>1</v>
      </c>
      <c r="S108">
        <v>0.99977058172225997</v>
      </c>
      <c r="T108">
        <f t="shared" si="21"/>
        <v>1</v>
      </c>
      <c r="U108" s="1">
        <v>0.78131764999999997</v>
      </c>
      <c r="V108">
        <v>1</v>
      </c>
      <c r="X108">
        <v>0</v>
      </c>
    </row>
    <row r="109" spans="1:24">
      <c r="A109" s="1">
        <v>1</v>
      </c>
      <c r="B109" s="1" t="s">
        <v>108</v>
      </c>
      <c r="C109" s="1">
        <v>1</v>
      </c>
      <c r="D109" s="33">
        <v>0</v>
      </c>
      <c r="E109" s="33">
        <v>1</v>
      </c>
      <c r="F109" s="33">
        <v>1</v>
      </c>
      <c r="G109">
        <v>0.88431197399999995</v>
      </c>
      <c r="H109">
        <f t="shared" si="16"/>
        <v>1</v>
      </c>
      <c r="I109">
        <v>0.98963379859924305</v>
      </c>
      <c r="J109">
        <f t="shared" si="17"/>
        <v>1</v>
      </c>
      <c r="K109">
        <v>0.99262154102325395</v>
      </c>
      <c r="L109">
        <f t="shared" si="18"/>
        <v>1</v>
      </c>
      <c r="M109">
        <v>0.90515965200000004</v>
      </c>
      <c r="N109">
        <f t="shared" si="19"/>
        <v>1</v>
      </c>
      <c r="O109">
        <v>0.99713861942291304</v>
      </c>
      <c r="P109">
        <f t="shared" si="20"/>
        <v>1</v>
      </c>
      <c r="Q109">
        <v>0.78846627499999999</v>
      </c>
      <c r="R109">
        <f t="shared" si="15"/>
        <v>1</v>
      </c>
      <c r="S109">
        <v>0.98687905073165905</v>
      </c>
      <c r="T109">
        <f t="shared" si="21"/>
        <v>1</v>
      </c>
      <c r="U109" s="1">
        <v>0.75609289999999996</v>
      </c>
      <c r="V109">
        <v>1</v>
      </c>
      <c r="X109">
        <v>0</v>
      </c>
    </row>
    <row r="110" spans="1:24">
      <c r="A110" s="1">
        <v>1</v>
      </c>
      <c r="B110" s="1" t="s">
        <v>545</v>
      </c>
      <c r="C110" s="1">
        <v>1</v>
      </c>
      <c r="D110" s="33">
        <v>1</v>
      </c>
      <c r="E110" s="33">
        <v>1</v>
      </c>
      <c r="F110" s="33">
        <v>1</v>
      </c>
      <c r="G110">
        <v>3.5563003000000003E-2</v>
      </c>
      <c r="H110">
        <f t="shared" si="16"/>
        <v>0</v>
      </c>
      <c r="I110" s="30">
        <v>1.05560147858341E-5</v>
      </c>
      <c r="J110">
        <f t="shared" si="17"/>
        <v>0</v>
      </c>
      <c r="K110">
        <v>1.1150828795510001E-3</v>
      </c>
      <c r="L110">
        <f t="shared" si="18"/>
        <v>0</v>
      </c>
      <c r="M110">
        <v>1.0567791999999999E-2</v>
      </c>
      <c r="N110">
        <f t="shared" si="19"/>
        <v>0</v>
      </c>
      <c r="O110" s="30">
        <v>3.8229551137192202E-5</v>
      </c>
      <c r="P110">
        <f t="shared" si="20"/>
        <v>0</v>
      </c>
      <c r="Q110">
        <v>0.15606366099999999</v>
      </c>
      <c r="R110">
        <f t="shared" si="15"/>
        <v>0</v>
      </c>
      <c r="S110">
        <v>3.9808589965105001E-2</v>
      </c>
      <c r="T110">
        <f t="shared" si="21"/>
        <v>0</v>
      </c>
      <c r="U110" s="1">
        <v>0.20514497000000001</v>
      </c>
      <c r="V110">
        <v>0</v>
      </c>
      <c r="X110">
        <v>0</v>
      </c>
    </row>
    <row r="111" spans="1:24">
      <c r="A111" s="1">
        <v>1</v>
      </c>
      <c r="B111" s="7" t="s">
        <v>110</v>
      </c>
      <c r="C111" s="1">
        <v>1</v>
      </c>
      <c r="D111" s="33">
        <v>1</v>
      </c>
      <c r="E111" s="34">
        <v>0</v>
      </c>
      <c r="F111" s="33">
        <v>1</v>
      </c>
      <c r="G111" s="30">
        <v>0.65950977799999999</v>
      </c>
      <c r="H111">
        <f t="shared" si="16"/>
        <v>1</v>
      </c>
      <c r="I111">
        <v>0.88754475116729703</v>
      </c>
      <c r="J111">
        <f t="shared" si="17"/>
        <v>1</v>
      </c>
      <c r="K111">
        <v>0.72885447740554798</v>
      </c>
      <c r="L111">
        <f t="shared" si="18"/>
        <v>1</v>
      </c>
      <c r="M111">
        <v>0.86509776100000002</v>
      </c>
      <c r="N111">
        <f t="shared" si="19"/>
        <v>1</v>
      </c>
      <c r="O111">
        <v>0.84911417961120605</v>
      </c>
      <c r="P111">
        <f t="shared" si="20"/>
        <v>1</v>
      </c>
      <c r="Q111">
        <v>0.54434728600000004</v>
      </c>
      <c r="R111">
        <f t="shared" si="15"/>
        <v>1</v>
      </c>
      <c r="S111">
        <v>0.98282492160797097</v>
      </c>
      <c r="T111">
        <f t="shared" si="21"/>
        <v>1</v>
      </c>
      <c r="U111" s="7">
        <v>0.69417834</v>
      </c>
      <c r="V111">
        <v>1</v>
      </c>
      <c r="X111">
        <v>1</v>
      </c>
    </row>
    <row r="112" spans="1:24">
      <c r="A112" s="1">
        <v>1</v>
      </c>
      <c r="B112" s="1" t="s">
        <v>111</v>
      </c>
      <c r="C112" s="1">
        <v>1</v>
      </c>
      <c r="D112" s="33">
        <v>1</v>
      </c>
      <c r="E112" s="33">
        <v>1</v>
      </c>
      <c r="F112" s="33">
        <v>1</v>
      </c>
      <c r="G112">
        <v>0.93609392599999997</v>
      </c>
      <c r="H112">
        <f t="shared" si="16"/>
        <v>1</v>
      </c>
      <c r="I112">
        <v>0.98504722118377697</v>
      </c>
      <c r="J112">
        <f t="shared" si="17"/>
        <v>1</v>
      </c>
      <c r="K112">
        <v>0.91936540603637695</v>
      </c>
      <c r="L112">
        <f t="shared" si="18"/>
        <v>1</v>
      </c>
      <c r="M112">
        <v>0.92663306000000001</v>
      </c>
      <c r="N112">
        <f t="shared" si="19"/>
        <v>1</v>
      </c>
      <c r="O112">
        <v>0.82857203483581499</v>
      </c>
      <c r="P112">
        <f t="shared" si="20"/>
        <v>1</v>
      </c>
      <c r="Q112">
        <v>0.87943679100000005</v>
      </c>
      <c r="R112">
        <f t="shared" si="15"/>
        <v>1</v>
      </c>
      <c r="S112">
        <v>0.95062643289565996</v>
      </c>
      <c r="T112">
        <f t="shared" si="21"/>
        <v>1</v>
      </c>
      <c r="U112" s="1">
        <v>0.72638385999999999</v>
      </c>
      <c r="V112">
        <v>1</v>
      </c>
      <c r="X112">
        <v>0</v>
      </c>
    </row>
    <row r="113" spans="1:24">
      <c r="A113" s="1" t="s">
        <v>112</v>
      </c>
      <c r="B113" s="1"/>
      <c r="C113" s="22"/>
      <c r="D113" s="35"/>
      <c r="E113" s="35"/>
      <c r="F113" s="35"/>
      <c r="X113">
        <v>2</v>
      </c>
    </row>
    <row r="114" spans="1:24">
      <c r="A114" s="1">
        <v>0</v>
      </c>
      <c r="B114" s="1" t="s">
        <v>113</v>
      </c>
      <c r="C114" s="1">
        <v>0</v>
      </c>
      <c r="D114" s="33">
        <v>1</v>
      </c>
      <c r="E114" s="36">
        <v>0</v>
      </c>
      <c r="F114" s="37">
        <v>0</v>
      </c>
      <c r="G114">
        <v>9.5734730000000004E-2</v>
      </c>
      <c r="H114">
        <f t="shared" si="16"/>
        <v>0</v>
      </c>
      <c r="I114">
        <v>0.31395500898361201</v>
      </c>
      <c r="J114">
        <f t="shared" si="17"/>
        <v>0</v>
      </c>
      <c r="K114">
        <v>0.23877750337123901</v>
      </c>
      <c r="L114">
        <f t="shared" ref="L114:L145" si="22">IF(K114&gt;$A$2,1,0)</f>
        <v>0</v>
      </c>
      <c r="M114">
        <v>0.11912816800000001</v>
      </c>
      <c r="N114">
        <f t="shared" ref="N114:N145" si="23">IF(M114&gt;$A$2,1,0)</f>
        <v>0</v>
      </c>
      <c r="O114">
        <v>4.2801469564437998E-2</v>
      </c>
      <c r="P114">
        <f t="shared" ref="P114:P145" si="24">IF(O114&gt;$A$2,1,0)</f>
        <v>0</v>
      </c>
      <c r="Q114">
        <v>0.434375703</v>
      </c>
      <c r="R114">
        <f t="shared" ref="R114:R145" si="25">IF(Q114&gt;$A$2,1,0)</f>
        <v>0</v>
      </c>
      <c r="S114">
        <v>7.8041784465312999E-2</v>
      </c>
      <c r="T114">
        <f t="shared" si="21"/>
        <v>0</v>
      </c>
      <c r="U114" s="1">
        <v>0.37800889999999998</v>
      </c>
      <c r="V114">
        <v>0</v>
      </c>
      <c r="X114">
        <v>0</v>
      </c>
    </row>
    <row r="115" spans="1:24">
      <c r="A115" s="1">
        <v>0</v>
      </c>
      <c r="B115" s="1" t="s">
        <v>114</v>
      </c>
      <c r="C115" s="1">
        <v>0</v>
      </c>
      <c r="D115" s="33">
        <v>1</v>
      </c>
      <c r="E115" s="37">
        <v>1</v>
      </c>
      <c r="F115" s="37">
        <v>0</v>
      </c>
      <c r="G115">
        <v>6.0734707999999998E-2</v>
      </c>
      <c r="H115">
        <f t="shared" si="16"/>
        <v>0</v>
      </c>
      <c r="I115">
        <v>0.256809651851654</v>
      </c>
      <c r="J115">
        <f t="shared" si="17"/>
        <v>0</v>
      </c>
      <c r="K115">
        <v>0.13563986122608199</v>
      </c>
      <c r="L115">
        <f t="shared" si="22"/>
        <v>0</v>
      </c>
      <c r="M115">
        <v>4.0801231E-2</v>
      </c>
      <c r="N115">
        <f t="shared" si="23"/>
        <v>0</v>
      </c>
      <c r="O115">
        <v>7.7830821275711004E-2</v>
      </c>
      <c r="P115">
        <f t="shared" si="24"/>
        <v>0</v>
      </c>
      <c r="Q115">
        <v>0.26600372799999999</v>
      </c>
      <c r="R115">
        <f t="shared" si="25"/>
        <v>0</v>
      </c>
      <c r="S115">
        <v>1.8360560759902E-2</v>
      </c>
      <c r="T115">
        <f t="shared" si="21"/>
        <v>0</v>
      </c>
      <c r="U115" s="1">
        <v>0.2050043</v>
      </c>
      <c r="V115">
        <v>0</v>
      </c>
      <c r="X115">
        <v>0</v>
      </c>
    </row>
    <row r="116" spans="1:24">
      <c r="A116" s="1">
        <v>0</v>
      </c>
      <c r="B116" s="1" t="s">
        <v>115</v>
      </c>
      <c r="C116" s="1">
        <v>0</v>
      </c>
      <c r="D116" s="33">
        <v>1</v>
      </c>
      <c r="E116" s="37">
        <v>1</v>
      </c>
      <c r="F116" s="37">
        <v>1</v>
      </c>
      <c r="G116">
        <v>0.67475539399999995</v>
      </c>
      <c r="H116">
        <f t="shared" si="16"/>
        <v>1</v>
      </c>
      <c r="I116">
        <v>0.99579215049743597</v>
      </c>
      <c r="J116">
        <f t="shared" si="17"/>
        <v>1</v>
      </c>
      <c r="K116">
        <v>0.94006407260894798</v>
      </c>
      <c r="L116">
        <f t="shared" si="22"/>
        <v>1</v>
      </c>
      <c r="M116">
        <v>0.85463076800000004</v>
      </c>
      <c r="N116">
        <f t="shared" si="23"/>
        <v>1</v>
      </c>
      <c r="O116">
        <v>0.17337432503700301</v>
      </c>
      <c r="P116">
        <f t="shared" si="24"/>
        <v>0</v>
      </c>
      <c r="Q116">
        <v>0.89621782299999997</v>
      </c>
      <c r="R116">
        <f t="shared" si="25"/>
        <v>1</v>
      </c>
      <c r="S116">
        <v>0.946771860122681</v>
      </c>
      <c r="T116">
        <f t="shared" si="21"/>
        <v>1</v>
      </c>
      <c r="U116" s="1">
        <v>0.69869334000000005</v>
      </c>
      <c r="V116">
        <v>1</v>
      </c>
      <c r="X116">
        <v>0</v>
      </c>
    </row>
    <row r="117" spans="1:24">
      <c r="A117" s="80">
        <v>0</v>
      </c>
      <c r="B117" s="1" t="s">
        <v>116</v>
      </c>
      <c r="C117" s="1">
        <v>0</v>
      </c>
      <c r="D117" s="33">
        <v>1</v>
      </c>
      <c r="E117" s="37">
        <v>1</v>
      </c>
      <c r="F117" s="37">
        <v>1</v>
      </c>
      <c r="G117" s="30">
        <v>4.6083972000000001E-2</v>
      </c>
      <c r="H117">
        <f t="shared" si="16"/>
        <v>0</v>
      </c>
      <c r="I117">
        <v>6.4667612314220002E-3</v>
      </c>
      <c r="J117">
        <f t="shared" si="17"/>
        <v>0</v>
      </c>
      <c r="K117">
        <v>6.1164710670709999E-2</v>
      </c>
      <c r="L117">
        <f t="shared" si="22"/>
        <v>0</v>
      </c>
      <c r="M117">
        <v>3.2459999999999998E-4</v>
      </c>
      <c r="N117">
        <f t="shared" si="23"/>
        <v>0</v>
      </c>
      <c r="O117">
        <v>8.7421890348200002E-3</v>
      </c>
      <c r="P117">
        <f t="shared" si="24"/>
        <v>0</v>
      </c>
      <c r="Q117">
        <v>0.26290065099999999</v>
      </c>
      <c r="R117">
        <f t="shared" si="25"/>
        <v>0</v>
      </c>
      <c r="S117">
        <v>3.6337645724399999E-4</v>
      </c>
      <c r="T117">
        <f t="shared" si="21"/>
        <v>0</v>
      </c>
      <c r="U117" s="1">
        <v>0.35493330000000001</v>
      </c>
      <c r="V117">
        <v>0</v>
      </c>
      <c r="X117">
        <v>0</v>
      </c>
    </row>
    <row r="118" spans="1:24">
      <c r="A118" s="1">
        <v>0</v>
      </c>
      <c r="B118" s="1" t="s">
        <v>117</v>
      </c>
      <c r="C118" s="1">
        <v>0</v>
      </c>
      <c r="D118" s="33">
        <v>0</v>
      </c>
      <c r="E118" s="37">
        <v>0</v>
      </c>
      <c r="F118" s="37">
        <v>0</v>
      </c>
      <c r="G118">
        <v>0.29626947599999998</v>
      </c>
      <c r="H118">
        <f t="shared" si="16"/>
        <v>0</v>
      </c>
      <c r="I118">
        <v>0.15197633206844299</v>
      </c>
      <c r="J118">
        <f t="shared" si="17"/>
        <v>0</v>
      </c>
      <c r="K118">
        <v>0.41724413633346602</v>
      </c>
      <c r="L118">
        <f t="shared" si="22"/>
        <v>0</v>
      </c>
      <c r="M118">
        <v>0.22498717900000001</v>
      </c>
      <c r="N118">
        <f t="shared" si="23"/>
        <v>0</v>
      </c>
      <c r="O118">
        <v>0.43214607238769498</v>
      </c>
      <c r="P118">
        <f t="shared" si="24"/>
        <v>0</v>
      </c>
      <c r="Q118">
        <v>0.69196891800000004</v>
      </c>
      <c r="R118">
        <f t="shared" si="25"/>
        <v>1</v>
      </c>
      <c r="S118">
        <v>0.51436656713485696</v>
      </c>
      <c r="T118">
        <f t="shared" si="21"/>
        <v>1</v>
      </c>
      <c r="U118" s="1">
        <v>0.67495939999999999</v>
      </c>
      <c r="V118">
        <v>1</v>
      </c>
      <c r="X118">
        <v>0</v>
      </c>
    </row>
    <row r="119" spans="1:24">
      <c r="A119" s="1">
        <v>0</v>
      </c>
      <c r="B119" s="1" t="s">
        <v>118</v>
      </c>
      <c r="C119" s="1">
        <v>0</v>
      </c>
      <c r="D119" s="33">
        <v>0</v>
      </c>
      <c r="E119" s="36">
        <v>0</v>
      </c>
      <c r="F119" s="37">
        <v>0</v>
      </c>
      <c r="G119">
        <v>0.143573493</v>
      </c>
      <c r="H119">
        <f t="shared" si="16"/>
        <v>0</v>
      </c>
      <c r="I119">
        <v>0.67384326457977295</v>
      </c>
      <c r="J119">
        <f t="shared" si="17"/>
        <v>1</v>
      </c>
      <c r="K119">
        <v>0.48847007751464799</v>
      </c>
      <c r="L119">
        <f t="shared" si="22"/>
        <v>0</v>
      </c>
      <c r="M119">
        <v>0.134969756</v>
      </c>
      <c r="N119">
        <f t="shared" si="23"/>
        <v>0</v>
      </c>
      <c r="O119">
        <v>0.49600574374198902</v>
      </c>
      <c r="P119">
        <f t="shared" si="24"/>
        <v>0</v>
      </c>
      <c r="Q119">
        <v>0.335676908</v>
      </c>
      <c r="R119">
        <f t="shared" si="25"/>
        <v>0</v>
      </c>
      <c r="S119">
        <v>0.220422297716141</v>
      </c>
      <c r="T119">
        <f t="shared" si="21"/>
        <v>0</v>
      </c>
      <c r="U119" s="1">
        <v>0.58164749999999998</v>
      </c>
      <c r="V119">
        <v>0</v>
      </c>
      <c r="X119">
        <v>0</v>
      </c>
    </row>
    <row r="120" spans="1:24">
      <c r="A120" s="1">
        <v>0</v>
      </c>
      <c r="B120" s="1" t="s">
        <v>119</v>
      </c>
      <c r="C120" s="1">
        <v>0</v>
      </c>
      <c r="D120" s="33">
        <v>0</v>
      </c>
      <c r="E120" s="36">
        <v>0</v>
      </c>
      <c r="F120" s="37">
        <v>0</v>
      </c>
      <c r="G120" s="30">
        <v>0.27644085899999998</v>
      </c>
      <c r="H120">
        <f t="shared" si="16"/>
        <v>0</v>
      </c>
      <c r="I120">
        <v>0.18188861012458801</v>
      </c>
      <c r="J120">
        <f t="shared" si="17"/>
        <v>0</v>
      </c>
      <c r="K120">
        <v>2.6760151609777998E-2</v>
      </c>
      <c r="L120">
        <f t="shared" si="22"/>
        <v>0</v>
      </c>
      <c r="M120">
        <v>1.4697833E-2</v>
      </c>
      <c r="N120">
        <f t="shared" si="23"/>
        <v>0</v>
      </c>
      <c r="O120">
        <v>0.120581611990929</v>
      </c>
      <c r="P120">
        <f t="shared" si="24"/>
        <v>0</v>
      </c>
      <c r="Q120">
        <v>0.14264032200000001</v>
      </c>
      <c r="R120">
        <f t="shared" si="25"/>
        <v>0</v>
      </c>
      <c r="S120">
        <v>5.0734874093899996E-4</v>
      </c>
      <c r="T120">
        <f t="shared" si="21"/>
        <v>0</v>
      </c>
      <c r="U120" s="1">
        <v>0.14389900999999999</v>
      </c>
      <c r="V120">
        <v>0</v>
      </c>
      <c r="X120">
        <v>0</v>
      </c>
    </row>
    <row r="121" spans="1:24">
      <c r="A121" s="1">
        <v>0</v>
      </c>
      <c r="B121" s="1" t="s">
        <v>120</v>
      </c>
      <c r="C121" s="1">
        <v>0</v>
      </c>
      <c r="D121" s="33">
        <v>0</v>
      </c>
      <c r="E121" s="36">
        <v>0</v>
      </c>
      <c r="F121" s="37">
        <v>0</v>
      </c>
      <c r="G121">
        <v>0.34423664199999998</v>
      </c>
      <c r="H121">
        <f t="shared" si="16"/>
        <v>0</v>
      </c>
      <c r="I121">
        <v>0.75683116912841797</v>
      </c>
      <c r="J121">
        <f t="shared" si="17"/>
        <v>1</v>
      </c>
      <c r="K121">
        <v>0.35862079262733498</v>
      </c>
      <c r="L121">
        <f t="shared" si="22"/>
        <v>0</v>
      </c>
      <c r="M121">
        <v>4.6730023000000002E-2</v>
      </c>
      <c r="N121">
        <f t="shared" si="23"/>
        <v>0</v>
      </c>
      <c r="O121">
        <v>0.88749021291732799</v>
      </c>
      <c r="P121">
        <f t="shared" si="24"/>
        <v>1</v>
      </c>
      <c r="Q121" s="30">
        <v>0.28015816199999999</v>
      </c>
      <c r="R121">
        <f t="shared" si="25"/>
        <v>0</v>
      </c>
      <c r="S121">
        <v>6.5836995840073007E-2</v>
      </c>
      <c r="T121">
        <f t="shared" si="21"/>
        <v>0</v>
      </c>
      <c r="U121" s="1">
        <v>0.37270078000000001</v>
      </c>
      <c r="V121">
        <v>0</v>
      </c>
      <c r="X121">
        <v>0</v>
      </c>
    </row>
    <row r="122" spans="1:24">
      <c r="A122" s="1">
        <v>0</v>
      </c>
      <c r="B122" s="1" t="s">
        <v>121</v>
      </c>
      <c r="C122" s="1">
        <v>0</v>
      </c>
      <c r="D122" s="33">
        <v>0</v>
      </c>
      <c r="E122" s="36">
        <v>0</v>
      </c>
      <c r="F122" s="37">
        <v>0</v>
      </c>
      <c r="G122">
        <v>1.5673960000000001E-2</v>
      </c>
      <c r="H122">
        <f t="shared" si="16"/>
        <v>0</v>
      </c>
      <c r="I122">
        <v>7.0954682305459996E-3</v>
      </c>
      <c r="J122">
        <f t="shared" si="17"/>
        <v>0</v>
      </c>
      <c r="K122">
        <v>9.4797294586900002E-3</v>
      </c>
      <c r="L122">
        <f t="shared" si="22"/>
        <v>0</v>
      </c>
      <c r="M122">
        <v>7.6660699999999999E-4</v>
      </c>
      <c r="N122">
        <f t="shared" si="23"/>
        <v>0</v>
      </c>
      <c r="O122">
        <v>2.188646001741E-3</v>
      </c>
      <c r="P122">
        <f t="shared" si="24"/>
        <v>0</v>
      </c>
      <c r="Q122">
        <v>0.19291792799999999</v>
      </c>
      <c r="R122">
        <f t="shared" si="25"/>
        <v>0</v>
      </c>
      <c r="S122">
        <v>3.2011808361859999E-3</v>
      </c>
      <c r="T122">
        <f t="shared" si="21"/>
        <v>0</v>
      </c>
      <c r="U122" s="1">
        <v>0.30231592000000002</v>
      </c>
      <c r="V122">
        <v>0</v>
      </c>
      <c r="X122">
        <v>0</v>
      </c>
    </row>
    <row r="123" spans="1:24">
      <c r="A123" s="1">
        <v>0</v>
      </c>
      <c r="B123" s="1" t="s">
        <v>122</v>
      </c>
      <c r="C123" s="1">
        <v>0</v>
      </c>
      <c r="D123" s="33">
        <v>0</v>
      </c>
      <c r="E123" s="36">
        <v>0</v>
      </c>
      <c r="F123" s="37">
        <v>0</v>
      </c>
      <c r="G123">
        <v>0.154811069</v>
      </c>
      <c r="H123">
        <f t="shared" si="16"/>
        <v>0</v>
      </c>
      <c r="I123">
        <v>7.3175220750270002E-3</v>
      </c>
      <c r="J123">
        <f t="shared" si="17"/>
        <v>0</v>
      </c>
      <c r="K123">
        <v>4.3139133602381002E-2</v>
      </c>
      <c r="L123">
        <f t="shared" si="22"/>
        <v>0</v>
      </c>
      <c r="M123">
        <v>5.2627890000000004E-3</v>
      </c>
      <c r="N123">
        <f t="shared" si="23"/>
        <v>0</v>
      </c>
      <c r="O123">
        <v>1.1343812569976E-2</v>
      </c>
      <c r="P123">
        <f t="shared" si="24"/>
        <v>0</v>
      </c>
      <c r="Q123">
        <v>0.237447992</v>
      </c>
      <c r="R123">
        <f t="shared" si="25"/>
        <v>0</v>
      </c>
      <c r="S123" s="30">
        <v>6.7006818426307304E-5</v>
      </c>
      <c r="T123">
        <f t="shared" si="21"/>
        <v>0</v>
      </c>
      <c r="U123" s="1">
        <v>0.32096429999999998</v>
      </c>
      <c r="V123">
        <v>0</v>
      </c>
      <c r="X123">
        <v>0</v>
      </c>
    </row>
    <row r="124" spans="1:24">
      <c r="A124" s="1">
        <v>0</v>
      </c>
      <c r="B124" s="1" t="s">
        <v>123</v>
      </c>
      <c r="C124" s="1">
        <v>0</v>
      </c>
      <c r="D124" s="33">
        <v>1</v>
      </c>
      <c r="E124" s="37">
        <v>1</v>
      </c>
      <c r="F124" s="37">
        <v>0</v>
      </c>
      <c r="G124">
        <v>0.76214164500000003</v>
      </c>
      <c r="H124">
        <f t="shared" si="16"/>
        <v>1</v>
      </c>
      <c r="I124">
        <v>0.45985949039459201</v>
      </c>
      <c r="J124">
        <f t="shared" si="17"/>
        <v>0</v>
      </c>
      <c r="K124">
        <v>0.78146535158157404</v>
      </c>
      <c r="L124">
        <f t="shared" si="22"/>
        <v>1</v>
      </c>
      <c r="M124">
        <v>0.51337850100000004</v>
      </c>
      <c r="N124">
        <f t="shared" si="23"/>
        <v>1</v>
      </c>
      <c r="O124">
        <v>0.99257385730743397</v>
      </c>
      <c r="P124">
        <f t="shared" si="24"/>
        <v>1</v>
      </c>
      <c r="Q124">
        <v>0.342352659</v>
      </c>
      <c r="R124">
        <f t="shared" si="25"/>
        <v>0</v>
      </c>
      <c r="S124">
        <v>6.5731550566850002E-3</v>
      </c>
      <c r="T124">
        <f t="shared" si="21"/>
        <v>0</v>
      </c>
      <c r="U124" s="1">
        <v>0.35371363</v>
      </c>
      <c r="V124">
        <v>0</v>
      </c>
      <c r="X124">
        <v>0</v>
      </c>
    </row>
    <row r="125" spans="1:24">
      <c r="A125" s="1">
        <v>0</v>
      </c>
      <c r="B125" s="1" t="s">
        <v>124</v>
      </c>
      <c r="C125" s="1">
        <v>0</v>
      </c>
      <c r="D125" s="33">
        <v>0</v>
      </c>
      <c r="E125" s="36">
        <v>0</v>
      </c>
      <c r="F125" s="37">
        <v>0</v>
      </c>
      <c r="G125">
        <v>2.1527514000000001E-2</v>
      </c>
      <c r="H125">
        <f t="shared" si="16"/>
        <v>0</v>
      </c>
      <c r="I125">
        <v>4.1587857413100002E-4</v>
      </c>
      <c r="J125">
        <f t="shared" si="17"/>
        <v>0</v>
      </c>
      <c r="K125">
        <v>6.6554434597491996E-2</v>
      </c>
      <c r="L125">
        <f t="shared" si="22"/>
        <v>0</v>
      </c>
      <c r="M125">
        <v>2.0384079999999998E-3</v>
      </c>
      <c r="N125">
        <f t="shared" si="23"/>
        <v>0</v>
      </c>
      <c r="O125">
        <v>1.8804686143993998E-2</v>
      </c>
      <c r="P125">
        <f t="shared" si="24"/>
        <v>0</v>
      </c>
      <c r="Q125" s="30">
        <v>0.20841944200000001</v>
      </c>
      <c r="R125">
        <f t="shared" si="25"/>
        <v>0</v>
      </c>
      <c r="S125" s="30">
        <v>1.5940017874527299E-6</v>
      </c>
      <c r="T125">
        <f t="shared" si="21"/>
        <v>0</v>
      </c>
      <c r="U125" s="1">
        <v>0.25613051999999997</v>
      </c>
      <c r="V125">
        <v>0</v>
      </c>
      <c r="X125">
        <v>0</v>
      </c>
    </row>
    <row r="126" spans="1:24">
      <c r="A126" s="1">
        <v>0</v>
      </c>
      <c r="B126" s="1" t="s">
        <v>125</v>
      </c>
      <c r="C126" s="1">
        <v>0</v>
      </c>
      <c r="D126" s="33">
        <v>1</v>
      </c>
      <c r="E126" s="37">
        <v>0</v>
      </c>
      <c r="F126" s="37">
        <v>0</v>
      </c>
      <c r="G126">
        <v>3.3579484E-2</v>
      </c>
      <c r="H126">
        <f t="shared" si="16"/>
        <v>0</v>
      </c>
      <c r="I126">
        <v>4.2042121291161E-2</v>
      </c>
      <c r="J126">
        <f t="shared" si="17"/>
        <v>0</v>
      </c>
      <c r="K126">
        <v>3.8407575339079E-2</v>
      </c>
      <c r="L126">
        <f t="shared" si="22"/>
        <v>0</v>
      </c>
      <c r="M126">
        <v>6.7783909999999999E-3</v>
      </c>
      <c r="N126">
        <f t="shared" si="23"/>
        <v>0</v>
      </c>
      <c r="O126">
        <v>4.5747412368660001E-3</v>
      </c>
      <c r="P126">
        <f t="shared" si="24"/>
        <v>0</v>
      </c>
      <c r="Q126">
        <v>0.20744278999999999</v>
      </c>
      <c r="R126">
        <f t="shared" si="25"/>
        <v>0</v>
      </c>
      <c r="S126">
        <v>8.8291633874179997E-3</v>
      </c>
      <c r="T126">
        <f t="shared" si="21"/>
        <v>0</v>
      </c>
      <c r="U126" s="1">
        <v>0.24536253999999999</v>
      </c>
      <c r="V126">
        <v>0</v>
      </c>
      <c r="X126">
        <v>0</v>
      </c>
    </row>
    <row r="127" spans="1:24">
      <c r="A127" s="1">
        <v>0</v>
      </c>
      <c r="B127" s="1" t="s">
        <v>126</v>
      </c>
      <c r="C127" s="1">
        <v>0</v>
      </c>
      <c r="D127" s="33">
        <v>0</v>
      </c>
      <c r="E127" s="36">
        <v>0</v>
      </c>
      <c r="F127" s="37">
        <v>0</v>
      </c>
      <c r="G127">
        <v>0.15440173400000001</v>
      </c>
      <c r="H127">
        <f t="shared" si="16"/>
        <v>0</v>
      </c>
      <c r="I127">
        <v>1.790145644918E-3</v>
      </c>
      <c r="J127">
        <f t="shared" si="17"/>
        <v>0</v>
      </c>
      <c r="K127">
        <v>4.0979828685522003E-2</v>
      </c>
      <c r="L127">
        <f t="shared" si="22"/>
        <v>0</v>
      </c>
      <c r="M127">
        <v>9.9989299999999996E-4</v>
      </c>
      <c r="N127">
        <f t="shared" si="23"/>
        <v>0</v>
      </c>
      <c r="O127">
        <v>6.8603530526159997E-3</v>
      </c>
      <c r="P127">
        <f t="shared" si="24"/>
        <v>0</v>
      </c>
      <c r="Q127" s="30">
        <v>0.27524301400000001</v>
      </c>
      <c r="R127">
        <f t="shared" si="25"/>
        <v>0</v>
      </c>
      <c r="S127">
        <v>3.71938891476E-4</v>
      </c>
      <c r="T127">
        <f t="shared" si="21"/>
        <v>0</v>
      </c>
      <c r="U127" s="1">
        <v>0.23126996999999999</v>
      </c>
      <c r="V127">
        <v>0</v>
      </c>
      <c r="X127">
        <v>0</v>
      </c>
    </row>
    <row r="128" spans="1:24">
      <c r="A128" s="1">
        <v>0</v>
      </c>
      <c r="B128" s="1" t="s">
        <v>127</v>
      </c>
      <c r="C128" s="1">
        <v>0</v>
      </c>
      <c r="D128" s="33">
        <v>1</v>
      </c>
      <c r="E128" s="37">
        <v>1</v>
      </c>
      <c r="F128" s="37">
        <v>1</v>
      </c>
      <c r="G128">
        <v>0.57132411000000005</v>
      </c>
      <c r="H128">
        <f t="shared" si="16"/>
        <v>1</v>
      </c>
      <c r="I128">
        <v>0.93554770946502697</v>
      </c>
      <c r="J128">
        <f t="shared" si="17"/>
        <v>1</v>
      </c>
      <c r="K128">
        <v>0.56033140420913696</v>
      </c>
      <c r="L128">
        <f t="shared" si="22"/>
        <v>1</v>
      </c>
      <c r="M128">
        <v>0.68110269300000004</v>
      </c>
      <c r="N128">
        <f t="shared" si="23"/>
        <v>1</v>
      </c>
      <c r="O128">
        <v>0.78573566675186202</v>
      </c>
      <c r="P128">
        <f t="shared" si="24"/>
        <v>1</v>
      </c>
      <c r="Q128">
        <v>0.89658606100000005</v>
      </c>
      <c r="R128">
        <f t="shared" si="25"/>
        <v>1</v>
      </c>
      <c r="S128">
        <v>0.28954204916954002</v>
      </c>
      <c r="T128">
        <f t="shared" si="21"/>
        <v>0</v>
      </c>
      <c r="U128" s="1">
        <v>0.64565234999999999</v>
      </c>
      <c r="V128">
        <v>1</v>
      </c>
      <c r="X128">
        <v>0</v>
      </c>
    </row>
    <row r="129" spans="1:24">
      <c r="A129" s="1">
        <v>0</v>
      </c>
      <c r="B129" s="1" t="s">
        <v>128</v>
      </c>
      <c r="C129" s="1">
        <v>0</v>
      </c>
      <c r="D129" s="33">
        <v>0</v>
      </c>
      <c r="E129" s="36">
        <v>0</v>
      </c>
      <c r="F129" s="37">
        <v>0</v>
      </c>
      <c r="G129">
        <v>0.19655402</v>
      </c>
      <c r="H129">
        <f t="shared" si="16"/>
        <v>0</v>
      </c>
      <c r="I129">
        <v>0.22911676764488201</v>
      </c>
      <c r="J129">
        <f t="shared" si="17"/>
        <v>0</v>
      </c>
      <c r="K129">
        <v>7.5691089034081005E-2</v>
      </c>
      <c r="L129">
        <f t="shared" si="22"/>
        <v>0</v>
      </c>
      <c r="M129">
        <v>7.8802409999999996E-3</v>
      </c>
      <c r="N129">
        <f t="shared" si="23"/>
        <v>0</v>
      </c>
      <c r="O129">
        <v>9.5106922090054002E-2</v>
      </c>
      <c r="P129">
        <f t="shared" si="24"/>
        <v>0</v>
      </c>
      <c r="Q129">
        <v>0.40092334200000002</v>
      </c>
      <c r="R129">
        <f t="shared" si="25"/>
        <v>0</v>
      </c>
      <c r="S129">
        <v>8.1301206955700003E-4</v>
      </c>
      <c r="T129">
        <f t="shared" si="21"/>
        <v>0</v>
      </c>
      <c r="U129" s="1">
        <v>0.38384578000000003</v>
      </c>
      <c r="V129">
        <v>0</v>
      </c>
      <c r="X129">
        <v>0</v>
      </c>
    </row>
    <row r="130" spans="1:24">
      <c r="A130" s="1">
        <v>0</v>
      </c>
      <c r="B130" s="1" t="s">
        <v>129</v>
      </c>
      <c r="C130" s="1">
        <v>0</v>
      </c>
      <c r="D130" s="33">
        <v>0</v>
      </c>
      <c r="E130" s="36">
        <v>0</v>
      </c>
      <c r="F130" s="37">
        <v>0</v>
      </c>
      <c r="G130">
        <v>0.311825097</v>
      </c>
      <c r="H130">
        <f t="shared" si="16"/>
        <v>0</v>
      </c>
      <c r="I130">
        <v>2.4750653654336999E-2</v>
      </c>
      <c r="J130">
        <f t="shared" si="17"/>
        <v>0</v>
      </c>
      <c r="K130">
        <v>0.18705524504184701</v>
      </c>
      <c r="L130">
        <f t="shared" si="22"/>
        <v>0</v>
      </c>
      <c r="M130">
        <v>0.14861011499999999</v>
      </c>
      <c r="N130">
        <f t="shared" si="23"/>
        <v>0</v>
      </c>
      <c r="O130">
        <v>0.10962144285440401</v>
      </c>
      <c r="P130">
        <f t="shared" si="24"/>
        <v>0</v>
      </c>
      <c r="Q130">
        <v>0.19299709800000001</v>
      </c>
      <c r="R130">
        <f t="shared" si="25"/>
        <v>0</v>
      </c>
      <c r="S130">
        <v>1.0650821961463001E-2</v>
      </c>
      <c r="T130">
        <f t="shared" si="21"/>
        <v>0</v>
      </c>
      <c r="U130" s="1">
        <v>0.42990499999999998</v>
      </c>
      <c r="V130">
        <v>0</v>
      </c>
      <c r="X130">
        <v>0</v>
      </c>
    </row>
    <row r="131" spans="1:24">
      <c r="A131" s="1">
        <v>0</v>
      </c>
      <c r="B131" s="1" t="s">
        <v>130</v>
      </c>
      <c r="C131" s="1">
        <v>0</v>
      </c>
      <c r="D131" s="33">
        <v>0</v>
      </c>
      <c r="E131" s="36">
        <v>0</v>
      </c>
      <c r="F131" s="37">
        <v>0</v>
      </c>
      <c r="G131" s="30">
        <v>6.0282743999999999E-2</v>
      </c>
      <c r="H131">
        <f t="shared" si="16"/>
        <v>0</v>
      </c>
      <c r="I131" s="30">
        <v>7.6190358959139998E-3</v>
      </c>
      <c r="J131">
        <f t="shared" si="17"/>
        <v>0</v>
      </c>
      <c r="K131" s="30">
        <v>0.107306629419327</v>
      </c>
      <c r="L131">
        <f t="shared" si="22"/>
        <v>0</v>
      </c>
      <c r="M131">
        <v>4.6622269999999997E-3</v>
      </c>
      <c r="N131">
        <f t="shared" si="23"/>
        <v>0</v>
      </c>
      <c r="O131">
        <v>1.3753302628170001E-3</v>
      </c>
      <c r="P131">
        <f t="shared" si="24"/>
        <v>0</v>
      </c>
      <c r="Q131">
        <v>0.12773221700000001</v>
      </c>
      <c r="R131">
        <f t="shared" si="25"/>
        <v>0</v>
      </c>
      <c r="S131">
        <v>2.3790914565300001E-4</v>
      </c>
      <c r="T131">
        <f t="shared" si="21"/>
        <v>0</v>
      </c>
      <c r="U131" s="1">
        <v>0.30322044999999997</v>
      </c>
      <c r="V131">
        <v>0</v>
      </c>
      <c r="X131">
        <v>0</v>
      </c>
    </row>
    <row r="132" spans="1:24">
      <c r="A132" s="1">
        <v>0</v>
      </c>
      <c r="B132" s="1" t="s">
        <v>131</v>
      </c>
      <c r="C132" s="1">
        <v>0</v>
      </c>
      <c r="D132" s="33">
        <v>1</v>
      </c>
      <c r="E132" s="36">
        <v>0</v>
      </c>
      <c r="F132" s="37">
        <v>0</v>
      </c>
      <c r="G132">
        <v>0.12576448900000001</v>
      </c>
      <c r="H132">
        <f t="shared" si="16"/>
        <v>0</v>
      </c>
      <c r="I132">
        <v>0.169603511691093</v>
      </c>
      <c r="J132">
        <f t="shared" si="17"/>
        <v>0</v>
      </c>
      <c r="K132">
        <v>0.38468858599662797</v>
      </c>
      <c r="L132">
        <f t="shared" si="22"/>
        <v>0</v>
      </c>
      <c r="M132">
        <v>2.5099819999999998E-2</v>
      </c>
      <c r="N132">
        <f t="shared" si="23"/>
        <v>0</v>
      </c>
      <c r="O132">
        <v>0.15694311261177099</v>
      </c>
      <c r="P132">
        <f t="shared" si="24"/>
        <v>0</v>
      </c>
      <c r="Q132">
        <v>0.31198573099999999</v>
      </c>
      <c r="R132">
        <f t="shared" si="25"/>
        <v>0</v>
      </c>
      <c r="S132">
        <v>6.0258861631160001E-3</v>
      </c>
      <c r="T132">
        <f t="shared" si="21"/>
        <v>0</v>
      </c>
      <c r="U132" s="1">
        <v>0.29469165000000003</v>
      </c>
      <c r="V132">
        <v>0</v>
      </c>
      <c r="X132">
        <v>0</v>
      </c>
    </row>
    <row r="133" spans="1:24">
      <c r="A133" s="1">
        <v>0</v>
      </c>
      <c r="B133" s="1" t="s">
        <v>132</v>
      </c>
      <c r="C133" s="1">
        <v>0</v>
      </c>
      <c r="D133" s="33">
        <v>0</v>
      </c>
      <c r="E133" s="36">
        <v>0</v>
      </c>
      <c r="F133" s="37">
        <v>0</v>
      </c>
      <c r="G133" s="30">
        <v>9.8229654E-2</v>
      </c>
      <c r="H133">
        <f t="shared" si="16"/>
        <v>0</v>
      </c>
      <c r="I133" s="30">
        <v>2.0771834533659999E-3</v>
      </c>
      <c r="J133">
        <f t="shared" si="17"/>
        <v>0</v>
      </c>
      <c r="K133">
        <v>2.6052748784422999E-2</v>
      </c>
      <c r="L133">
        <f t="shared" si="22"/>
        <v>0</v>
      </c>
      <c r="M133">
        <v>1.7197999999999999E-4</v>
      </c>
      <c r="N133">
        <f t="shared" si="23"/>
        <v>0</v>
      </c>
      <c r="O133">
        <v>6.3618868589400995E-2</v>
      </c>
      <c r="P133">
        <f t="shared" si="24"/>
        <v>0</v>
      </c>
      <c r="Q133" s="30">
        <v>0.12662614899999999</v>
      </c>
      <c r="R133">
        <f t="shared" si="25"/>
        <v>0</v>
      </c>
      <c r="S133" s="30">
        <v>3.5944601961546101E-8</v>
      </c>
      <c r="T133">
        <f t="shared" si="21"/>
        <v>0</v>
      </c>
      <c r="U133" s="1">
        <v>0.22697595000000001</v>
      </c>
      <c r="V133">
        <v>0</v>
      </c>
      <c r="X133">
        <v>0</v>
      </c>
    </row>
    <row r="134" spans="1:24">
      <c r="A134" s="1">
        <v>0</v>
      </c>
      <c r="B134" s="1" t="s">
        <v>133</v>
      </c>
      <c r="C134" s="1">
        <v>0</v>
      </c>
      <c r="D134" s="33">
        <v>0</v>
      </c>
      <c r="E134" s="37">
        <v>0</v>
      </c>
      <c r="F134" s="37">
        <v>0</v>
      </c>
      <c r="G134">
        <v>0.148423061</v>
      </c>
      <c r="H134">
        <f t="shared" si="16"/>
        <v>0</v>
      </c>
      <c r="I134">
        <v>4.2621575295925002E-2</v>
      </c>
      <c r="J134">
        <f t="shared" si="17"/>
        <v>0</v>
      </c>
      <c r="K134">
        <v>0.26447048783302302</v>
      </c>
      <c r="L134">
        <f t="shared" si="22"/>
        <v>0</v>
      </c>
      <c r="M134">
        <v>0.32988077399999999</v>
      </c>
      <c r="N134">
        <f t="shared" si="23"/>
        <v>0</v>
      </c>
      <c r="O134">
        <v>3.3132206648588E-2</v>
      </c>
      <c r="P134">
        <f t="shared" si="24"/>
        <v>0</v>
      </c>
      <c r="Q134">
        <v>0.45364493099999997</v>
      </c>
      <c r="R134">
        <f t="shared" si="25"/>
        <v>0</v>
      </c>
      <c r="S134">
        <v>0.37176901102066001</v>
      </c>
      <c r="T134">
        <f t="shared" si="21"/>
        <v>0</v>
      </c>
      <c r="U134" s="1">
        <v>0.71400580000000002</v>
      </c>
      <c r="V134">
        <v>1</v>
      </c>
      <c r="X134">
        <v>0</v>
      </c>
    </row>
    <row r="135" spans="1:24">
      <c r="A135" s="1">
        <v>0</v>
      </c>
      <c r="B135" s="1" t="s">
        <v>134</v>
      </c>
      <c r="C135" s="1">
        <v>0</v>
      </c>
      <c r="D135" s="33">
        <v>0</v>
      </c>
      <c r="E135" s="37">
        <v>1</v>
      </c>
      <c r="F135" s="37">
        <v>0</v>
      </c>
      <c r="G135" s="30">
        <v>0.233916134</v>
      </c>
      <c r="H135">
        <f t="shared" si="16"/>
        <v>0</v>
      </c>
      <c r="I135">
        <v>2.4769278243183999E-2</v>
      </c>
      <c r="J135">
        <f t="shared" si="17"/>
        <v>0</v>
      </c>
      <c r="K135">
        <v>0.236551329493523</v>
      </c>
      <c r="L135">
        <f t="shared" si="22"/>
        <v>0</v>
      </c>
      <c r="M135">
        <v>3.4875746999999999E-2</v>
      </c>
      <c r="N135">
        <f t="shared" si="23"/>
        <v>0</v>
      </c>
      <c r="O135">
        <v>4.5908361673354998E-2</v>
      </c>
      <c r="P135">
        <f t="shared" si="24"/>
        <v>0</v>
      </c>
      <c r="Q135">
        <v>0.34513169500000002</v>
      </c>
      <c r="R135">
        <f t="shared" si="25"/>
        <v>0</v>
      </c>
      <c r="S135">
        <v>8.7878229096529994E-3</v>
      </c>
      <c r="T135">
        <f t="shared" si="21"/>
        <v>0</v>
      </c>
      <c r="U135" s="1">
        <v>0.65486056000000004</v>
      </c>
      <c r="V135">
        <v>1</v>
      </c>
      <c r="X135">
        <v>0</v>
      </c>
    </row>
    <row r="136" spans="1:24">
      <c r="A136" s="1">
        <v>0</v>
      </c>
      <c r="B136" s="5" t="s">
        <v>135</v>
      </c>
      <c r="C136" s="1">
        <v>0</v>
      </c>
      <c r="D136" s="33">
        <v>0</v>
      </c>
      <c r="E136" s="36">
        <v>0</v>
      </c>
      <c r="F136" s="37">
        <v>0</v>
      </c>
      <c r="G136" s="30">
        <v>1.6458394000000001E-2</v>
      </c>
      <c r="H136">
        <f t="shared" si="16"/>
        <v>0</v>
      </c>
      <c r="I136" s="30">
        <v>3.4257542341948E-2</v>
      </c>
      <c r="J136">
        <f t="shared" si="17"/>
        <v>0</v>
      </c>
      <c r="K136">
        <v>2.0076537504791998E-2</v>
      </c>
      <c r="L136">
        <f t="shared" si="22"/>
        <v>0</v>
      </c>
      <c r="M136" s="30">
        <v>6.09511E-5</v>
      </c>
      <c r="N136">
        <f t="shared" si="23"/>
        <v>0</v>
      </c>
      <c r="O136">
        <v>1.1874473653733999E-2</v>
      </c>
      <c r="P136">
        <f t="shared" si="24"/>
        <v>0</v>
      </c>
      <c r="Q136">
        <v>0.16999082300000001</v>
      </c>
      <c r="R136">
        <f t="shared" si="25"/>
        <v>0</v>
      </c>
      <c r="S136">
        <v>1.2575216591357999E-2</v>
      </c>
      <c r="T136">
        <f t="shared" si="21"/>
        <v>0</v>
      </c>
      <c r="U136" s="5">
        <v>0.28654154999999998</v>
      </c>
      <c r="V136">
        <v>0</v>
      </c>
      <c r="X136">
        <v>0</v>
      </c>
    </row>
    <row r="137" spans="1:24">
      <c r="A137" s="1">
        <v>0</v>
      </c>
      <c r="B137" s="1" t="s">
        <v>136</v>
      </c>
      <c r="C137" s="1">
        <v>0</v>
      </c>
      <c r="D137" s="33">
        <v>0</v>
      </c>
      <c r="E137" s="36">
        <v>0</v>
      </c>
      <c r="F137" s="37">
        <v>0</v>
      </c>
      <c r="G137" s="30">
        <v>3.5878110999999997E-2</v>
      </c>
      <c r="H137">
        <f t="shared" si="16"/>
        <v>0</v>
      </c>
      <c r="I137">
        <v>3.2831583172082998E-2</v>
      </c>
      <c r="J137">
        <f t="shared" si="17"/>
        <v>0</v>
      </c>
      <c r="K137">
        <v>0.37779805064201299</v>
      </c>
      <c r="L137">
        <f t="shared" si="22"/>
        <v>0</v>
      </c>
      <c r="M137">
        <v>1.7539335E-2</v>
      </c>
      <c r="N137">
        <f t="shared" si="23"/>
        <v>0</v>
      </c>
      <c r="O137">
        <v>5.8679901063442001E-2</v>
      </c>
      <c r="P137">
        <f t="shared" si="24"/>
        <v>0</v>
      </c>
      <c r="Q137">
        <v>0.24524341499999999</v>
      </c>
      <c r="R137">
        <f t="shared" si="25"/>
        <v>0</v>
      </c>
      <c r="S137">
        <v>3.3397987484932001E-2</v>
      </c>
      <c r="T137">
        <f t="shared" si="21"/>
        <v>0</v>
      </c>
      <c r="U137" s="1">
        <v>0.32872614</v>
      </c>
      <c r="V137">
        <v>0</v>
      </c>
      <c r="X137">
        <v>0</v>
      </c>
    </row>
    <row r="138" spans="1:24">
      <c r="A138" s="1">
        <v>0</v>
      </c>
      <c r="B138" s="7" t="s">
        <v>137</v>
      </c>
      <c r="C138" s="1">
        <v>0</v>
      </c>
      <c r="D138" s="33">
        <v>0</v>
      </c>
      <c r="E138" s="36">
        <v>0</v>
      </c>
      <c r="F138" s="37">
        <v>0</v>
      </c>
      <c r="G138" s="30">
        <v>0.13495323100000001</v>
      </c>
      <c r="H138">
        <f t="shared" si="16"/>
        <v>0</v>
      </c>
      <c r="I138">
        <v>1.6183994710445002E-2</v>
      </c>
      <c r="J138">
        <f t="shared" si="17"/>
        <v>0</v>
      </c>
      <c r="K138">
        <v>6.3255101442336994E-2</v>
      </c>
      <c r="L138">
        <f t="shared" si="22"/>
        <v>0</v>
      </c>
      <c r="M138">
        <v>1.4315725E-2</v>
      </c>
      <c r="N138">
        <f t="shared" si="23"/>
        <v>0</v>
      </c>
      <c r="O138">
        <v>2.059898106381E-3</v>
      </c>
      <c r="P138">
        <f t="shared" si="24"/>
        <v>0</v>
      </c>
      <c r="Q138">
        <v>0.25496607999999998</v>
      </c>
      <c r="R138">
        <f t="shared" si="25"/>
        <v>0</v>
      </c>
      <c r="S138">
        <v>7.6203881762919997E-3</v>
      </c>
      <c r="T138">
        <f t="shared" si="21"/>
        <v>0</v>
      </c>
      <c r="U138" s="7">
        <v>0.31015231999999998</v>
      </c>
      <c r="V138">
        <v>0</v>
      </c>
      <c r="X138">
        <v>1</v>
      </c>
    </row>
    <row r="139" spans="1:24">
      <c r="A139" s="1">
        <v>0</v>
      </c>
      <c r="B139" s="7" t="s">
        <v>138</v>
      </c>
      <c r="C139" s="1">
        <v>0</v>
      </c>
      <c r="D139" s="33">
        <v>0</v>
      </c>
      <c r="E139" s="37">
        <v>1</v>
      </c>
      <c r="F139" s="37">
        <v>0</v>
      </c>
      <c r="G139">
        <v>0.93844908500000002</v>
      </c>
      <c r="H139">
        <f t="shared" si="16"/>
        <v>1</v>
      </c>
      <c r="I139">
        <v>0.93513220548629805</v>
      </c>
      <c r="J139">
        <f t="shared" si="17"/>
        <v>1</v>
      </c>
      <c r="K139">
        <v>0.68142628669738803</v>
      </c>
      <c r="L139">
        <f t="shared" si="22"/>
        <v>1</v>
      </c>
      <c r="M139">
        <v>0.85660976200000005</v>
      </c>
      <c r="N139">
        <f t="shared" si="23"/>
        <v>1</v>
      </c>
      <c r="O139">
        <v>0.99853169918060303</v>
      </c>
      <c r="P139">
        <f t="shared" si="24"/>
        <v>1</v>
      </c>
      <c r="Q139">
        <v>0.71363210700000002</v>
      </c>
      <c r="R139">
        <f t="shared" si="25"/>
        <v>1</v>
      </c>
      <c r="S139">
        <v>0.96174573898315396</v>
      </c>
      <c r="T139">
        <f t="shared" si="21"/>
        <v>1</v>
      </c>
      <c r="U139" s="7">
        <v>0.75756540000000006</v>
      </c>
      <c r="V139">
        <v>1</v>
      </c>
      <c r="X139">
        <v>1</v>
      </c>
    </row>
    <row r="140" spans="1:24">
      <c r="A140" s="1">
        <v>0</v>
      </c>
      <c r="B140" s="1" t="s">
        <v>139</v>
      </c>
      <c r="C140" s="1">
        <v>0</v>
      </c>
      <c r="D140" s="33">
        <v>1</v>
      </c>
      <c r="E140" s="37">
        <v>0</v>
      </c>
      <c r="F140" s="37">
        <v>0</v>
      </c>
      <c r="G140">
        <v>4.4448073999999997E-2</v>
      </c>
      <c r="H140">
        <f t="shared" si="16"/>
        <v>0</v>
      </c>
      <c r="I140">
        <v>0.489819526672363</v>
      </c>
      <c r="J140">
        <f t="shared" si="17"/>
        <v>0</v>
      </c>
      <c r="K140">
        <v>0.28371480107307401</v>
      </c>
      <c r="L140">
        <f t="shared" si="22"/>
        <v>0</v>
      </c>
      <c r="M140">
        <v>0.41181042800000001</v>
      </c>
      <c r="N140">
        <f t="shared" si="23"/>
        <v>0</v>
      </c>
      <c r="O140">
        <v>5.9748098254203998E-2</v>
      </c>
      <c r="P140">
        <f t="shared" si="24"/>
        <v>0</v>
      </c>
      <c r="Q140">
        <v>0.36440253299999997</v>
      </c>
      <c r="R140">
        <f t="shared" si="25"/>
        <v>0</v>
      </c>
      <c r="S140">
        <v>3.5532169044018E-2</v>
      </c>
      <c r="T140">
        <f t="shared" si="21"/>
        <v>0</v>
      </c>
      <c r="U140" s="1">
        <v>0.57106005999999998</v>
      </c>
      <c r="V140">
        <v>0</v>
      </c>
      <c r="X140">
        <v>0</v>
      </c>
    </row>
    <row r="141" spans="1:24">
      <c r="A141" s="1">
        <v>0</v>
      </c>
      <c r="B141" s="1" t="s">
        <v>140</v>
      </c>
      <c r="C141" s="1">
        <v>0</v>
      </c>
      <c r="D141" s="33">
        <v>0</v>
      </c>
      <c r="E141" s="36">
        <v>0</v>
      </c>
      <c r="F141" s="37">
        <v>0</v>
      </c>
      <c r="G141">
        <v>0.15477733299999999</v>
      </c>
      <c r="H141">
        <f t="shared" si="16"/>
        <v>0</v>
      </c>
      <c r="I141">
        <v>0.27848288416862499</v>
      </c>
      <c r="J141">
        <f t="shared" si="17"/>
        <v>0</v>
      </c>
      <c r="K141">
        <v>0.397126585245132</v>
      </c>
      <c r="L141">
        <f t="shared" si="22"/>
        <v>0</v>
      </c>
      <c r="M141">
        <v>2.8904554999999998E-2</v>
      </c>
      <c r="N141">
        <f t="shared" si="23"/>
        <v>0</v>
      </c>
      <c r="O141">
        <v>0.402879297733307</v>
      </c>
      <c r="P141">
        <f t="shared" si="24"/>
        <v>0</v>
      </c>
      <c r="Q141">
        <v>0.59129655400000003</v>
      </c>
      <c r="R141">
        <f t="shared" si="25"/>
        <v>1</v>
      </c>
      <c r="S141">
        <v>0.39625024795532199</v>
      </c>
      <c r="T141">
        <f t="shared" si="21"/>
        <v>0</v>
      </c>
      <c r="U141" s="1">
        <v>0.72668679999999997</v>
      </c>
      <c r="V141">
        <v>1</v>
      </c>
      <c r="X141">
        <v>0</v>
      </c>
    </row>
    <row r="142" spans="1:24">
      <c r="A142" s="1">
        <v>0</v>
      </c>
      <c r="B142" s="1" t="s">
        <v>141</v>
      </c>
      <c r="C142" s="1">
        <v>0</v>
      </c>
      <c r="D142" s="33">
        <v>1</v>
      </c>
      <c r="E142" s="37">
        <v>0</v>
      </c>
      <c r="F142" s="37">
        <v>0</v>
      </c>
      <c r="G142">
        <v>6.7553407999999995E-2</v>
      </c>
      <c r="H142">
        <f t="shared" si="16"/>
        <v>0</v>
      </c>
      <c r="I142">
        <v>2.1296806633473001E-2</v>
      </c>
      <c r="J142">
        <f t="shared" si="17"/>
        <v>0</v>
      </c>
      <c r="K142">
        <v>9.6388295292854004E-2</v>
      </c>
      <c r="L142">
        <f t="shared" si="22"/>
        <v>0</v>
      </c>
      <c r="M142">
        <v>8.6403580000000008E-3</v>
      </c>
      <c r="N142">
        <f t="shared" si="23"/>
        <v>0</v>
      </c>
      <c r="O142">
        <v>1.2067687697709001E-2</v>
      </c>
      <c r="P142">
        <f t="shared" si="24"/>
        <v>0</v>
      </c>
      <c r="Q142">
        <v>0.41437158000000002</v>
      </c>
      <c r="R142">
        <f t="shared" si="25"/>
        <v>0</v>
      </c>
      <c r="S142" s="30">
        <v>9.4417584477923797E-5</v>
      </c>
      <c r="T142">
        <f t="shared" si="21"/>
        <v>0</v>
      </c>
      <c r="U142" s="1">
        <v>0.44559777</v>
      </c>
      <c r="V142">
        <v>0</v>
      </c>
      <c r="X142">
        <v>0</v>
      </c>
    </row>
    <row r="143" spans="1:24">
      <c r="A143" s="1">
        <v>0</v>
      </c>
      <c r="B143" s="1" t="s">
        <v>142</v>
      </c>
      <c r="C143" s="1">
        <v>0</v>
      </c>
      <c r="D143" s="33">
        <v>0</v>
      </c>
      <c r="E143" s="36">
        <v>0</v>
      </c>
      <c r="F143" s="37">
        <v>0</v>
      </c>
      <c r="G143">
        <v>2.5942397999999998E-2</v>
      </c>
      <c r="H143">
        <f t="shared" si="16"/>
        <v>0</v>
      </c>
      <c r="I143">
        <v>4.476436879486E-3</v>
      </c>
      <c r="J143">
        <f t="shared" si="17"/>
        <v>0</v>
      </c>
      <c r="K143">
        <v>4.2664084583521E-2</v>
      </c>
      <c r="L143">
        <f t="shared" si="22"/>
        <v>0</v>
      </c>
      <c r="M143">
        <v>0.30741211800000001</v>
      </c>
      <c r="N143">
        <f t="shared" si="23"/>
        <v>0</v>
      </c>
      <c r="O143">
        <v>1.1238521256E-4</v>
      </c>
      <c r="P143">
        <f t="shared" si="24"/>
        <v>0</v>
      </c>
      <c r="Q143">
        <v>0.245757326</v>
      </c>
      <c r="R143">
        <f t="shared" si="25"/>
        <v>0</v>
      </c>
      <c r="S143">
        <v>1.0477413423359E-2</v>
      </c>
      <c r="T143">
        <f t="shared" si="21"/>
        <v>0</v>
      </c>
      <c r="U143" s="1">
        <v>0.42560740000000002</v>
      </c>
      <c r="V143">
        <v>0</v>
      </c>
      <c r="X143">
        <v>0</v>
      </c>
    </row>
    <row r="144" spans="1:24">
      <c r="A144" s="1">
        <v>0</v>
      </c>
      <c r="B144" s="1" t="s">
        <v>143</v>
      </c>
      <c r="C144" s="1">
        <v>0</v>
      </c>
      <c r="D144" s="33">
        <v>0</v>
      </c>
      <c r="E144" s="36">
        <v>0</v>
      </c>
      <c r="F144" s="37">
        <v>0</v>
      </c>
      <c r="G144">
        <v>1.4204947000000001E-2</v>
      </c>
      <c r="H144">
        <f t="shared" si="16"/>
        <v>0</v>
      </c>
      <c r="I144">
        <v>3.8453834131360002E-3</v>
      </c>
      <c r="J144">
        <f t="shared" si="17"/>
        <v>0</v>
      </c>
      <c r="K144">
        <v>2.6775289326906E-2</v>
      </c>
      <c r="L144">
        <f t="shared" si="22"/>
        <v>0</v>
      </c>
      <c r="M144">
        <v>4.6951509999999998E-3</v>
      </c>
      <c r="N144">
        <f t="shared" si="23"/>
        <v>0</v>
      </c>
      <c r="O144">
        <v>3.2474694307890002E-3</v>
      </c>
      <c r="P144">
        <f t="shared" si="24"/>
        <v>0</v>
      </c>
      <c r="Q144">
        <v>0.23906142999999999</v>
      </c>
      <c r="R144">
        <f t="shared" si="25"/>
        <v>0</v>
      </c>
      <c r="S144">
        <v>3.2405867241320002E-3</v>
      </c>
      <c r="T144">
        <f t="shared" si="21"/>
        <v>0</v>
      </c>
      <c r="U144" s="1">
        <v>0.59002690000000002</v>
      </c>
      <c r="V144">
        <v>0</v>
      </c>
      <c r="X144">
        <v>0</v>
      </c>
    </row>
    <row r="145" spans="1:24">
      <c r="A145" s="1">
        <v>0</v>
      </c>
      <c r="B145" s="7" t="s">
        <v>144</v>
      </c>
      <c r="C145" s="1">
        <v>0</v>
      </c>
      <c r="D145" s="33">
        <v>0</v>
      </c>
      <c r="E145" s="37">
        <v>1</v>
      </c>
      <c r="F145" s="37">
        <v>0</v>
      </c>
      <c r="G145">
        <v>4.5006901000000002E-2</v>
      </c>
      <c r="H145">
        <f t="shared" si="16"/>
        <v>0</v>
      </c>
      <c r="I145">
        <v>0.196049824357033</v>
      </c>
      <c r="J145">
        <f t="shared" si="17"/>
        <v>0</v>
      </c>
      <c r="K145">
        <v>2.1145591512322998E-2</v>
      </c>
      <c r="L145">
        <f t="shared" si="22"/>
        <v>0</v>
      </c>
      <c r="M145">
        <v>1.020008E-3</v>
      </c>
      <c r="N145">
        <f t="shared" si="23"/>
        <v>0</v>
      </c>
      <c r="O145">
        <v>6.7673339508469996E-3</v>
      </c>
      <c r="P145">
        <f t="shared" si="24"/>
        <v>0</v>
      </c>
      <c r="Q145">
        <v>0.30622831</v>
      </c>
      <c r="R145">
        <f t="shared" si="25"/>
        <v>0</v>
      </c>
      <c r="S145">
        <v>3.9132020901899998E-4</v>
      </c>
      <c r="T145">
        <f t="shared" si="21"/>
        <v>0</v>
      </c>
      <c r="U145" s="7">
        <v>0.37298036000000001</v>
      </c>
      <c r="V145">
        <v>0</v>
      </c>
      <c r="X145">
        <v>1</v>
      </c>
    </row>
    <row r="146" spans="1:24">
      <c r="A146" s="1">
        <v>0</v>
      </c>
      <c r="B146" s="1" t="s">
        <v>145</v>
      </c>
      <c r="C146" s="1">
        <v>0</v>
      </c>
      <c r="D146" s="33">
        <v>0</v>
      </c>
      <c r="E146" s="36">
        <v>0</v>
      </c>
      <c r="F146" s="37">
        <v>0</v>
      </c>
      <c r="G146">
        <v>0.480093926</v>
      </c>
      <c r="H146">
        <f t="shared" si="16"/>
        <v>0</v>
      </c>
      <c r="I146">
        <v>8.0607816576957994E-2</v>
      </c>
      <c r="J146">
        <f t="shared" si="17"/>
        <v>0</v>
      </c>
      <c r="K146">
        <v>0.33294174075126598</v>
      </c>
      <c r="L146">
        <f t="shared" ref="L146:L177" si="26">IF(K146&gt;$A$2,1,0)</f>
        <v>0</v>
      </c>
      <c r="M146">
        <v>1.4860724000000001E-2</v>
      </c>
      <c r="N146">
        <f t="shared" ref="N146:N177" si="27">IF(M146&gt;$A$2,1,0)</f>
        <v>0</v>
      </c>
      <c r="O146">
        <v>0.74761152267455999</v>
      </c>
      <c r="P146">
        <f t="shared" ref="P146:P177" si="28">IF(O146&gt;$A$2,1,0)</f>
        <v>1</v>
      </c>
      <c r="Q146">
        <v>0.41014361399999999</v>
      </c>
      <c r="R146">
        <f t="shared" ref="R146:R177" si="29">IF(Q146&gt;$A$2,1,0)</f>
        <v>0</v>
      </c>
      <c r="S146">
        <v>0.12572720646858199</v>
      </c>
      <c r="T146">
        <f t="shared" si="21"/>
        <v>0</v>
      </c>
      <c r="U146" s="1">
        <v>0.62879529999999995</v>
      </c>
      <c r="V146">
        <v>1</v>
      </c>
      <c r="X146">
        <v>0</v>
      </c>
    </row>
    <row r="147" spans="1:24">
      <c r="A147" s="1">
        <v>0</v>
      </c>
      <c r="B147" s="1" t="s">
        <v>146</v>
      </c>
      <c r="C147" s="1">
        <v>0</v>
      </c>
      <c r="D147" s="33">
        <v>0</v>
      </c>
      <c r="E147" s="36">
        <v>0</v>
      </c>
      <c r="F147" s="37">
        <v>0</v>
      </c>
      <c r="G147" s="30">
        <v>9.7542100000000007E-2</v>
      </c>
      <c r="H147">
        <f t="shared" si="16"/>
        <v>0</v>
      </c>
      <c r="I147" s="30">
        <v>1.2297108769417E-2</v>
      </c>
      <c r="J147">
        <f t="shared" si="17"/>
        <v>0</v>
      </c>
      <c r="K147">
        <v>2.5239685550332E-2</v>
      </c>
      <c r="L147">
        <f t="shared" si="26"/>
        <v>0</v>
      </c>
      <c r="M147" s="30">
        <v>9.6719300000000001E-6</v>
      </c>
      <c r="N147">
        <f t="shared" si="27"/>
        <v>0</v>
      </c>
      <c r="O147">
        <v>0.13465413451194799</v>
      </c>
      <c r="P147">
        <f t="shared" si="28"/>
        <v>0</v>
      </c>
      <c r="Q147">
        <v>0.29796564599999997</v>
      </c>
      <c r="R147">
        <f t="shared" si="29"/>
        <v>0</v>
      </c>
      <c r="S147">
        <v>4.8563748714499998E-4</v>
      </c>
      <c r="T147">
        <f t="shared" si="21"/>
        <v>0</v>
      </c>
      <c r="U147" s="1">
        <v>0.27584920000000002</v>
      </c>
      <c r="V147">
        <v>0</v>
      </c>
      <c r="X147">
        <v>0</v>
      </c>
    </row>
    <row r="148" spans="1:24">
      <c r="A148" s="1">
        <v>0</v>
      </c>
      <c r="B148" s="1" t="s">
        <v>147</v>
      </c>
      <c r="C148" s="1">
        <v>0</v>
      </c>
      <c r="D148" s="33">
        <v>1</v>
      </c>
      <c r="E148" s="37">
        <v>1</v>
      </c>
      <c r="F148" s="37">
        <v>1</v>
      </c>
      <c r="G148">
        <v>0.51885020699999995</v>
      </c>
      <c r="H148">
        <f t="shared" si="16"/>
        <v>1</v>
      </c>
      <c r="I148">
        <v>0.203592449426651</v>
      </c>
      <c r="J148">
        <f t="shared" si="17"/>
        <v>0</v>
      </c>
      <c r="K148">
        <v>0.60584723949432395</v>
      </c>
      <c r="L148">
        <f t="shared" si="26"/>
        <v>1</v>
      </c>
      <c r="M148">
        <v>1.2495559E-2</v>
      </c>
      <c r="N148">
        <f t="shared" si="27"/>
        <v>0</v>
      </c>
      <c r="O148">
        <v>9.1527611017227006E-2</v>
      </c>
      <c r="P148">
        <f t="shared" si="28"/>
        <v>0</v>
      </c>
      <c r="Q148" s="30">
        <v>0.26090851399999998</v>
      </c>
      <c r="R148">
        <f t="shared" si="29"/>
        <v>0</v>
      </c>
      <c r="S148">
        <v>3.1552799046039998E-2</v>
      </c>
      <c r="T148">
        <f t="shared" si="21"/>
        <v>0</v>
      </c>
      <c r="U148" s="1">
        <v>0.31648248000000001</v>
      </c>
      <c r="V148">
        <v>0</v>
      </c>
      <c r="X148">
        <v>0</v>
      </c>
    </row>
    <row r="149" spans="1:24">
      <c r="A149" s="1">
        <v>0</v>
      </c>
      <c r="B149" s="1" t="s">
        <v>148</v>
      </c>
      <c r="C149" s="1">
        <v>0</v>
      </c>
      <c r="D149" s="33">
        <v>1</v>
      </c>
      <c r="E149" s="37">
        <v>1</v>
      </c>
      <c r="F149" s="37">
        <v>0</v>
      </c>
      <c r="G149">
        <v>0.49878576400000002</v>
      </c>
      <c r="H149">
        <f t="shared" si="16"/>
        <v>0</v>
      </c>
      <c r="I149">
        <v>0.787461757659912</v>
      </c>
      <c r="J149">
        <f t="shared" si="17"/>
        <v>1</v>
      </c>
      <c r="K149">
        <v>0.49285447597503701</v>
      </c>
      <c r="L149">
        <f t="shared" si="26"/>
        <v>0</v>
      </c>
      <c r="M149">
        <v>0.33441811799999999</v>
      </c>
      <c r="N149">
        <f t="shared" si="27"/>
        <v>0</v>
      </c>
      <c r="O149">
        <v>0.98073709011077903</v>
      </c>
      <c r="P149">
        <f t="shared" si="28"/>
        <v>1</v>
      </c>
      <c r="Q149">
        <v>0.83091557000000005</v>
      </c>
      <c r="R149">
        <f t="shared" si="29"/>
        <v>1</v>
      </c>
      <c r="S149">
        <v>0.86757707595825195</v>
      </c>
      <c r="T149">
        <f t="shared" si="21"/>
        <v>1</v>
      </c>
      <c r="U149" s="1">
        <v>0.71149110000000004</v>
      </c>
      <c r="V149">
        <v>1</v>
      </c>
      <c r="X149">
        <v>0</v>
      </c>
    </row>
    <row r="150" spans="1:24">
      <c r="A150" s="1">
        <v>0</v>
      </c>
      <c r="B150" s="1" t="s">
        <v>149</v>
      </c>
      <c r="C150" s="1">
        <v>0</v>
      </c>
      <c r="D150" s="33">
        <v>0</v>
      </c>
      <c r="E150" s="36">
        <v>0</v>
      </c>
      <c r="F150" s="37">
        <v>0</v>
      </c>
      <c r="G150">
        <v>0.26931205400000002</v>
      </c>
      <c r="H150">
        <f t="shared" si="16"/>
        <v>0</v>
      </c>
      <c r="I150">
        <v>3.8888841867446997E-2</v>
      </c>
      <c r="J150">
        <f t="shared" si="17"/>
        <v>0</v>
      </c>
      <c r="K150">
        <v>0.29234361648559598</v>
      </c>
      <c r="L150">
        <f t="shared" si="26"/>
        <v>0</v>
      </c>
      <c r="M150">
        <v>0.122110307</v>
      </c>
      <c r="N150">
        <f t="shared" si="27"/>
        <v>0</v>
      </c>
      <c r="O150">
        <v>0.31948825716972301</v>
      </c>
      <c r="P150">
        <f t="shared" si="28"/>
        <v>0</v>
      </c>
      <c r="Q150">
        <v>0.49828493600000001</v>
      </c>
      <c r="R150">
        <f t="shared" si="29"/>
        <v>0</v>
      </c>
      <c r="S150">
        <v>0.56539106369018499</v>
      </c>
      <c r="T150">
        <f t="shared" si="21"/>
        <v>1</v>
      </c>
      <c r="U150" s="1">
        <v>0.34305330000000001</v>
      </c>
      <c r="V150">
        <v>0</v>
      </c>
      <c r="X150">
        <v>0</v>
      </c>
    </row>
    <row r="151" spans="1:24">
      <c r="A151" s="1">
        <v>0</v>
      </c>
      <c r="B151" s="1" t="s">
        <v>150</v>
      </c>
      <c r="C151" s="1">
        <v>0</v>
      </c>
      <c r="D151" s="33">
        <v>0</v>
      </c>
      <c r="E151" s="36">
        <v>0</v>
      </c>
      <c r="F151" s="37">
        <v>0</v>
      </c>
      <c r="G151" s="30">
        <v>0.18000856000000001</v>
      </c>
      <c r="H151">
        <f t="shared" si="16"/>
        <v>0</v>
      </c>
      <c r="I151" s="30">
        <v>2.0754089578986001E-2</v>
      </c>
      <c r="J151">
        <f t="shared" si="17"/>
        <v>0</v>
      </c>
      <c r="K151" s="30">
        <v>5.6533470749855E-2</v>
      </c>
      <c r="L151">
        <f t="shared" si="26"/>
        <v>0</v>
      </c>
      <c r="M151">
        <v>3.7158299999999998E-4</v>
      </c>
      <c r="N151">
        <f t="shared" si="27"/>
        <v>0</v>
      </c>
      <c r="O151">
        <v>3.0333788599819999E-3</v>
      </c>
      <c r="P151">
        <f t="shared" si="28"/>
        <v>0</v>
      </c>
      <c r="Q151">
        <v>5.6485674999999999E-2</v>
      </c>
      <c r="R151">
        <f t="shared" si="29"/>
        <v>0</v>
      </c>
      <c r="S151">
        <v>1.84214062756E-4</v>
      </c>
      <c r="T151">
        <f t="shared" si="21"/>
        <v>0</v>
      </c>
      <c r="U151" s="1">
        <v>0.27318870000000001</v>
      </c>
      <c r="V151">
        <v>0</v>
      </c>
      <c r="X151">
        <v>0</v>
      </c>
    </row>
    <row r="152" spans="1:24">
      <c r="A152" s="1">
        <v>0</v>
      </c>
      <c r="B152" s="1" t="s">
        <v>151</v>
      </c>
      <c r="C152" s="1">
        <v>0</v>
      </c>
      <c r="D152" s="33">
        <v>0</v>
      </c>
      <c r="E152" s="36">
        <v>0</v>
      </c>
      <c r="F152" s="37">
        <v>0</v>
      </c>
      <c r="G152" s="30">
        <v>2.6953392E-2</v>
      </c>
      <c r="H152">
        <f t="shared" ref="H152:H215" si="30">IF(G152&gt;$A$2,1,0)</f>
        <v>0</v>
      </c>
      <c r="I152" s="30">
        <v>5.8104677009396302E-5</v>
      </c>
      <c r="J152">
        <f t="shared" ref="J152:J215" si="31">IF(I152&gt;$A$2,1,0)</f>
        <v>0</v>
      </c>
      <c r="K152" s="30">
        <v>2.0711647812280002E-3</v>
      </c>
      <c r="L152">
        <f t="shared" si="26"/>
        <v>0</v>
      </c>
      <c r="M152" s="30">
        <v>2.4864500000000001E-8</v>
      </c>
      <c r="N152">
        <f t="shared" si="27"/>
        <v>0</v>
      </c>
      <c r="O152" s="30">
        <v>1.4055217434361101E-6</v>
      </c>
      <c r="P152">
        <f t="shared" si="28"/>
        <v>0</v>
      </c>
      <c r="Q152">
        <v>9.5551549999999999E-2</v>
      </c>
      <c r="R152">
        <f t="shared" si="29"/>
        <v>0</v>
      </c>
      <c r="S152">
        <v>2.4139223387500001E-4</v>
      </c>
      <c r="T152">
        <f>IF(S152&gt;$A$2,1,0)</f>
        <v>0</v>
      </c>
      <c r="U152" s="1">
        <v>0.23419860000000001</v>
      </c>
      <c r="V152">
        <v>0</v>
      </c>
      <c r="X152">
        <v>0</v>
      </c>
    </row>
    <row r="153" spans="1:24">
      <c r="A153" s="1">
        <v>0</v>
      </c>
      <c r="B153" s="1" t="s">
        <v>152</v>
      </c>
      <c r="C153" s="1">
        <v>0</v>
      </c>
      <c r="D153" s="33">
        <v>1</v>
      </c>
      <c r="E153" s="36">
        <v>0</v>
      </c>
      <c r="F153" s="37">
        <v>0</v>
      </c>
      <c r="G153">
        <v>8.3646432000000007E-2</v>
      </c>
      <c r="H153">
        <f t="shared" si="30"/>
        <v>0</v>
      </c>
      <c r="I153">
        <v>0.179393336176872</v>
      </c>
      <c r="J153">
        <f t="shared" si="31"/>
        <v>0</v>
      </c>
      <c r="K153">
        <v>0.12419074773788399</v>
      </c>
      <c r="L153">
        <f t="shared" si="26"/>
        <v>0</v>
      </c>
      <c r="M153">
        <v>8.1253590000000004E-3</v>
      </c>
      <c r="N153">
        <f t="shared" si="27"/>
        <v>0</v>
      </c>
      <c r="O153">
        <v>1.3750459067524E-2</v>
      </c>
      <c r="P153">
        <f t="shared" si="28"/>
        <v>0</v>
      </c>
      <c r="Q153">
        <v>0.21928529399999999</v>
      </c>
      <c r="R153">
        <f t="shared" si="29"/>
        <v>0</v>
      </c>
      <c r="S153">
        <v>1.9354801625013001E-2</v>
      </c>
      <c r="T153">
        <f>IF(S153&gt;$A$2,1,0)</f>
        <v>0</v>
      </c>
      <c r="U153" s="1">
        <v>0.44073072000000002</v>
      </c>
      <c r="V153">
        <v>0</v>
      </c>
      <c r="X153">
        <v>0</v>
      </c>
    </row>
    <row r="154" spans="1:24">
      <c r="A154" s="1">
        <v>0</v>
      </c>
      <c r="B154" s="1" t="s">
        <v>153</v>
      </c>
      <c r="C154" s="1">
        <v>0</v>
      </c>
      <c r="D154" s="33">
        <v>0</v>
      </c>
      <c r="E154" s="36">
        <v>0</v>
      </c>
      <c r="F154" s="37">
        <v>0</v>
      </c>
      <c r="G154" s="30">
        <v>8.5052646999999995E-2</v>
      </c>
      <c r="H154">
        <f t="shared" si="30"/>
        <v>0</v>
      </c>
      <c r="I154">
        <v>4.0601689368486002E-2</v>
      </c>
      <c r="J154">
        <f t="shared" si="31"/>
        <v>0</v>
      </c>
      <c r="K154">
        <v>0.57854628562927202</v>
      </c>
      <c r="L154">
        <f t="shared" si="26"/>
        <v>1</v>
      </c>
      <c r="M154">
        <v>2.4025343000000001E-2</v>
      </c>
      <c r="N154">
        <f t="shared" si="27"/>
        <v>0</v>
      </c>
      <c r="O154">
        <v>0.170042499899864</v>
      </c>
      <c r="P154">
        <f t="shared" si="28"/>
        <v>0</v>
      </c>
      <c r="Q154">
        <v>0.70592337800000005</v>
      </c>
      <c r="R154">
        <f t="shared" si="29"/>
        <v>1</v>
      </c>
      <c r="S154">
        <v>1.4734447468070001E-3</v>
      </c>
      <c r="T154">
        <f t="shared" ref="T154:T217" si="32">IF(S154&gt;$A$2,1,0)</f>
        <v>0</v>
      </c>
      <c r="U154" s="1">
        <v>0.56365350000000003</v>
      </c>
      <c r="V154">
        <v>0</v>
      </c>
      <c r="X154">
        <v>0</v>
      </c>
    </row>
    <row r="155" spans="1:24">
      <c r="A155" s="1">
        <v>0</v>
      </c>
      <c r="B155" s="1" t="s">
        <v>154</v>
      </c>
      <c r="C155" s="1">
        <v>0</v>
      </c>
      <c r="D155" s="33">
        <v>0</v>
      </c>
      <c r="E155" s="36">
        <v>0</v>
      </c>
      <c r="F155" s="37">
        <v>0</v>
      </c>
      <c r="G155">
        <v>0.22388434400000001</v>
      </c>
      <c r="H155">
        <f t="shared" si="30"/>
        <v>0</v>
      </c>
      <c r="I155">
        <v>4.7187488526105999E-2</v>
      </c>
      <c r="J155">
        <f t="shared" si="31"/>
        <v>0</v>
      </c>
      <c r="K155">
        <v>0.15592107176780701</v>
      </c>
      <c r="L155">
        <f t="shared" si="26"/>
        <v>0</v>
      </c>
      <c r="M155">
        <v>9.7057856999999997E-2</v>
      </c>
      <c r="N155">
        <f t="shared" si="27"/>
        <v>0</v>
      </c>
      <c r="O155">
        <v>0.13737861812114699</v>
      </c>
      <c r="P155">
        <f t="shared" si="28"/>
        <v>0</v>
      </c>
      <c r="Q155" s="30">
        <v>0.258897245</v>
      </c>
      <c r="R155">
        <f t="shared" si="29"/>
        <v>0</v>
      </c>
      <c r="S155" s="30">
        <v>3.72492778115E-3</v>
      </c>
      <c r="T155">
        <f t="shared" si="32"/>
        <v>0</v>
      </c>
      <c r="U155" s="1">
        <v>0.2063016</v>
      </c>
      <c r="V155">
        <v>0</v>
      </c>
      <c r="X155">
        <v>0</v>
      </c>
    </row>
    <row r="156" spans="1:24">
      <c r="A156" s="1">
        <v>0</v>
      </c>
      <c r="B156" s="1" t="s">
        <v>155</v>
      </c>
      <c r="C156" s="1">
        <v>0</v>
      </c>
      <c r="D156" s="33">
        <v>0</v>
      </c>
      <c r="E156" s="36">
        <v>0</v>
      </c>
      <c r="F156" s="37">
        <v>0</v>
      </c>
      <c r="G156" s="30">
        <v>0.120762035</v>
      </c>
      <c r="H156">
        <f t="shared" si="30"/>
        <v>0</v>
      </c>
      <c r="I156" s="30">
        <v>2.7721582446250002E-3</v>
      </c>
      <c r="J156">
        <f t="shared" si="31"/>
        <v>0</v>
      </c>
      <c r="K156">
        <v>0.10207210481166799</v>
      </c>
      <c r="L156">
        <f t="shared" si="26"/>
        <v>0</v>
      </c>
      <c r="M156" s="30">
        <v>6.2529599999999998E-5</v>
      </c>
      <c r="N156">
        <f t="shared" si="27"/>
        <v>0</v>
      </c>
      <c r="O156">
        <v>2.857612678781E-3</v>
      </c>
      <c r="P156">
        <f t="shared" si="28"/>
        <v>0</v>
      </c>
      <c r="Q156">
        <v>0.22087503999999999</v>
      </c>
      <c r="R156">
        <f t="shared" si="29"/>
        <v>0</v>
      </c>
      <c r="S156" s="30">
        <v>2.0339797629276301E-5</v>
      </c>
      <c r="T156">
        <f t="shared" si="32"/>
        <v>0</v>
      </c>
      <c r="U156" s="1">
        <v>0.22746738999999999</v>
      </c>
      <c r="V156">
        <v>0</v>
      </c>
      <c r="X156">
        <v>0</v>
      </c>
    </row>
    <row r="157" spans="1:24">
      <c r="A157" s="1">
        <v>0</v>
      </c>
      <c r="B157" s="1" t="s">
        <v>156</v>
      </c>
      <c r="C157" s="1">
        <v>0</v>
      </c>
      <c r="D157" s="33">
        <v>0</v>
      </c>
      <c r="E157" s="37">
        <v>0</v>
      </c>
      <c r="F157" s="37">
        <v>0</v>
      </c>
      <c r="G157" s="30">
        <v>1.0256015E-2</v>
      </c>
      <c r="H157">
        <f t="shared" si="30"/>
        <v>0</v>
      </c>
      <c r="I157" s="30">
        <v>3.9635601569899999E-4</v>
      </c>
      <c r="J157">
        <f t="shared" si="31"/>
        <v>0</v>
      </c>
      <c r="K157">
        <v>1.4108120463789E-2</v>
      </c>
      <c r="L157">
        <f t="shared" si="26"/>
        <v>0</v>
      </c>
      <c r="M157" s="30">
        <v>6.8720399999999999E-6</v>
      </c>
      <c r="N157">
        <f t="shared" si="27"/>
        <v>0</v>
      </c>
      <c r="O157">
        <v>6.2934886664150003E-3</v>
      </c>
      <c r="P157">
        <f t="shared" si="28"/>
        <v>0</v>
      </c>
      <c r="Q157">
        <v>0.52321320800000004</v>
      </c>
      <c r="R157">
        <f t="shared" si="29"/>
        <v>1</v>
      </c>
      <c r="S157" s="30">
        <v>2.05876604013611E-5</v>
      </c>
      <c r="T157">
        <f t="shared" si="32"/>
        <v>0</v>
      </c>
      <c r="U157" s="1">
        <v>0.25919439999999999</v>
      </c>
      <c r="V157">
        <v>0</v>
      </c>
      <c r="X157">
        <v>0</v>
      </c>
    </row>
    <row r="158" spans="1:24">
      <c r="A158" s="1">
        <v>0</v>
      </c>
      <c r="B158" s="2" t="s">
        <v>157</v>
      </c>
      <c r="C158" s="1">
        <v>0</v>
      </c>
      <c r="D158" s="33">
        <v>1</v>
      </c>
      <c r="E158" s="37">
        <v>1</v>
      </c>
      <c r="F158" s="37">
        <v>1</v>
      </c>
      <c r="G158">
        <v>0.7284621</v>
      </c>
      <c r="H158">
        <f t="shared" si="30"/>
        <v>1</v>
      </c>
      <c r="I158">
        <v>0.96122372150421098</v>
      </c>
      <c r="J158">
        <f t="shared" si="31"/>
        <v>1</v>
      </c>
      <c r="K158">
        <v>0.91862046718597401</v>
      </c>
      <c r="L158">
        <f t="shared" si="26"/>
        <v>1</v>
      </c>
      <c r="M158">
        <v>0.69003331700000003</v>
      </c>
      <c r="N158">
        <f t="shared" si="27"/>
        <v>1</v>
      </c>
      <c r="O158">
        <v>0.61932009458541903</v>
      </c>
      <c r="P158">
        <f t="shared" si="28"/>
        <v>1</v>
      </c>
      <c r="Q158">
        <v>0.77480167200000005</v>
      </c>
      <c r="R158">
        <f t="shared" si="29"/>
        <v>1</v>
      </c>
      <c r="S158">
        <v>0.29754430055618297</v>
      </c>
      <c r="T158">
        <f t="shared" si="32"/>
        <v>0</v>
      </c>
      <c r="U158" s="2">
        <v>0.64433384000000005</v>
      </c>
      <c r="V158">
        <v>1</v>
      </c>
      <c r="X158">
        <v>0</v>
      </c>
    </row>
    <row r="159" spans="1:24">
      <c r="A159" s="1">
        <v>1</v>
      </c>
      <c r="B159" s="1" t="s">
        <v>158</v>
      </c>
      <c r="C159" s="1">
        <v>1</v>
      </c>
      <c r="D159" s="33">
        <v>1</v>
      </c>
      <c r="E159" s="37">
        <v>1</v>
      </c>
      <c r="F159" s="37">
        <v>1</v>
      </c>
      <c r="G159">
        <v>0.951753497</v>
      </c>
      <c r="H159">
        <f t="shared" si="30"/>
        <v>1</v>
      </c>
      <c r="I159">
        <v>0.97385513782501198</v>
      </c>
      <c r="J159">
        <f t="shared" si="31"/>
        <v>1</v>
      </c>
      <c r="K159">
        <v>0.82945275306701705</v>
      </c>
      <c r="L159">
        <f t="shared" si="26"/>
        <v>1</v>
      </c>
      <c r="M159">
        <v>0.99892103700000001</v>
      </c>
      <c r="N159">
        <f t="shared" si="27"/>
        <v>1</v>
      </c>
      <c r="O159">
        <v>0.99973422288894598</v>
      </c>
      <c r="P159">
        <f t="shared" si="28"/>
        <v>1</v>
      </c>
      <c r="Q159">
        <v>0.66198575500000001</v>
      </c>
      <c r="R159">
        <f t="shared" si="29"/>
        <v>1</v>
      </c>
      <c r="S159">
        <v>0.33785822987556502</v>
      </c>
      <c r="T159">
        <f t="shared" si="32"/>
        <v>0</v>
      </c>
      <c r="U159" s="1">
        <v>0.76604240000000001</v>
      </c>
      <c r="V159">
        <v>1</v>
      </c>
      <c r="X159">
        <v>0</v>
      </c>
    </row>
    <row r="160" spans="1:24">
      <c r="A160" s="1">
        <v>1</v>
      </c>
      <c r="B160" s="1" t="s">
        <v>159</v>
      </c>
      <c r="C160" s="1">
        <v>1</v>
      </c>
      <c r="D160" s="33">
        <v>1</v>
      </c>
      <c r="E160" s="37">
        <v>1</v>
      </c>
      <c r="F160" s="37">
        <v>1</v>
      </c>
      <c r="G160">
        <v>0.92899352300000004</v>
      </c>
      <c r="H160">
        <f t="shared" si="30"/>
        <v>1</v>
      </c>
      <c r="I160">
        <v>0.96038240194320701</v>
      </c>
      <c r="J160">
        <f t="shared" si="31"/>
        <v>1</v>
      </c>
      <c r="K160">
        <v>0.69298899173736594</v>
      </c>
      <c r="L160">
        <f t="shared" si="26"/>
        <v>1</v>
      </c>
      <c r="M160">
        <v>0.60896396600000002</v>
      </c>
      <c r="N160">
        <f t="shared" si="27"/>
        <v>1</v>
      </c>
      <c r="O160">
        <v>0.97859585285186801</v>
      </c>
      <c r="P160">
        <f t="shared" si="28"/>
        <v>1</v>
      </c>
      <c r="Q160">
        <v>0.60716915100000002</v>
      </c>
      <c r="R160">
        <f t="shared" si="29"/>
        <v>1</v>
      </c>
      <c r="S160">
        <v>0.25257992744445801</v>
      </c>
      <c r="T160">
        <f t="shared" si="32"/>
        <v>0</v>
      </c>
      <c r="U160" s="1">
        <v>0.66527760000000002</v>
      </c>
      <c r="V160">
        <v>1</v>
      </c>
      <c r="X160">
        <v>0</v>
      </c>
    </row>
    <row r="161" spans="1:24">
      <c r="A161" s="1">
        <v>1</v>
      </c>
      <c r="B161" s="1" t="s">
        <v>160</v>
      </c>
      <c r="C161" s="1">
        <v>1</v>
      </c>
      <c r="D161" s="33">
        <v>0</v>
      </c>
      <c r="E161" s="36">
        <v>0</v>
      </c>
      <c r="F161" s="37">
        <v>1</v>
      </c>
      <c r="G161">
        <v>0.66261649099999997</v>
      </c>
      <c r="H161">
        <f t="shared" si="30"/>
        <v>1</v>
      </c>
      <c r="I161">
        <v>0.746865034103394</v>
      </c>
      <c r="J161">
        <f t="shared" si="31"/>
        <v>1</v>
      </c>
      <c r="K161">
        <v>0.86566096544265803</v>
      </c>
      <c r="L161">
        <f t="shared" si="26"/>
        <v>1</v>
      </c>
      <c r="M161">
        <v>0.32747551800000002</v>
      </c>
      <c r="N161">
        <f t="shared" si="27"/>
        <v>0</v>
      </c>
      <c r="O161">
        <v>0.87151700258255005</v>
      </c>
      <c r="P161">
        <f t="shared" si="28"/>
        <v>1</v>
      </c>
      <c r="Q161">
        <v>0.72051554900000003</v>
      </c>
      <c r="R161">
        <f t="shared" si="29"/>
        <v>1</v>
      </c>
      <c r="S161">
        <v>0.73025667667388905</v>
      </c>
      <c r="T161">
        <f t="shared" si="32"/>
        <v>1</v>
      </c>
      <c r="U161" s="1">
        <v>0.62181306000000003</v>
      </c>
      <c r="V161">
        <v>1</v>
      </c>
      <c r="X161">
        <v>0</v>
      </c>
    </row>
    <row r="162" spans="1:24">
      <c r="A162" s="1">
        <v>1</v>
      </c>
      <c r="B162" s="1" t="s">
        <v>161</v>
      </c>
      <c r="C162" s="1">
        <v>1</v>
      </c>
      <c r="D162" s="33">
        <v>1</v>
      </c>
      <c r="E162" s="37">
        <v>1</v>
      </c>
      <c r="F162" s="37">
        <v>1</v>
      </c>
      <c r="G162">
        <v>0.91414183400000004</v>
      </c>
      <c r="H162">
        <f t="shared" si="30"/>
        <v>1</v>
      </c>
      <c r="I162">
        <v>0.99228787422180198</v>
      </c>
      <c r="J162">
        <f t="shared" si="31"/>
        <v>1</v>
      </c>
      <c r="K162">
        <v>0.96219348907470703</v>
      </c>
      <c r="L162">
        <f t="shared" si="26"/>
        <v>1</v>
      </c>
      <c r="M162">
        <v>0.96780628000000002</v>
      </c>
      <c r="N162">
        <f t="shared" si="27"/>
        <v>1</v>
      </c>
      <c r="O162">
        <v>0.99706536531448298</v>
      </c>
      <c r="P162">
        <f t="shared" si="28"/>
        <v>1</v>
      </c>
      <c r="Q162">
        <v>0.77005606900000001</v>
      </c>
      <c r="R162">
        <f t="shared" si="29"/>
        <v>1</v>
      </c>
      <c r="S162">
        <v>0.99839681386947599</v>
      </c>
      <c r="T162">
        <f t="shared" si="32"/>
        <v>1</v>
      </c>
      <c r="U162" s="1">
        <v>0.78444104999999997</v>
      </c>
      <c r="V162">
        <v>1</v>
      </c>
      <c r="X162">
        <v>0</v>
      </c>
    </row>
    <row r="163" spans="1:24">
      <c r="A163" s="1">
        <v>1</v>
      </c>
      <c r="B163" s="1" t="s">
        <v>162</v>
      </c>
      <c r="C163" s="1">
        <v>1</v>
      </c>
      <c r="D163" s="33">
        <v>1</v>
      </c>
      <c r="E163" s="37">
        <v>1</v>
      </c>
      <c r="F163" s="37">
        <v>1</v>
      </c>
      <c r="G163">
        <v>0.91461300800000001</v>
      </c>
      <c r="H163">
        <f t="shared" si="30"/>
        <v>1</v>
      </c>
      <c r="I163">
        <v>0.99892246723175004</v>
      </c>
      <c r="J163">
        <f t="shared" si="31"/>
        <v>1</v>
      </c>
      <c r="K163">
        <v>0.96316492557525601</v>
      </c>
      <c r="L163">
        <f t="shared" si="26"/>
        <v>1</v>
      </c>
      <c r="M163">
        <v>0.97104191799999995</v>
      </c>
      <c r="N163">
        <f t="shared" si="27"/>
        <v>1</v>
      </c>
      <c r="O163">
        <v>0.99936908483505205</v>
      </c>
      <c r="P163">
        <f t="shared" si="28"/>
        <v>1</v>
      </c>
      <c r="Q163">
        <v>0.77063125399999999</v>
      </c>
      <c r="R163">
        <f t="shared" si="29"/>
        <v>1</v>
      </c>
      <c r="S163">
        <v>0.992045879364014</v>
      </c>
      <c r="T163">
        <f t="shared" si="32"/>
        <v>1</v>
      </c>
      <c r="U163" s="1">
        <v>0.67350847000000003</v>
      </c>
      <c r="V163">
        <v>1</v>
      </c>
      <c r="X163">
        <v>0</v>
      </c>
    </row>
    <row r="164" spans="1:24">
      <c r="A164" s="1">
        <v>1</v>
      </c>
      <c r="B164" s="1" t="s">
        <v>163</v>
      </c>
      <c r="C164" s="1">
        <v>1</v>
      </c>
      <c r="D164" s="33">
        <v>1</v>
      </c>
      <c r="E164" s="37">
        <v>1</v>
      </c>
      <c r="F164" s="37">
        <v>1</v>
      </c>
      <c r="G164">
        <v>0.96402287499999995</v>
      </c>
      <c r="H164">
        <f t="shared" si="30"/>
        <v>1</v>
      </c>
      <c r="I164">
        <v>0.99600285291671797</v>
      </c>
      <c r="J164">
        <f t="shared" si="31"/>
        <v>1</v>
      </c>
      <c r="K164">
        <v>0.99957531690597501</v>
      </c>
      <c r="L164">
        <f t="shared" si="26"/>
        <v>1</v>
      </c>
      <c r="M164">
        <v>0.99985861799999998</v>
      </c>
      <c r="N164">
        <f t="shared" si="27"/>
        <v>1</v>
      </c>
      <c r="O164">
        <v>0.99947923421859697</v>
      </c>
      <c r="P164">
        <f t="shared" si="28"/>
        <v>1</v>
      </c>
      <c r="Q164">
        <v>0.93931639200000006</v>
      </c>
      <c r="R164">
        <f t="shared" si="29"/>
        <v>1</v>
      </c>
      <c r="S164">
        <v>0.99945503473281905</v>
      </c>
      <c r="T164">
        <f t="shared" si="32"/>
        <v>1</v>
      </c>
      <c r="U164" s="1">
        <v>0.78379345</v>
      </c>
      <c r="V164">
        <v>1</v>
      </c>
      <c r="X164">
        <v>0</v>
      </c>
    </row>
    <row r="165" spans="1:24">
      <c r="A165" s="1">
        <v>1</v>
      </c>
      <c r="B165" s="1" t="s">
        <v>164</v>
      </c>
      <c r="C165" s="1">
        <v>1</v>
      </c>
      <c r="D165" s="33">
        <v>1</v>
      </c>
      <c r="E165" s="37">
        <v>1</v>
      </c>
      <c r="F165" s="37">
        <v>1</v>
      </c>
      <c r="G165">
        <v>0.97498524200000003</v>
      </c>
      <c r="H165">
        <f t="shared" si="30"/>
        <v>1</v>
      </c>
      <c r="I165">
        <v>0.99994099140167203</v>
      </c>
      <c r="J165">
        <f t="shared" si="31"/>
        <v>1</v>
      </c>
      <c r="K165">
        <v>0.99879455566406194</v>
      </c>
      <c r="L165">
        <f t="shared" si="26"/>
        <v>1</v>
      </c>
      <c r="M165">
        <v>0.99941682799999998</v>
      </c>
      <c r="N165">
        <f t="shared" si="27"/>
        <v>1</v>
      </c>
      <c r="O165">
        <v>0.99999904632568404</v>
      </c>
      <c r="P165">
        <f t="shared" si="28"/>
        <v>1</v>
      </c>
      <c r="Q165">
        <v>0.92631036</v>
      </c>
      <c r="R165">
        <f t="shared" si="29"/>
        <v>1</v>
      </c>
      <c r="S165">
        <v>0.999989032745361</v>
      </c>
      <c r="T165">
        <f t="shared" si="32"/>
        <v>1</v>
      </c>
      <c r="U165" s="1">
        <v>0.789497</v>
      </c>
      <c r="V165">
        <v>1</v>
      </c>
      <c r="X165">
        <v>0</v>
      </c>
    </row>
    <row r="166" spans="1:24">
      <c r="A166" s="1">
        <v>1</v>
      </c>
      <c r="B166" s="1" t="s">
        <v>165</v>
      </c>
      <c r="C166" s="1">
        <v>1</v>
      </c>
      <c r="D166" s="33">
        <v>1</v>
      </c>
      <c r="E166" s="37">
        <v>1</v>
      </c>
      <c r="F166" s="37">
        <v>1</v>
      </c>
      <c r="G166">
        <v>0.77401894299999996</v>
      </c>
      <c r="H166">
        <f t="shared" si="30"/>
        <v>1</v>
      </c>
      <c r="I166">
        <v>0.82083934545517001</v>
      </c>
      <c r="J166">
        <f t="shared" si="31"/>
        <v>1</v>
      </c>
      <c r="K166">
        <v>0.51227575540542603</v>
      </c>
      <c r="L166">
        <f t="shared" si="26"/>
        <v>1</v>
      </c>
      <c r="M166">
        <v>0.91363877100000002</v>
      </c>
      <c r="N166">
        <f t="shared" si="27"/>
        <v>1</v>
      </c>
      <c r="O166">
        <v>0.99320316314697299</v>
      </c>
      <c r="P166">
        <f t="shared" si="28"/>
        <v>1</v>
      </c>
      <c r="Q166">
        <v>0.70496475700000005</v>
      </c>
      <c r="R166">
        <f t="shared" si="29"/>
        <v>1</v>
      </c>
      <c r="S166">
        <v>0.70711374282836903</v>
      </c>
      <c r="T166">
        <f t="shared" si="32"/>
        <v>1</v>
      </c>
      <c r="U166" s="1">
        <v>0.61346970000000001</v>
      </c>
      <c r="V166">
        <v>1</v>
      </c>
      <c r="X166">
        <v>0</v>
      </c>
    </row>
    <row r="167" spans="1:24">
      <c r="A167" s="1">
        <v>1</v>
      </c>
      <c r="B167" s="1" t="s">
        <v>166</v>
      </c>
      <c r="C167" s="1">
        <v>1</v>
      </c>
      <c r="D167" s="33">
        <v>1</v>
      </c>
      <c r="E167" s="37">
        <v>1</v>
      </c>
      <c r="F167" s="37">
        <v>1</v>
      </c>
      <c r="G167">
        <v>0.94853001800000003</v>
      </c>
      <c r="H167">
        <f t="shared" si="30"/>
        <v>1</v>
      </c>
      <c r="I167">
        <v>0.999414682388306</v>
      </c>
      <c r="J167">
        <f t="shared" si="31"/>
        <v>1</v>
      </c>
      <c r="K167">
        <v>0.99249237775802601</v>
      </c>
      <c r="L167">
        <f t="shared" si="26"/>
        <v>1</v>
      </c>
      <c r="M167">
        <v>0.96189099600000005</v>
      </c>
      <c r="N167">
        <f t="shared" si="27"/>
        <v>1</v>
      </c>
      <c r="O167">
        <v>0.99993705749511697</v>
      </c>
      <c r="P167">
        <f t="shared" si="28"/>
        <v>1</v>
      </c>
      <c r="Q167">
        <v>0.88016325200000001</v>
      </c>
      <c r="R167">
        <f t="shared" si="29"/>
        <v>1</v>
      </c>
      <c r="S167">
        <v>0.99615967273712203</v>
      </c>
      <c r="T167">
        <f t="shared" si="32"/>
        <v>1</v>
      </c>
      <c r="U167" s="1">
        <v>0.76760680000000003</v>
      </c>
      <c r="V167">
        <v>1</v>
      </c>
      <c r="X167">
        <v>0</v>
      </c>
    </row>
    <row r="168" spans="1:24">
      <c r="A168" s="1">
        <v>1</v>
      </c>
      <c r="B168" s="7" t="s">
        <v>167</v>
      </c>
      <c r="C168" s="1">
        <v>1</v>
      </c>
      <c r="D168" s="33">
        <v>1</v>
      </c>
      <c r="E168" s="37">
        <v>1</v>
      </c>
      <c r="F168" s="37">
        <v>0</v>
      </c>
      <c r="G168">
        <v>0.88241887100000005</v>
      </c>
      <c r="H168">
        <f t="shared" si="30"/>
        <v>1</v>
      </c>
      <c r="I168">
        <v>0.83949923515319802</v>
      </c>
      <c r="J168">
        <f t="shared" si="31"/>
        <v>1</v>
      </c>
      <c r="K168">
        <v>0.70292735099792503</v>
      </c>
      <c r="L168">
        <f t="shared" si="26"/>
        <v>1</v>
      </c>
      <c r="M168">
        <v>0.40913981199999999</v>
      </c>
      <c r="N168">
        <f t="shared" si="27"/>
        <v>0</v>
      </c>
      <c r="O168">
        <v>0.97924679517746005</v>
      </c>
      <c r="P168">
        <f t="shared" si="28"/>
        <v>1</v>
      </c>
      <c r="Q168">
        <v>0.61992639299999996</v>
      </c>
      <c r="R168">
        <f t="shared" si="29"/>
        <v>1</v>
      </c>
      <c r="S168">
        <v>0.83317065238952603</v>
      </c>
      <c r="T168">
        <f t="shared" si="32"/>
        <v>1</v>
      </c>
      <c r="U168" s="7">
        <v>0.71347099999999997</v>
      </c>
      <c r="V168">
        <v>1</v>
      </c>
      <c r="X168">
        <v>1</v>
      </c>
    </row>
    <row r="169" spans="1:24">
      <c r="A169" s="1">
        <v>1</v>
      </c>
      <c r="B169" s="1" t="s">
        <v>168</v>
      </c>
      <c r="C169" s="1">
        <v>1</v>
      </c>
      <c r="D169" s="33">
        <v>1</v>
      </c>
      <c r="E169" s="37">
        <v>1</v>
      </c>
      <c r="F169" s="37">
        <v>1</v>
      </c>
      <c r="G169">
        <v>0.68547755499999996</v>
      </c>
      <c r="H169">
        <f t="shared" si="30"/>
        <v>1</v>
      </c>
      <c r="I169">
        <v>0.52470785379409801</v>
      </c>
      <c r="J169">
        <f t="shared" si="31"/>
        <v>1</v>
      </c>
      <c r="K169">
        <v>0.86440020799636796</v>
      </c>
      <c r="L169">
        <f t="shared" si="26"/>
        <v>1</v>
      </c>
      <c r="M169">
        <v>0.94643092200000001</v>
      </c>
      <c r="N169">
        <f t="shared" si="27"/>
        <v>1</v>
      </c>
      <c r="O169">
        <v>0.66450870037078902</v>
      </c>
      <c r="P169">
        <f t="shared" si="28"/>
        <v>1</v>
      </c>
      <c r="Q169">
        <v>0.59338670999999998</v>
      </c>
      <c r="R169">
        <f t="shared" si="29"/>
        <v>1</v>
      </c>
      <c r="S169">
        <v>0.99636155366897605</v>
      </c>
      <c r="T169">
        <f t="shared" si="32"/>
        <v>1</v>
      </c>
      <c r="U169" s="1">
        <v>0.62300350000000004</v>
      </c>
      <c r="V169">
        <v>1</v>
      </c>
      <c r="X169">
        <v>0</v>
      </c>
    </row>
    <row r="170" spans="1:24">
      <c r="A170" s="1">
        <v>1</v>
      </c>
      <c r="B170" s="1" t="s">
        <v>169</v>
      </c>
      <c r="C170" s="1">
        <v>1</v>
      </c>
      <c r="D170" s="33">
        <v>1</v>
      </c>
      <c r="E170" s="37">
        <v>1</v>
      </c>
      <c r="F170" s="37">
        <v>1</v>
      </c>
      <c r="G170">
        <v>0.95854389699999998</v>
      </c>
      <c r="H170">
        <f t="shared" si="30"/>
        <v>1</v>
      </c>
      <c r="I170">
        <v>0.99859529733657804</v>
      </c>
      <c r="J170">
        <f t="shared" si="31"/>
        <v>1</v>
      </c>
      <c r="K170">
        <v>0.99076217412948597</v>
      </c>
      <c r="L170">
        <f t="shared" si="26"/>
        <v>1</v>
      </c>
      <c r="M170">
        <v>0.99999988100000003</v>
      </c>
      <c r="N170">
        <f t="shared" si="27"/>
        <v>1</v>
      </c>
      <c r="O170">
        <v>0.99918586015701305</v>
      </c>
      <c r="P170">
        <f t="shared" si="28"/>
        <v>1</v>
      </c>
      <c r="Q170">
        <v>0.88797730200000002</v>
      </c>
      <c r="R170">
        <f t="shared" si="29"/>
        <v>1</v>
      </c>
      <c r="S170">
        <v>0.998801589012146</v>
      </c>
      <c r="T170">
        <f t="shared" si="32"/>
        <v>1</v>
      </c>
      <c r="U170" s="1">
        <v>0.78445430000000005</v>
      </c>
      <c r="V170">
        <v>1</v>
      </c>
      <c r="X170">
        <v>0</v>
      </c>
    </row>
    <row r="171" spans="1:24">
      <c r="A171" s="1">
        <v>1</v>
      </c>
      <c r="B171" s="1" t="s">
        <v>170</v>
      </c>
      <c r="C171" s="1">
        <v>1</v>
      </c>
      <c r="D171" s="33">
        <v>1</v>
      </c>
      <c r="E171" s="37">
        <v>1</v>
      </c>
      <c r="F171" s="37">
        <v>1</v>
      </c>
      <c r="G171">
        <v>0.92466378199999999</v>
      </c>
      <c r="H171">
        <f t="shared" si="30"/>
        <v>1</v>
      </c>
      <c r="I171">
        <v>0.99888485670089699</v>
      </c>
      <c r="J171">
        <f t="shared" si="31"/>
        <v>1</v>
      </c>
      <c r="K171">
        <v>0.99670571088790905</v>
      </c>
      <c r="L171">
        <f t="shared" si="26"/>
        <v>1</v>
      </c>
      <c r="M171">
        <v>0.99982172300000005</v>
      </c>
      <c r="N171">
        <f t="shared" si="27"/>
        <v>1</v>
      </c>
      <c r="O171">
        <v>0.99538689851760798</v>
      </c>
      <c r="P171">
        <f t="shared" si="28"/>
        <v>1</v>
      </c>
      <c r="Q171">
        <v>0.88884687399999995</v>
      </c>
      <c r="R171">
        <f t="shared" si="29"/>
        <v>1</v>
      </c>
      <c r="S171">
        <v>0.99763393402099598</v>
      </c>
      <c r="T171">
        <f t="shared" si="32"/>
        <v>1</v>
      </c>
      <c r="U171" s="1">
        <v>0.78915869999999999</v>
      </c>
      <c r="V171">
        <v>1</v>
      </c>
      <c r="X171">
        <v>0</v>
      </c>
    </row>
    <row r="172" spans="1:24">
      <c r="A172" s="1">
        <v>1</v>
      </c>
      <c r="B172" s="1" t="s">
        <v>171</v>
      </c>
      <c r="C172" s="1">
        <v>1</v>
      </c>
      <c r="D172" s="33">
        <v>1</v>
      </c>
      <c r="E172" s="37">
        <v>1</v>
      </c>
      <c r="F172" s="37">
        <v>1</v>
      </c>
      <c r="G172">
        <v>0.96637392</v>
      </c>
      <c r="H172">
        <f t="shared" si="30"/>
        <v>1</v>
      </c>
      <c r="I172">
        <v>0.99998390674590998</v>
      </c>
      <c r="J172">
        <f t="shared" si="31"/>
        <v>1</v>
      </c>
      <c r="K172">
        <v>0.99991714954376198</v>
      </c>
      <c r="L172">
        <f t="shared" si="26"/>
        <v>1</v>
      </c>
      <c r="M172">
        <v>1</v>
      </c>
      <c r="N172">
        <f t="shared" si="27"/>
        <v>1</v>
      </c>
      <c r="O172">
        <v>0.99999988079071001</v>
      </c>
      <c r="P172">
        <f t="shared" si="28"/>
        <v>1</v>
      </c>
      <c r="Q172">
        <v>0.91909283399999997</v>
      </c>
      <c r="R172">
        <f t="shared" si="29"/>
        <v>1</v>
      </c>
      <c r="S172">
        <v>0.99862873554229703</v>
      </c>
      <c r="T172">
        <f t="shared" si="32"/>
        <v>1</v>
      </c>
      <c r="U172" s="1">
        <v>0.78546786000000002</v>
      </c>
      <c r="V172">
        <v>1</v>
      </c>
      <c r="X172">
        <v>0</v>
      </c>
    </row>
    <row r="173" spans="1:24">
      <c r="A173" s="1">
        <v>1</v>
      </c>
      <c r="B173" s="1" t="s">
        <v>172</v>
      </c>
      <c r="C173" s="1">
        <v>1</v>
      </c>
      <c r="D173" s="33">
        <v>1</v>
      </c>
      <c r="E173" s="37">
        <v>1</v>
      </c>
      <c r="F173" s="37">
        <v>1</v>
      </c>
      <c r="G173">
        <v>0.98288744699999997</v>
      </c>
      <c r="H173">
        <f t="shared" si="30"/>
        <v>1</v>
      </c>
      <c r="I173">
        <v>0.99992060661315896</v>
      </c>
      <c r="J173">
        <f t="shared" si="31"/>
        <v>1</v>
      </c>
      <c r="K173">
        <v>0.99979633092880205</v>
      </c>
      <c r="L173">
        <f t="shared" si="26"/>
        <v>1</v>
      </c>
      <c r="M173">
        <v>0.99995327000000001</v>
      </c>
      <c r="N173">
        <f t="shared" si="27"/>
        <v>1</v>
      </c>
      <c r="O173">
        <v>0.99999821186065696</v>
      </c>
      <c r="P173">
        <f t="shared" si="28"/>
        <v>1</v>
      </c>
      <c r="Q173">
        <v>0.82486683100000002</v>
      </c>
      <c r="R173">
        <f t="shared" si="29"/>
        <v>1</v>
      </c>
      <c r="S173">
        <v>0.99989640712738004</v>
      </c>
      <c r="T173">
        <f t="shared" si="32"/>
        <v>1</v>
      </c>
      <c r="U173" s="1">
        <v>0.78414200000000001</v>
      </c>
      <c r="V173">
        <v>1</v>
      </c>
      <c r="X173">
        <v>0</v>
      </c>
    </row>
    <row r="174" spans="1:24">
      <c r="A174" s="1">
        <v>1</v>
      </c>
      <c r="B174" s="1" t="s">
        <v>173</v>
      </c>
      <c r="C174" s="1">
        <v>1</v>
      </c>
      <c r="D174" s="33">
        <v>1</v>
      </c>
      <c r="E174" s="36">
        <v>1</v>
      </c>
      <c r="F174" s="37">
        <v>1</v>
      </c>
      <c r="G174">
        <v>0.96901524100000003</v>
      </c>
      <c r="H174">
        <f t="shared" si="30"/>
        <v>1</v>
      </c>
      <c r="I174">
        <v>0.97698944807052601</v>
      </c>
      <c r="J174">
        <f t="shared" si="31"/>
        <v>1</v>
      </c>
      <c r="K174">
        <v>0.99535608291625999</v>
      </c>
      <c r="L174">
        <f t="shared" si="26"/>
        <v>1</v>
      </c>
      <c r="M174">
        <v>0.994500995</v>
      </c>
      <c r="N174">
        <f t="shared" si="27"/>
        <v>1</v>
      </c>
      <c r="O174">
        <v>0.99147135019302401</v>
      </c>
      <c r="P174">
        <f t="shared" si="28"/>
        <v>1</v>
      </c>
      <c r="Q174">
        <v>0.61031997199999999</v>
      </c>
      <c r="R174">
        <f t="shared" si="29"/>
        <v>1</v>
      </c>
      <c r="S174">
        <v>0.99968314170837402</v>
      </c>
      <c r="T174">
        <f t="shared" si="32"/>
        <v>1</v>
      </c>
      <c r="U174" s="1">
        <v>0.78819819999999996</v>
      </c>
      <c r="V174">
        <v>1</v>
      </c>
      <c r="X174">
        <v>0</v>
      </c>
    </row>
    <row r="175" spans="1:24">
      <c r="A175" s="1">
        <v>1</v>
      </c>
      <c r="B175" s="1" t="s">
        <v>174</v>
      </c>
      <c r="C175" s="1">
        <v>1</v>
      </c>
      <c r="D175" s="33">
        <v>1</v>
      </c>
      <c r="E175" s="37">
        <v>1</v>
      </c>
      <c r="F175" s="37">
        <v>1</v>
      </c>
      <c r="G175">
        <v>0.98644083699999996</v>
      </c>
      <c r="H175">
        <f t="shared" si="30"/>
        <v>1</v>
      </c>
      <c r="I175">
        <v>0.99984812736511197</v>
      </c>
      <c r="J175">
        <f t="shared" si="31"/>
        <v>1</v>
      </c>
      <c r="K175">
        <v>0.99772113561630205</v>
      </c>
      <c r="L175">
        <f t="shared" si="26"/>
        <v>1</v>
      </c>
      <c r="M175">
        <v>0.99997651600000004</v>
      </c>
      <c r="N175">
        <f t="shared" si="27"/>
        <v>1</v>
      </c>
      <c r="O175">
        <v>0.99990034103393599</v>
      </c>
      <c r="P175">
        <f t="shared" si="28"/>
        <v>1</v>
      </c>
      <c r="Q175">
        <v>0.70484340199999995</v>
      </c>
      <c r="R175">
        <f t="shared" si="29"/>
        <v>1</v>
      </c>
      <c r="S175">
        <v>0.99977332353591897</v>
      </c>
      <c r="T175">
        <f t="shared" si="32"/>
        <v>1</v>
      </c>
      <c r="U175" s="1">
        <v>0.78440803000000003</v>
      </c>
      <c r="V175">
        <v>1</v>
      </c>
      <c r="X175">
        <v>0</v>
      </c>
    </row>
    <row r="176" spans="1:24">
      <c r="A176" s="1">
        <v>1</v>
      </c>
      <c r="B176" s="1" t="s">
        <v>175</v>
      </c>
      <c r="C176" s="1">
        <v>1</v>
      </c>
      <c r="D176" s="33">
        <v>1</v>
      </c>
      <c r="E176" s="37">
        <v>1</v>
      </c>
      <c r="F176" s="37">
        <v>1</v>
      </c>
      <c r="G176">
        <v>0.84925526399999995</v>
      </c>
      <c r="H176">
        <f t="shared" si="30"/>
        <v>1</v>
      </c>
      <c r="I176">
        <v>0.90576964616775502</v>
      </c>
      <c r="J176">
        <f t="shared" si="31"/>
        <v>1</v>
      </c>
      <c r="K176">
        <v>0.73708331584930398</v>
      </c>
      <c r="L176">
        <f t="shared" si="26"/>
        <v>1</v>
      </c>
      <c r="M176">
        <v>0.74036133299999995</v>
      </c>
      <c r="N176">
        <f t="shared" si="27"/>
        <v>1</v>
      </c>
      <c r="O176">
        <v>0.87227249145507801</v>
      </c>
      <c r="P176">
        <f t="shared" si="28"/>
        <v>1</v>
      </c>
      <c r="Q176">
        <v>0.51148438500000004</v>
      </c>
      <c r="R176">
        <f t="shared" si="29"/>
        <v>1</v>
      </c>
      <c r="S176">
        <v>1.767020556144E-3</v>
      </c>
      <c r="T176">
        <f t="shared" si="32"/>
        <v>0</v>
      </c>
      <c r="U176" s="1">
        <v>0.62645569999999995</v>
      </c>
      <c r="V176">
        <v>1</v>
      </c>
      <c r="X176">
        <v>0</v>
      </c>
    </row>
    <row r="177" spans="1:24">
      <c r="A177" s="1">
        <v>1</v>
      </c>
      <c r="B177" s="1" t="s">
        <v>176</v>
      </c>
      <c r="C177" s="1">
        <v>1</v>
      </c>
      <c r="D177" s="33">
        <v>1</v>
      </c>
      <c r="E177" s="37">
        <v>1</v>
      </c>
      <c r="F177" s="37">
        <v>1</v>
      </c>
      <c r="G177">
        <v>0.97260081799999998</v>
      </c>
      <c r="H177">
        <f t="shared" si="30"/>
        <v>1</v>
      </c>
      <c r="I177">
        <v>0.98661500215530396</v>
      </c>
      <c r="J177">
        <f t="shared" si="31"/>
        <v>1</v>
      </c>
      <c r="K177">
        <v>0.88752269744873102</v>
      </c>
      <c r="L177">
        <f t="shared" si="26"/>
        <v>1</v>
      </c>
      <c r="M177">
        <v>0.96249943999999998</v>
      </c>
      <c r="N177">
        <f t="shared" si="27"/>
        <v>1</v>
      </c>
      <c r="O177">
        <v>0.99639707803726196</v>
      </c>
      <c r="P177">
        <f t="shared" si="28"/>
        <v>1</v>
      </c>
      <c r="Q177">
        <v>0.73944407700000003</v>
      </c>
      <c r="R177">
        <f t="shared" si="29"/>
        <v>1</v>
      </c>
      <c r="S177">
        <v>0.97486627101898204</v>
      </c>
      <c r="T177">
        <f t="shared" si="32"/>
        <v>1</v>
      </c>
      <c r="U177" s="1">
        <v>0.73548040000000003</v>
      </c>
      <c r="V177">
        <v>1</v>
      </c>
      <c r="X177">
        <v>0</v>
      </c>
    </row>
    <row r="178" spans="1:24">
      <c r="A178" s="1">
        <v>1</v>
      </c>
      <c r="B178" s="1" t="s">
        <v>177</v>
      </c>
      <c r="C178" s="1">
        <v>1</v>
      </c>
      <c r="D178" s="33">
        <v>1</v>
      </c>
      <c r="E178" s="37">
        <v>1</v>
      </c>
      <c r="F178" s="37">
        <v>1</v>
      </c>
      <c r="G178">
        <v>0.87854695299999996</v>
      </c>
      <c r="H178">
        <f t="shared" si="30"/>
        <v>1</v>
      </c>
      <c r="I178">
        <v>0.990400731563568</v>
      </c>
      <c r="J178">
        <f t="shared" si="31"/>
        <v>1</v>
      </c>
      <c r="K178">
        <v>0.99903702735900901</v>
      </c>
      <c r="L178">
        <f t="shared" ref="L178:L202" si="33">IF(K178&gt;$A$2,1,0)</f>
        <v>1</v>
      </c>
      <c r="M178">
        <v>0.99897396599999999</v>
      </c>
      <c r="N178">
        <f t="shared" ref="N178:N202" si="34">IF(M178&gt;$A$2,1,0)</f>
        <v>1</v>
      </c>
      <c r="O178">
        <v>0.99978584051132202</v>
      </c>
      <c r="P178">
        <f t="shared" ref="P178:P202" si="35">IF(O178&gt;$A$2,1,0)</f>
        <v>1</v>
      </c>
      <c r="Q178">
        <v>0.784743309</v>
      </c>
      <c r="R178">
        <f t="shared" ref="R178:R202" si="36">IF(Q178&gt;$A$2,1,0)</f>
        <v>1</v>
      </c>
      <c r="S178">
        <v>0.96214693784713701</v>
      </c>
      <c r="T178">
        <f t="shared" si="32"/>
        <v>1</v>
      </c>
      <c r="U178" s="1">
        <v>0.78337692999999997</v>
      </c>
      <c r="V178">
        <v>1</v>
      </c>
      <c r="X178">
        <v>0</v>
      </c>
    </row>
    <row r="179" spans="1:24">
      <c r="A179" s="1">
        <v>1</v>
      </c>
      <c r="B179" s="1" t="s">
        <v>178</v>
      </c>
      <c r="C179" s="1">
        <v>1</v>
      </c>
      <c r="D179" s="33">
        <v>1</v>
      </c>
      <c r="E179" s="36">
        <v>0</v>
      </c>
      <c r="F179" s="37">
        <v>1</v>
      </c>
      <c r="G179">
        <v>0.75058478100000003</v>
      </c>
      <c r="H179">
        <f t="shared" si="30"/>
        <v>1</v>
      </c>
      <c r="I179">
        <v>0.18933263421058599</v>
      </c>
      <c r="J179">
        <f t="shared" si="31"/>
        <v>0</v>
      </c>
      <c r="K179">
        <v>0.191745400428772</v>
      </c>
      <c r="L179">
        <f t="shared" si="33"/>
        <v>0</v>
      </c>
      <c r="M179">
        <v>0.641244233</v>
      </c>
      <c r="N179">
        <f t="shared" si="34"/>
        <v>1</v>
      </c>
      <c r="O179">
        <v>0.82284164428710904</v>
      </c>
      <c r="P179">
        <f t="shared" si="35"/>
        <v>1</v>
      </c>
      <c r="Q179">
        <v>0.405273467</v>
      </c>
      <c r="R179">
        <f t="shared" si="36"/>
        <v>0</v>
      </c>
      <c r="S179">
        <v>0.71235847473144498</v>
      </c>
      <c r="T179">
        <f t="shared" si="32"/>
        <v>1</v>
      </c>
      <c r="U179" s="1">
        <v>0.6867067</v>
      </c>
      <c r="V179">
        <v>1</v>
      </c>
      <c r="X179">
        <v>0</v>
      </c>
    </row>
    <row r="180" spans="1:24">
      <c r="A180" s="1">
        <v>1</v>
      </c>
      <c r="B180" s="7" t="s">
        <v>179</v>
      </c>
      <c r="C180" s="1">
        <v>1</v>
      </c>
      <c r="D180" s="33">
        <v>0</v>
      </c>
      <c r="E180" s="37">
        <v>1</v>
      </c>
      <c r="F180" s="37">
        <v>1</v>
      </c>
      <c r="G180">
        <v>0.91783279200000001</v>
      </c>
      <c r="H180">
        <f t="shared" si="30"/>
        <v>1</v>
      </c>
      <c r="I180">
        <v>0.99987614154815696</v>
      </c>
      <c r="J180">
        <f t="shared" si="31"/>
        <v>1</v>
      </c>
      <c r="K180">
        <v>0.99900168180465698</v>
      </c>
      <c r="L180">
        <f t="shared" si="33"/>
        <v>1</v>
      </c>
      <c r="M180">
        <v>1</v>
      </c>
      <c r="N180">
        <f t="shared" si="34"/>
        <v>1</v>
      </c>
      <c r="O180">
        <v>0.99999976158142101</v>
      </c>
      <c r="P180">
        <f t="shared" si="35"/>
        <v>1</v>
      </c>
      <c r="Q180">
        <v>0.93429076700000002</v>
      </c>
      <c r="R180">
        <f t="shared" si="36"/>
        <v>1</v>
      </c>
      <c r="S180">
        <v>0.99934643507003795</v>
      </c>
      <c r="T180">
        <f t="shared" si="32"/>
        <v>1</v>
      </c>
      <c r="U180" s="7">
        <v>0.79073906000000005</v>
      </c>
      <c r="V180">
        <v>1</v>
      </c>
      <c r="X180">
        <v>1</v>
      </c>
    </row>
    <row r="181" spans="1:24">
      <c r="A181" s="1">
        <v>1</v>
      </c>
      <c r="B181" s="1" t="s">
        <v>180</v>
      </c>
      <c r="C181" s="1">
        <v>1</v>
      </c>
      <c r="D181" s="33">
        <v>0</v>
      </c>
      <c r="E181" s="37">
        <v>1</v>
      </c>
      <c r="F181" s="37">
        <v>1</v>
      </c>
      <c r="G181">
        <v>0.95950061099999995</v>
      </c>
      <c r="H181">
        <f t="shared" si="30"/>
        <v>1</v>
      </c>
      <c r="I181">
        <v>0.99728286266326904</v>
      </c>
      <c r="J181">
        <f t="shared" si="31"/>
        <v>1</v>
      </c>
      <c r="K181">
        <v>0.95281523466110196</v>
      </c>
      <c r="L181">
        <f t="shared" si="33"/>
        <v>1</v>
      </c>
      <c r="M181">
        <v>0.99995708500000002</v>
      </c>
      <c r="N181">
        <f t="shared" si="34"/>
        <v>1</v>
      </c>
      <c r="O181">
        <v>0.99515128135681197</v>
      </c>
      <c r="P181">
        <f t="shared" si="35"/>
        <v>1</v>
      </c>
      <c r="Q181">
        <v>0.86046510899999995</v>
      </c>
      <c r="R181">
        <f t="shared" si="36"/>
        <v>1</v>
      </c>
      <c r="S181">
        <v>0.99998033046722401</v>
      </c>
      <c r="T181">
        <f t="shared" si="32"/>
        <v>1</v>
      </c>
      <c r="U181" s="1">
        <v>0.75095254</v>
      </c>
      <c r="V181">
        <v>1</v>
      </c>
      <c r="X181">
        <v>0</v>
      </c>
    </row>
    <row r="182" spans="1:24">
      <c r="A182" s="1">
        <v>1</v>
      </c>
      <c r="B182" s="1" t="s">
        <v>181</v>
      </c>
      <c r="C182" s="1">
        <v>1</v>
      </c>
      <c r="D182" s="33">
        <v>1</v>
      </c>
      <c r="E182" s="37">
        <v>1</v>
      </c>
      <c r="F182" s="37">
        <v>1</v>
      </c>
      <c r="G182">
        <v>0.69427484299999997</v>
      </c>
      <c r="H182">
        <f t="shared" si="30"/>
        <v>1</v>
      </c>
      <c r="I182">
        <v>0.95199233293533303</v>
      </c>
      <c r="J182">
        <f t="shared" si="31"/>
        <v>1</v>
      </c>
      <c r="K182">
        <v>0.63739013671875</v>
      </c>
      <c r="L182">
        <f t="shared" si="33"/>
        <v>1</v>
      </c>
      <c r="M182">
        <v>0.96729594500000005</v>
      </c>
      <c r="N182">
        <f t="shared" si="34"/>
        <v>1</v>
      </c>
      <c r="O182">
        <v>0.99965393543243397</v>
      </c>
      <c r="P182">
        <f t="shared" si="35"/>
        <v>1</v>
      </c>
      <c r="Q182">
        <v>0.67467314</v>
      </c>
      <c r="R182">
        <f t="shared" si="36"/>
        <v>1</v>
      </c>
      <c r="S182">
        <v>0.20745959877967801</v>
      </c>
      <c r="T182">
        <f t="shared" si="32"/>
        <v>0</v>
      </c>
      <c r="U182" s="1">
        <v>0.69879159999999996</v>
      </c>
      <c r="V182">
        <v>1</v>
      </c>
      <c r="X182">
        <v>0</v>
      </c>
    </row>
    <row r="183" spans="1:24">
      <c r="A183" s="1">
        <v>1</v>
      </c>
      <c r="B183" s="1" t="s">
        <v>182</v>
      </c>
      <c r="C183" s="1">
        <v>1</v>
      </c>
      <c r="D183" s="33">
        <v>1</v>
      </c>
      <c r="E183" s="37">
        <v>1</v>
      </c>
      <c r="F183" s="37">
        <v>1</v>
      </c>
      <c r="G183">
        <v>0.97955882500000002</v>
      </c>
      <c r="H183">
        <f t="shared" si="30"/>
        <v>1</v>
      </c>
      <c r="I183">
        <v>0.99468803405761697</v>
      </c>
      <c r="J183">
        <f t="shared" si="31"/>
        <v>1</v>
      </c>
      <c r="K183">
        <v>0.98302000761032104</v>
      </c>
      <c r="L183">
        <f t="shared" si="33"/>
        <v>1</v>
      </c>
      <c r="M183">
        <v>0.98597031800000001</v>
      </c>
      <c r="N183">
        <f t="shared" si="34"/>
        <v>1</v>
      </c>
      <c r="O183">
        <v>0.99991512298583995</v>
      </c>
      <c r="P183">
        <f t="shared" si="35"/>
        <v>1</v>
      </c>
      <c r="Q183">
        <v>0.762994587</v>
      </c>
      <c r="R183">
        <f t="shared" si="36"/>
        <v>1</v>
      </c>
      <c r="S183">
        <v>0.96141266822814897</v>
      </c>
      <c r="T183">
        <f t="shared" si="32"/>
        <v>1</v>
      </c>
      <c r="U183" s="1">
        <v>0.77751950000000003</v>
      </c>
      <c r="V183">
        <v>1</v>
      </c>
      <c r="X183">
        <v>0</v>
      </c>
    </row>
    <row r="184" spans="1:24">
      <c r="A184" s="1">
        <v>1</v>
      </c>
      <c r="B184" s="1" t="s">
        <v>183</v>
      </c>
      <c r="C184" s="1">
        <v>1</v>
      </c>
      <c r="D184" s="33">
        <v>0</v>
      </c>
      <c r="E184" s="36">
        <v>0</v>
      </c>
      <c r="F184" s="37">
        <v>1</v>
      </c>
      <c r="G184">
        <v>0.943632841</v>
      </c>
      <c r="H184">
        <f t="shared" si="30"/>
        <v>1</v>
      </c>
      <c r="I184">
        <v>0.96301025152206399</v>
      </c>
      <c r="J184">
        <f t="shared" si="31"/>
        <v>1</v>
      </c>
      <c r="K184">
        <v>0.65186285972595204</v>
      </c>
      <c r="L184">
        <f t="shared" si="33"/>
        <v>1</v>
      </c>
      <c r="M184">
        <v>0.89918571700000005</v>
      </c>
      <c r="N184">
        <f t="shared" si="34"/>
        <v>1</v>
      </c>
      <c r="O184">
        <v>0.99735969305038397</v>
      </c>
      <c r="P184">
        <f t="shared" si="35"/>
        <v>1</v>
      </c>
      <c r="Q184">
        <v>0.67199623600000002</v>
      </c>
      <c r="R184">
        <f t="shared" si="36"/>
        <v>1</v>
      </c>
      <c r="S184">
        <v>0.99414271116256703</v>
      </c>
      <c r="T184">
        <f t="shared" si="32"/>
        <v>1</v>
      </c>
      <c r="U184" s="1">
        <v>0.73739845000000004</v>
      </c>
      <c r="V184">
        <v>1</v>
      </c>
      <c r="X184">
        <v>0</v>
      </c>
    </row>
    <row r="185" spans="1:24">
      <c r="A185" s="1">
        <v>1</v>
      </c>
      <c r="B185" s="1" t="s">
        <v>184</v>
      </c>
      <c r="C185" s="1">
        <v>1</v>
      </c>
      <c r="D185" s="33">
        <v>1</v>
      </c>
      <c r="E185" s="36">
        <v>0</v>
      </c>
      <c r="F185" s="37">
        <v>1</v>
      </c>
      <c r="G185">
        <v>0.58631819500000004</v>
      </c>
      <c r="H185">
        <f t="shared" si="30"/>
        <v>1</v>
      </c>
      <c r="I185">
        <v>0.926188945770264</v>
      </c>
      <c r="J185">
        <f t="shared" si="31"/>
        <v>1</v>
      </c>
      <c r="K185">
        <v>0.85639375448226895</v>
      </c>
      <c r="L185">
        <f t="shared" si="33"/>
        <v>1</v>
      </c>
      <c r="M185">
        <v>0.60847348000000001</v>
      </c>
      <c r="N185">
        <f t="shared" si="34"/>
        <v>1</v>
      </c>
      <c r="O185">
        <v>0.97730231285095204</v>
      </c>
      <c r="P185">
        <f t="shared" si="35"/>
        <v>1</v>
      </c>
      <c r="Q185">
        <v>0.87659305300000001</v>
      </c>
      <c r="R185">
        <f t="shared" si="36"/>
        <v>1</v>
      </c>
      <c r="S185">
        <v>0.62853485345840499</v>
      </c>
      <c r="T185">
        <f t="shared" si="32"/>
        <v>1</v>
      </c>
      <c r="U185" s="1">
        <v>0.75643134000000001</v>
      </c>
      <c r="V185">
        <v>1</v>
      </c>
      <c r="X185">
        <v>0</v>
      </c>
    </row>
    <row r="186" spans="1:24">
      <c r="A186" s="1">
        <v>1</v>
      </c>
      <c r="B186" s="7" t="s">
        <v>185</v>
      </c>
      <c r="C186" s="1">
        <v>1</v>
      </c>
      <c r="D186" s="33">
        <v>0</v>
      </c>
      <c r="E186" s="37">
        <v>1</v>
      </c>
      <c r="F186" s="37">
        <v>1</v>
      </c>
      <c r="G186">
        <v>0.87242043000000002</v>
      </c>
      <c r="H186">
        <f t="shared" si="30"/>
        <v>1</v>
      </c>
      <c r="I186">
        <v>0.99956411123275801</v>
      </c>
      <c r="J186">
        <f t="shared" si="31"/>
        <v>1</v>
      </c>
      <c r="K186">
        <v>0.98406225442886397</v>
      </c>
      <c r="L186">
        <f t="shared" si="33"/>
        <v>1</v>
      </c>
      <c r="M186">
        <v>0.96218973399999996</v>
      </c>
      <c r="N186">
        <f t="shared" si="34"/>
        <v>1</v>
      </c>
      <c r="O186">
        <v>0.99995934963226296</v>
      </c>
      <c r="P186">
        <f t="shared" si="35"/>
        <v>1</v>
      </c>
      <c r="Q186">
        <v>0.803076923</v>
      </c>
      <c r="R186">
        <f t="shared" si="36"/>
        <v>1</v>
      </c>
      <c r="S186">
        <v>0.88106244802474998</v>
      </c>
      <c r="T186">
        <f t="shared" si="32"/>
        <v>1</v>
      </c>
      <c r="U186" s="7">
        <v>0.64791799999999999</v>
      </c>
      <c r="V186">
        <v>1</v>
      </c>
      <c r="X186">
        <v>1</v>
      </c>
    </row>
    <row r="187" spans="1:24">
      <c r="A187" s="1">
        <v>1</v>
      </c>
      <c r="B187" s="1" t="s">
        <v>186</v>
      </c>
      <c r="C187" s="1">
        <v>1</v>
      </c>
      <c r="D187" s="33">
        <v>1</v>
      </c>
      <c r="E187" s="37">
        <v>1</v>
      </c>
      <c r="F187" s="37">
        <v>1</v>
      </c>
      <c r="G187">
        <v>0.52585691199999995</v>
      </c>
      <c r="H187">
        <f t="shared" si="30"/>
        <v>1</v>
      </c>
      <c r="I187">
        <v>0.74071770906448298</v>
      </c>
      <c r="J187">
        <f t="shared" si="31"/>
        <v>1</v>
      </c>
      <c r="K187">
        <v>0.83604699373245195</v>
      </c>
      <c r="L187">
        <f t="shared" si="33"/>
        <v>1</v>
      </c>
      <c r="M187">
        <v>0.85154163800000005</v>
      </c>
      <c r="N187">
        <f t="shared" si="34"/>
        <v>1</v>
      </c>
      <c r="O187">
        <v>0.93605935573577903</v>
      </c>
      <c r="P187">
        <f t="shared" si="35"/>
        <v>1</v>
      </c>
      <c r="Q187">
        <v>0.53547602900000002</v>
      </c>
      <c r="R187">
        <f t="shared" si="36"/>
        <v>1</v>
      </c>
      <c r="S187">
        <v>0.67413663864135698</v>
      </c>
      <c r="T187">
        <f t="shared" si="32"/>
        <v>1</v>
      </c>
      <c r="U187" s="1">
        <v>0.62535490000000005</v>
      </c>
      <c r="V187">
        <v>1</v>
      </c>
      <c r="X187">
        <v>0</v>
      </c>
    </row>
    <row r="188" spans="1:24">
      <c r="A188" s="1">
        <v>1</v>
      </c>
      <c r="B188" s="1" t="s">
        <v>187</v>
      </c>
      <c r="C188" s="1">
        <v>1</v>
      </c>
      <c r="D188" s="33">
        <v>1</v>
      </c>
      <c r="E188" s="37">
        <v>1</v>
      </c>
      <c r="F188" s="37">
        <v>1</v>
      </c>
      <c r="G188">
        <v>0.70910638599999998</v>
      </c>
      <c r="H188">
        <f t="shared" si="30"/>
        <v>1</v>
      </c>
      <c r="I188">
        <v>0.80172997713089</v>
      </c>
      <c r="J188">
        <f t="shared" si="31"/>
        <v>1</v>
      </c>
      <c r="K188">
        <v>0.77533918619155895</v>
      </c>
      <c r="L188">
        <f t="shared" si="33"/>
        <v>1</v>
      </c>
      <c r="M188">
        <v>0.88464140899999999</v>
      </c>
      <c r="N188">
        <f t="shared" si="34"/>
        <v>1</v>
      </c>
      <c r="O188">
        <v>0.94826036691665605</v>
      </c>
      <c r="P188">
        <f t="shared" si="35"/>
        <v>1</v>
      </c>
      <c r="Q188">
        <v>0.53502112599999996</v>
      </c>
      <c r="R188">
        <f t="shared" si="36"/>
        <v>1</v>
      </c>
      <c r="S188">
        <v>0.66585642099380504</v>
      </c>
      <c r="T188">
        <f t="shared" si="32"/>
        <v>1</v>
      </c>
      <c r="U188" s="1">
        <v>0.51115299999999997</v>
      </c>
      <c r="V188">
        <v>0</v>
      </c>
      <c r="X188">
        <v>0</v>
      </c>
    </row>
    <row r="189" spans="1:24">
      <c r="A189" s="1">
        <v>1</v>
      </c>
      <c r="B189" s="1" t="s">
        <v>188</v>
      </c>
      <c r="C189" s="1">
        <v>1</v>
      </c>
      <c r="D189" s="33">
        <v>1</v>
      </c>
      <c r="E189" s="37">
        <v>1</v>
      </c>
      <c r="F189" s="37">
        <v>1</v>
      </c>
      <c r="G189">
        <v>0.54213434500000002</v>
      </c>
      <c r="H189">
        <f t="shared" si="30"/>
        <v>1</v>
      </c>
      <c r="I189">
        <v>0.22583311796188299</v>
      </c>
      <c r="J189">
        <f t="shared" si="31"/>
        <v>0</v>
      </c>
      <c r="K189">
        <v>0.192471697926521</v>
      </c>
      <c r="L189">
        <f t="shared" si="33"/>
        <v>0</v>
      </c>
      <c r="M189">
        <v>0.16623365900000001</v>
      </c>
      <c r="N189">
        <f t="shared" si="34"/>
        <v>0</v>
      </c>
      <c r="O189">
        <v>0.63423556089401201</v>
      </c>
      <c r="P189">
        <f t="shared" si="35"/>
        <v>1</v>
      </c>
      <c r="Q189">
        <v>0.57256513799999997</v>
      </c>
      <c r="R189">
        <f t="shared" si="36"/>
        <v>1</v>
      </c>
      <c r="S189">
        <v>2.0569717511535E-2</v>
      </c>
      <c r="T189">
        <f t="shared" si="32"/>
        <v>0</v>
      </c>
      <c r="U189" s="1">
        <v>0.59792124999999996</v>
      </c>
      <c r="V189">
        <v>1</v>
      </c>
      <c r="X189">
        <v>0</v>
      </c>
    </row>
    <row r="190" spans="1:24">
      <c r="A190" s="1">
        <v>1</v>
      </c>
      <c r="B190" s="1" t="s">
        <v>189</v>
      </c>
      <c r="C190" s="1">
        <v>1</v>
      </c>
      <c r="D190" s="33">
        <v>0</v>
      </c>
      <c r="E190" s="36">
        <v>0</v>
      </c>
      <c r="F190" s="37">
        <v>1</v>
      </c>
      <c r="G190">
        <v>0.94837260199999995</v>
      </c>
      <c r="H190">
        <f t="shared" si="30"/>
        <v>1</v>
      </c>
      <c r="I190">
        <v>0.99933087825775102</v>
      </c>
      <c r="J190">
        <f t="shared" si="31"/>
        <v>1</v>
      </c>
      <c r="K190">
        <v>0.99811553955078103</v>
      </c>
      <c r="L190">
        <f t="shared" si="33"/>
        <v>1</v>
      </c>
      <c r="M190">
        <v>0.99999844999999998</v>
      </c>
      <c r="N190">
        <f t="shared" si="34"/>
        <v>1</v>
      </c>
      <c r="O190">
        <v>0.99976342916488603</v>
      </c>
      <c r="P190">
        <f t="shared" si="35"/>
        <v>1</v>
      </c>
      <c r="Q190">
        <v>0.87879157100000005</v>
      </c>
      <c r="R190">
        <f t="shared" si="36"/>
        <v>1</v>
      </c>
      <c r="S190">
        <v>0.998626708984375</v>
      </c>
      <c r="T190">
        <f t="shared" si="32"/>
        <v>1</v>
      </c>
      <c r="U190" s="1">
        <v>0.76878314999999997</v>
      </c>
      <c r="V190">
        <v>1</v>
      </c>
      <c r="X190">
        <v>0</v>
      </c>
    </row>
    <row r="191" spans="1:24">
      <c r="A191" s="1">
        <v>1</v>
      </c>
      <c r="B191" s="1" t="s">
        <v>190</v>
      </c>
      <c r="C191" s="1">
        <v>1</v>
      </c>
      <c r="D191" s="33">
        <v>1</v>
      </c>
      <c r="E191" s="37">
        <v>1</v>
      </c>
      <c r="F191" s="37">
        <v>1</v>
      </c>
      <c r="G191">
        <v>0.88208562099999999</v>
      </c>
      <c r="H191">
        <f t="shared" si="30"/>
        <v>1</v>
      </c>
      <c r="I191">
        <v>0.97910302877426203</v>
      </c>
      <c r="J191">
        <f t="shared" si="31"/>
        <v>1</v>
      </c>
      <c r="K191">
        <v>0.63316011428832997</v>
      </c>
      <c r="L191">
        <f t="shared" si="33"/>
        <v>1</v>
      </c>
      <c r="M191">
        <v>0.60881167700000005</v>
      </c>
      <c r="N191">
        <f t="shared" si="34"/>
        <v>1</v>
      </c>
      <c r="O191">
        <v>0.98869228363037098</v>
      </c>
      <c r="P191">
        <f t="shared" si="35"/>
        <v>1</v>
      </c>
      <c r="Q191">
        <v>0.39436817200000002</v>
      </c>
      <c r="R191">
        <f t="shared" si="36"/>
        <v>0</v>
      </c>
      <c r="S191">
        <v>0.93524259328842196</v>
      </c>
      <c r="T191">
        <f t="shared" si="32"/>
        <v>1</v>
      </c>
      <c r="U191" s="1">
        <v>0.72717489999999996</v>
      </c>
      <c r="V191">
        <v>1</v>
      </c>
      <c r="X191">
        <v>0</v>
      </c>
    </row>
    <row r="192" spans="1:24">
      <c r="A192" s="1">
        <v>1</v>
      </c>
      <c r="B192" s="1" t="s">
        <v>191</v>
      </c>
      <c r="C192" s="1">
        <v>1</v>
      </c>
      <c r="D192" s="33">
        <v>1</v>
      </c>
      <c r="E192" s="37">
        <v>1</v>
      </c>
      <c r="F192" s="37">
        <v>1</v>
      </c>
      <c r="G192">
        <v>0.97745454300000001</v>
      </c>
      <c r="H192">
        <f t="shared" si="30"/>
        <v>1</v>
      </c>
      <c r="I192">
        <v>0.99947875738143899</v>
      </c>
      <c r="J192">
        <f t="shared" si="31"/>
        <v>1</v>
      </c>
      <c r="K192">
        <v>0.99937361478805498</v>
      </c>
      <c r="L192">
        <f t="shared" si="33"/>
        <v>1</v>
      </c>
      <c r="M192">
        <v>0.99999284700000002</v>
      </c>
      <c r="N192">
        <f t="shared" si="34"/>
        <v>1</v>
      </c>
      <c r="O192">
        <v>0.99994754791259799</v>
      </c>
      <c r="P192">
        <f t="shared" si="35"/>
        <v>1</v>
      </c>
      <c r="Q192">
        <v>0.88859653500000002</v>
      </c>
      <c r="R192">
        <f t="shared" si="36"/>
        <v>1</v>
      </c>
      <c r="S192">
        <v>0.99999701976776101</v>
      </c>
      <c r="T192">
        <f t="shared" si="32"/>
        <v>1</v>
      </c>
      <c r="U192" s="1">
        <v>0.80023056000000004</v>
      </c>
      <c r="V192">
        <v>1</v>
      </c>
      <c r="X192">
        <v>0</v>
      </c>
    </row>
    <row r="193" spans="1:24">
      <c r="A193" s="1">
        <v>1</v>
      </c>
      <c r="B193" s="1" t="s">
        <v>192</v>
      </c>
      <c r="C193" s="1">
        <v>1</v>
      </c>
      <c r="D193" s="33">
        <v>1</v>
      </c>
      <c r="E193" s="37">
        <v>1</v>
      </c>
      <c r="F193" s="37">
        <v>1</v>
      </c>
      <c r="G193">
        <v>0.96042382699999995</v>
      </c>
      <c r="H193">
        <f t="shared" si="30"/>
        <v>1</v>
      </c>
      <c r="I193">
        <v>0.997633576393127</v>
      </c>
      <c r="J193">
        <f t="shared" si="31"/>
        <v>1</v>
      </c>
      <c r="K193">
        <v>0.99498158693313599</v>
      </c>
      <c r="L193">
        <f t="shared" si="33"/>
        <v>1</v>
      </c>
      <c r="M193">
        <v>0.99987423399999997</v>
      </c>
      <c r="N193">
        <f t="shared" si="34"/>
        <v>1</v>
      </c>
      <c r="O193">
        <v>0.99999976158142101</v>
      </c>
      <c r="P193">
        <f t="shared" si="35"/>
        <v>1</v>
      </c>
      <c r="Q193">
        <v>0.86394268299999999</v>
      </c>
      <c r="R193">
        <f t="shared" si="36"/>
        <v>1</v>
      </c>
      <c r="S193">
        <v>0.99707603454589799</v>
      </c>
      <c r="T193">
        <f t="shared" si="32"/>
        <v>1</v>
      </c>
      <c r="U193" s="1">
        <v>0.77091836999999996</v>
      </c>
      <c r="V193">
        <v>1</v>
      </c>
      <c r="X193">
        <v>0</v>
      </c>
    </row>
    <row r="194" spans="1:24">
      <c r="A194" s="1">
        <v>1</v>
      </c>
      <c r="B194" s="7" t="s">
        <v>193</v>
      </c>
      <c r="C194" s="1">
        <v>1</v>
      </c>
      <c r="D194" s="33">
        <v>1</v>
      </c>
      <c r="E194" s="37">
        <v>1</v>
      </c>
      <c r="F194" s="37">
        <v>1</v>
      </c>
      <c r="G194">
        <v>0.58353757900000003</v>
      </c>
      <c r="H194">
        <f t="shared" si="30"/>
        <v>1</v>
      </c>
      <c r="I194">
        <v>0.25040343403816201</v>
      </c>
      <c r="J194">
        <f t="shared" si="31"/>
        <v>0</v>
      </c>
      <c r="K194">
        <v>0.203548178076744</v>
      </c>
      <c r="L194">
        <f t="shared" si="33"/>
        <v>0</v>
      </c>
      <c r="M194">
        <v>8.0284148E-2</v>
      </c>
      <c r="N194">
        <f t="shared" si="34"/>
        <v>0</v>
      </c>
      <c r="O194">
        <v>0.847803354263306</v>
      </c>
      <c r="P194">
        <f t="shared" si="35"/>
        <v>1</v>
      </c>
      <c r="Q194">
        <v>0.380396187</v>
      </c>
      <c r="R194">
        <f t="shared" si="36"/>
        <v>0</v>
      </c>
      <c r="S194" s="30">
        <v>1.28999263324658E-5</v>
      </c>
      <c r="T194">
        <f t="shared" si="32"/>
        <v>0</v>
      </c>
      <c r="U194" s="7">
        <v>0.3739904</v>
      </c>
      <c r="V194">
        <v>0</v>
      </c>
      <c r="X194">
        <v>1</v>
      </c>
    </row>
    <row r="195" spans="1:24">
      <c r="A195" s="1">
        <v>1</v>
      </c>
      <c r="B195" s="1" t="s">
        <v>194</v>
      </c>
      <c r="C195" s="1">
        <v>1</v>
      </c>
      <c r="D195" s="33">
        <v>1</v>
      </c>
      <c r="E195" s="37">
        <v>1</v>
      </c>
      <c r="F195" s="37">
        <v>1</v>
      </c>
      <c r="G195">
        <v>0.96347898200000004</v>
      </c>
      <c r="H195">
        <f t="shared" si="30"/>
        <v>1</v>
      </c>
      <c r="I195">
        <v>0.99419021606445301</v>
      </c>
      <c r="J195">
        <f t="shared" si="31"/>
        <v>1</v>
      </c>
      <c r="K195">
        <v>0.93427777290344205</v>
      </c>
      <c r="L195">
        <f t="shared" si="33"/>
        <v>1</v>
      </c>
      <c r="M195">
        <v>0.99103373299999997</v>
      </c>
      <c r="N195">
        <f t="shared" si="34"/>
        <v>1</v>
      </c>
      <c r="O195">
        <v>0.99999725818634</v>
      </c>
      <c r="P195">
        <f t="shared" si="35"/>
        <v>1</v>
      </c>
      <c r="Q195">
        <v>0.812456548</v>
      </c>
      <c r="R195">
        <f t="shared" si="36"/>
        <v>1</v>
      </c>
      <c r="S195">
        <v>0.97734069824218806</v>
      </c>
      <c r="T195">
        <f t="shared" si="32"/>
        <v>1</v>
      </c>
      <c r="U195" s="1">
        <v>0.74813819999999998</v>
      </c>
      <c r="V195">
        <v>1</v>
      </c>
      <c r="X195">
        <v>0</v>
      </c>
    </row>
    <row r="196" spans="1:24">
      <c r="A196" s="1">
        <v>1</v>
      </c>
      <c r="B196" s="1" t="s">
        <v>195</v>
      </c>
      <c r="C196" s="1">
        <v>1</v>
      </c>
      <c r="D196" s="33">
        <v>0</v>
      </c>
      <c r="E196" s="36">
        <v>0</v>
      </c>
      <c r="F196" s="37">
        <v>1</v>
      </c>
      <c r="G196">
        <v>0.79727435099999999</v>
      </c>
      <c r="H196">
        <f t="shared" si="30"/>
        <v>1</v>
      </c>
      <c r="I196">
        <v>0.194515630602837</v>
      </c>
      <c r="J196">
        <f t="shared" si="31"/>
        <v>0</v>
      </c>
      <c r="K196">
        <v>0.25899839401245101</v>
      </c>
      <c r="L196">
        <f t="shared" si="33"/>
        <v>0</v>
      </c>
      <c r="M196">
        <v>0.105383985</v>
      </c>
      <c r="N196">
        <f t="shared" si="34"/>
        <v>0</v>
      </c>
      <c r="O196">
        <v>0.70803952217102095</v>
      </c>
      <c r="P196">
        <f t="shared" si="35"/>
        <v>1</v>
      </c>
      <c r="Q196">
        <v>0.27213731400000002</v>
      </c>
      <c r="R196">
        <f t="shared" si="36"/>
        <v>0</v>
      </c>
      <c r="S196">
        <v>4.8411488533019999E-2</v>
      </c>
      <c r="T196">
        <f t="shared" si="32"/>
        <v>0</v>
      </c>
      <c r="U196" s="1">
        <v>0.48359545999999998</v>
      </c>
      <c r="V196">
        <v>0</v>
      </c>
      <c r="X196">
        <v>0</v>
      </c>
    </row>
    <row r="197" spans="1:24">
      <c r="A197" s="1">
        <v>1</v>
      </c>
      <c r="B197" s="1" t="s">
        <v>196</v>
      </c>
      <c r="C197" s="1">
        <v>1</v>
      </c>
      <c r="D197" s="33">
        <v>0</v>
      </c>
      <c r="E197" s="37">
        <v>1</v>
      </c>
      <c r="F197" s="37">
        <v>1</v>
      </c>
      <c r="G197">
        <v>0.92074060400000002</v>
      </c>
      <c r="H197">
        <f t="shared" si="30"/>
        <v>1</v>
      </c>
      <c r="I197">
        <v>0.99907243251800504</v>
      </c>
      <c r="J197">
        <f t="shared" si="31"/>
        <v>1</v>
      </c>
      <c r="K197">
        <v>0.94930565357208196</v>
      </c>
      <c r="L197">
        <f t="shared" si="33"/>
        <v>1</v>
      </c>
      <c r="M197">
        <v>0.98487687099999999</v>
      </c>
      <c r="N197">
        <f t="shared" si="34"/>
        <v>1</v>
      </c>
      <c r="O197">
        <v>0.94346219301223799</v>
      </c>
      <c r="P197">
        <f t="shared" si="35"/>
        <v>1</v>
      </c>
      <c r="Q197">
        <v>0.880360484</v>
      </c>
      <c r="R197">
        <f t="shared" si="36"/>
        <v>1</v>
      </c>
      <c r="S197">
        <v>0.95791560411453203</v>
      </c>
      <c r="T197">
        <f t="shared" si="32"/>
        <v>1</v>
      </c>
      <c r="U197" s="1">
        <v>0.79044619999999999</v>
      </c>
      <c r="V197">
        <v>1</v>
      </c>
      <c r="X197">
        <v>0</v>
      </c>
    </row>
    <row r="198" spans="1:24">
      <c r="A198" s="1">
        <v>1</v>
      </c>
      <c r="B198" s="1" t="s">
        <v>197</v>
      </c>
      <c r="C198" s="1">
        <v>1</v>
      </c>
      <c r="D198" s="33">
        <v>1</v>
      </c>
      <c r="E198" s="37">
        <v>1</v>
      </c>
      <c r="F198" s="37">
        <v>1</v>
      </c>
      <c r="G198">
        <v>0.69038468600000003</v>
      </c>
      <c r="H198">
        <f t="shared" si="30"/>
        <v>1</v>
      </c>
      <c r="I198">
        <v>0.89783912897109996</v>
      </c>
      <c r="J198">
        <f t="shared" si="31"/>
        <v>1</v>
      </c>
      <c r="K198">
        <v>0.94791728258132901</v>
      </c>
      <c r="L198">
        <f t="shared" si="33"/>
        <v>1</v>
      </c>
      <c r="M198">
        <v>0.78733301200000005</v>
      </c>
      <c r="N198">
        <f t="shared" si="34"/>
        <v>1</v>
      </c>
      <c r="O198">
        <v>0.993552446365356</v>
      </c>
      <c r="P198">
        <f t="shared" si="35"/>
        <v>1</v>
      </c>
      <c r="Q198">
        <v>0.58230233200000003</v>
      </c>
      <c r="R198">
        <f t="shared" si="36"/>
        <v>1</v>
      </c>
      <c r="S198">
        <v>0.986344695091248</v>
      </c>
      <c r="T198">
        <f t="shared" si="32"/>
        <v>1</v>
      </c>
      <c r="U198" s="1">
        <v>0.73606132999999996</v>
      </c>
      <c r="V198">
        <v>1</v>
      </c>
      <c r="X198">
        <v>0</v>
      </c>
    </row>
    <row r="199" spans="1:24">
      <c r="A199" s="1">
        <v>1</v>
      </c>
      <c r="B199" s="1" t="s">
        <v>198</v>
      </c>
      <c r="C199" s="1">
        <v>1</v>
      </c>
      <c r="D199" s="33">
        <v>1</v>
      </c>
      <c r="E199" s="37">
        <v>1</v>
      </c>
      <c r="F199" s="37">
        <v>1</v>
      </c>
      <c r="G199">
        <v>0.92840242399999995</v>
      </c>
      <c r="H199">
        <f t="shared" si="30"/>
        <v>1</v>
      </c>
      <c r="I199">
        <v>0.99361491203308105</v>
      </c>
      <c r="J199">
        <f t="shared" si="31"/>
        <v>1</v>
      </c>
      <c r="K199">
        <v>0.85175526142120395</v>
      </c>
      <c r="L199">
        <f t="shared" si="33"/>
        <v>1</v>
      </c>
      <c r="M199">
        <v>0.97025638800000003</v>
      </c>
      <c r="N199">
        <f t="shared" si="34"/>
        <v>1</v>
      </c>
      <c r="O199">
        <v>0.99850201606750499</v>
      </c>
      <c r="P199">
        <f t="shared" si="35"/>
        <v>1</v>
      </c>
      <c r="Q199">
        <v>0.78067928600000003</v>
      </c>
      <c r="R199">
        <f t="shared" si="36"/>
        <v>1</v>
      </c>
      <c r="S199">
        <v>0.98143529891967796</v>
      </c>
      <c r="T199">
        <f t="shared" si="32"/>
        <v>1</v>
      </c>
      <c r="U199" s="1">
        <v>0.63605535000000002</v>
      </c>
      <c r="V199">
        <v>1</v>
      </c>
      <c r="X199">
        <v>0</v>
      </c>
    </row>
    <row r="200" spans="1:24">
      <c r="A200" s="1">
        <v>1</v>
      </c>
      <c r="B200" s="1" t="s">
        <v>199</v>
      </c>
      <c r="C200" s="1">
        <v>1</v>
      </c>
      <c r="D200" s="33">
        <v>1</v>
      </c>
      <c r="E200" s="37">
        <v>1</v>
      </c>
      <c r="F200" s="37">
        <v>1</v>
      </c>
      <c r="G200">
        <v>0.91891896699999998</v>
      </c>
      <c r="H200">
        <f t="shared" si="30"/>
        <v>1</v>
      </c>
      <c r="I200">
        <v>0.99885451793670599</v>
      </c>
      <c r="J200">
        <f t="shared" si="31"/>
        <v>1</v>
      </c>
      <c r="K200">
        <v>0.99769079685211204</v>
      </c>
      <c r="L200">
        <f t="shared" si="33"/>
        <v>1</v>
      </c>
      <c r="M200">
        <v>0.99998986700000003</v>
      </c>
      <c r="N200">
        <f t="shared" si="34"/>
        <v>1</v>
      </c>
      <c r="O200">
        <v>0.98434329032898005</v>
      </c>
      <c r="P200">
        <f t="shared" si="35"/>
        <v>1</v>
      </c>
      <c r="Q200">
        <v>0.90673440699999996</v>
      </c>
      <c r="R200">
        <f t="shared" si="36"/>
        <v>1</v>
      </c>
      <c r="S200">
        <v>0.99949836730956998</v>
      </c>
      <c r="T200">
        <f t="shared" si="32"/>
        <v>1</v>
      </c>
      <c r="U200" s="1">
        <v>0.76462036</v>
      </c>
      <c r="V200">
        <v>1</v>
      </c>
      <c r="X200">
        <v>0</v>
      </c>
    </row>
    <row r="201" spans="1:24">
      <c r="A201" s="1">
        <v>1</v>
      </c>
      <c r="B201" s="1" t="s">
        <v>200</v>
      </c>
      <c r="C201" s="1">
        <v>1</v>
      </c>
      <c r="D201" s="33">
        <v>1</v>
      </c>
      <c r="E201" s="37">
        <v>1</v>
      </c>
      <c r="F201" s="37">
        <v>1</v>
      </c>
      <c r="G201">
        <v>0.52428317099999999</v>
      </c>
      <c r="H201">
        <f t="shared" si="30"/>
        <v>1</v>
      </c>
      <c r="I201">
        <v>0.96962296962738004</v>
      </c>
      <c r="J201">
        <f t="shared" si="31"/>
        <v>1</v>
      </c>
      <c r="K201">
        <v>0.90361142158508301</v>
      </c>
      <c r="L201">
        <f t="shared" si="33"/>
        <v>1</v>
      </c>
      <c r="M201">
        <v>0.62106847799999998</v>
      </c>
      <c r="N201">
        <f t="shared" si="34"/>
        <v>1</v>
      </c>
      <c r="O201">
        <v>0.89797371625900302</v>
      </c>
      <c r="P201">
        <f t="shared" si="35"/>
        <v>1</v>
      </c>
      <c r="Q201">
        <v>0.70016545100000005</v>
      </c>
      <c r="R201">
        <f t="shared" si="36"/>
        <v>1</v>
      </c>
      <c r="S201">
        <v>0.77605879306793202</v>
      </c>
      <c r="T201">
        <f t="shared" si="32"/>
        <v>1</v>
      </c>
      <c r="U201" s="1">
        <v>0.7489247</v>
      </c>
      <c r="V201">
        <v>1</v>
      </c>
      <c r="X201">
        <v>0</v>
      </c>
    </row>
    <row r="202" spans="1:24">
      <c r="A202" s="1">
        <v>1</v>
      </c>
      <c r="B202" s="7" t="s">
        <v>201</v>
      </c>
      <c r="C202" s="1">
        <v>1</v>
      </c>
      <c r="D202" s="33">
        <v>1</v>
      </c>
      <c r="E202" s="37">
        <v>1</v>
      </c>
      <c r="F202" s="37">
        <v>1</v>
      </c>
      <c r="G202">
        <v>0.71963214900000005</v>
      </c>
      <c r="H202">
        <f t="shared" si="30"/>
        <v>1</v>
      </c>
      <c r="I202">
        <v>0.97236585617065396</v>
      </c>
      <c r="J202">
        <f t="shared" si="31"/>
        <v>1</v>
      </c>
      <c r="K202">
        <v>0.95730137825012196</v>
      </c>
      <c r="L202">
        <f t="shared" si="33"/>
        <v>1</v>
      </c>
      <c r="M202">
        <v>0.95408040299999997</v>
      </c>
      <c r="N202">
        <f t="shared" si="34"/>
        <v>1</v>
      </c>
      <c r="O202">
        <v>0.99921548366546598</v>
      </c>
      <c r="P202">
        <f t="shared" si="35"/>
        <v>1</v>
      </c>
      <c r="Q202">
        <v>0.43486005100000003</v>
      </c>
      <c r="R202">
        <f t="shared" si="36"/>
        <v>0</v>
      </c>
      <c r="S202">
        <v>0.99471312761306796</v>
      </c>
      <c r="T202">
        <f t="shared" si="32"/>
        <v>1</v>
      </c>
      <c r="U202" s="7">
        <v>0.76671314000000002</v>
      </c>
      <c r="V202">
        <v>1</v>
      </c>
      <c r="X202">
        <v>1</v>
      </c>
    </row>
    <row r="203" spans="1:24">
      <c r="A203" s="1" t="s">
        <v>202</v>
      </c>
      <c r="B203" s="1"/>
      <c r="D203" s="33"/>
      <c r="E203" s="38"/>
      <c r="F203" s="38"/>
      <c r="X203">
        <v>2</v>
      </c>
    </row>
    <row r="204" spans="1:24">
      <c r="A204" s="1">
        <v>0</v>
      </c>
      <c r="B204" s="1" t="s">
        <v>203</v>
      </c>
      <c r="C204" s="1">
        <v>0</v>
      </c>
      <c r="D204" s="33">
        <v>0</v>
      </c>
      <c r="E204" s="36">
        <v>0</v>
      </c>
      <c r="F204" s="37">
        <v>0</v>
      </c>
      <c r="G204" s="30">
        <v>1.4527917E-2</v>
      </c>
      <c r="H204">
        <f t="shared" si="30"/>
        <v>0</v>
      </c>
      <c r="I204" s="30">
        <v>2.6073595508930001E-3</v>
      </c>
      <c r="J204">
        <f t="shared" si="31"/>
        <v>0</v>
      </c>
      <c r="K204">
        <v>2.2173395380377998E-2</v>
      </c>
      <c r="L204">
        <f t="shared" ref="L204:L215" si="37">IF(K204&gt;$A$2,1,0)</f>
        <v>0</v>
      </c>
      <c r="M204" s="30">
        <v>2.2475630000000002E-3</v>
      </c>
      <c r="N204">
        <f t="shared" ref="N204:N215" si="38">IF(M204&gt;$A$2,1,0)</f>
        <v>0</v>
      </c>
      <c r="O204" s="30">
        <v>5.1191202364859996E-3</v>
      </c>
      <c r="P204">
        <f t="shared" ref="P204:P215" si="39">IF(O204&gt;$A$2,1,0)</f>
        <v>0</v>
      </c>
      <c r="Q204">
        <v>2.3433236E-2</v>
      </c>
      <c r="R204">
        <f t="shared" ref="R204:R215" si="40">IF(Q204&gt;$A$2,1,0)</f>
        <v>0</v>
      </c>
      <c r="S204" s="30">
        <v>5.8965972129953998E-5</v>
      </c>
      <c r="T204">
        <f t="shared" si="32"/>
        <v>0</v>
      </c>
      <c r="U204" s="1">
        <v>0.10931726999999999</v>
      </c>
      <c r="V204">
        <v>0</v>
      </c>
      <c r="X204">
        <v>0</v>
      </c>
    </row>
    <row r="205" spans="1:24">
      <c r="A205" s="1">
        <v>0</v>
      </c>
      <c r="B205" s="7" t="s">
        <v>204</v>
      </c>
      <c r="C205" s="1">
        <v>0</v>
      </c>
      <c r="D205" s="33">
        <v>0</v>
      </c>
      <c r="E205" s="36">
        <v>0</v>
      </c>
      <c r="F205" s="37">
        <v>1</v>
      </c>
      <c r="G205">
        <v>0.17500053300000001</v>
      </c>
      <c r="H205">
        <f t="shared" si="30"/>
        <v>0</v>
      </c>
      <c r="I205">
        <v>4.5026816427707998E-2</v>
      </c>
      <c r="J205">
        <f t="shared" si="31"/>
        <v>0</v>
      </c>
      <c r="K205">
        <v>0.29509595036506597</v>
      </c>
      <c r="L205">
        <f t="shared" si="37"/>
        <v>0</v>
      </c>
      <c r="M205" s="30">
        <v>0.16558377399999999</v>
      </c>
      <c r="N205">
        <f t="shared" si="38"/>
        <v>0</v>
      </c>
      <c r="O205">
        <v>0.23816078901290899</v>
      </c>
      <c r="P205">
        <f t="shared" si="39"/>
        <v>0</v>
      </c>
      <c r="Q205">
        <v>0.26763907100000001</v>
      </c>
      <c r="R205">
        <f t="shared" si="40"/>
        <v>0</v>
      </c>
      <c r="S205">
        <v>7.5522758066653997E-2</v>
      </c>
      <c r="T205">
        <f t="shared" si="32"/>
        <v>0</v>
      </c>
      <c r="U205" s="7">
        <v>0.37263030000000003</v>
      </c>
      <c r="V205">
        <v>0</v>
      </c>
      <c r="X205">
        <v>1</v>
      </c>
    </row>
    <row r="206" spans="1:24">
      <c r="A206" s="1">
        <v>0</v>
      </c>
      <c r="B206" s="1" t="s">
        <v>205</v>
      </c>
      <c r="C206" s="1">
        <v>0</v>
      </c>
      <c r="D206" s="33">
        <v>0</v>
      </c>
      <c r="E206" s="36">
        <v>0</v>
      </c>
      <c r="F206" s="37">
        <v>0</v>
      </c>
      <c r="G206">
        <v>0.43332353200000001</v>
      </c>
      <c r="H206">
        <f t="shared" si="30"/>
        <v>0</v>
      </c>
      <c r="I206">
        <v>7.0423446595669001E-2</v>
      </c>
      <c r="J206">
        <f t="shared" si="31"/>
        <v>0</v>
      </c>
      <c r="K206">
        <v>0.54478931427001998</v>
      </c>
      <c r="L206">
        <f t="shared" si="37"/>
        <v>1</v>
      </c>
      <c r="M206">
        <v>0.17307065399999999</v>
      </c>
      <c r="N206">
        <f t="shared" si="38"/>
        <v>0</v>
      </c>
      <c r="O206">
        <v>0.457837164402008</v>
      </c>
      <c r="P206">
        <f t="shared" si="39"/>
        <v>0</v>
      </c>
      <c r="Q206">
        <v>0.343589425</v>
      </c>
      <c r="R206">
        <f t="shared" si="40"/>
        <v>0</v>
      </c>
      <c r="S206">
        <v>2.4736955761909998E-2</v>
      </c>
      <c r="T206">
        <f t="shared" si="32"/>
        <v>0</v>
      </c>
      <c r="U206" s="1">
        <v>0.57371885</v>
      </c>
      <c r="V206">
        <v>0</v>
      </c>
      <c r="X206">
        <v>0</v>
      </c>
    </row>
    <row r="207" spans="1:24">
      <c r="A207" s="1">
        <v>0</v>
      </c>
      <c r="B207" s="1" t="s">
        <v>206</v>
      </c>
      <c r="C207" s="1">
        <v>0</v>
      </c>
      <c r="D207" s="33">
        <v>0</v>
      </c>
      <c r="E207" s="37">
        <v>1</v>
      </c>
      <c r="F207" s="37">
        <v>1</v>
      </c>
      <c r="G207">
        <v>0.228688434</v>
      </c>
      <c r="H207">
        <f t="shared" si="30"/>
        <v>0</v>
      </c>
      <c r="I207">
        <v>0.54706043004989602</v>
      </c>
      <c r="J207">
        <f t="shared" si="31"/>
        <v>1</v>
      </c>
      <c r="K207">
        <v>0.39867532253265398</v>
      </c>
      <c r="L207">
        <f t="shared" si="37"/>
        <v>0</v>
      </c>
      <c r="M207">
        <v>3.7731899999999998E-4</v>
      </c>
      <c r="N207">
        <f t="shared" si="38"/>
        <v>0</v>
      </c>
      <c r="O207">
        <v>0.71415215730667103</v>
      </c>
      <c r="P207">
        <f t="shared" si="39"/>
        <v>1</v>
      </c>
      <c r="Q207">
        <v>0.560272098</v>
      </c>
      <c r="R207">
        <f t="shared" si="40"/>
        <v>1</v>
      </c>
      <c r="S207">
        <v>0.149173468351364</v>
      </c>
      <c r="T207">
        <f t="shared" si="32"/>
        <v>0</v>
      </c>
      <c r="U207" s="1">
        <v>0.69571749999999999</v>
      </c>
      <c r="V207">
        <v>1</v>
      </c>
      <c r="X207">
        <v>0</v>
      </c>
    </row>
    <row r="208" spans="1:24">
      <c r="A208" s="1">
        <v>0</v>
      </c>
      <c r="B208" s="1" t="s">
        <v>207</v>
      </c>
      <c r="C208" s="1">
        <v>0</v>
      </c>
      <c r="D208" s="33">
        <v>0</v>
      </c>
      <c r="E208" s="37">
        <v>0</v>
      </c>
      <c r="F208" s="37">
        <v>0</v>
      </c>
      <c r="G208">
        <v>0.77319461099999998</v>
      </c>
      <c r="H208">
        <f t="shared" si="30"/>
        <v>1</v>
      </c>
      <c r="I208">
        <v>0.98236751556396495</v>
      </c>
      <c r="J208">
        <f t="shared" si="31"/>
        <v>1</v>
      </c>
      <c r="K208">
        <v>0.74268549680709794</v>
      </c>
      <c r="L208">
        <f t="shared" si="37"/>
        <v>1</v>
      </c>
      <c r="M208" s="30">
        <v>0.35144063800000003</v>
      </c>
      <c r="N208">
        <f t="shared" si="38"/>
        <v>0</v>
      </c>
      <c r="O208">
        <v>0.978107750415802</v>
      </c>
      <c r="P208">
        <f t="shared" si="39"/>
        <v>1</v>
      </c>
      <c r="Q208">
        <v>0.90694260599999998</v>
      </c>
      <c r="R208">
        <f t="shared" si="40"/>
        <v>1</v>
      </c>
      <c r="S208">
        <v>0.45270577073097201</v>
      </c>
      <c r="T208">
        <f t="shared" si="32"/>
        <v>0</v>
      </c>
      <c r="U208" s="1">
        <v>0.64907044000000003</v>
      </c>
      <c r="V208">
        <v>1</v>
      </c>
      <c r="X208">
        <v>0</v>
      </c>
    </row>
    <row r="209" spans="1:24">
      <c r="A209" s="1">
        <v>0</v>
      </c>
      <c r="B209" s="1" t="s">
        <v>208</v>
      </c>
      <c r="C209" s="1">
        <v>0</v>
      </c>
      <c r="D209" s="33">
        <v>0</v>
      </c>
      <c r="E209" s="36">
        <v>0</v>
      </c>
      <c r="F209" s="37">
        <v>0</v>
      </c>
      <c r="G209" s="30">
        <v>2.8848242E-2</v>
      </c>
      <c r="H209">
        <f t="shared" si="30"/>
        <v>0</v>
      </c>
      <c r="I209" s="30">
        <v>0.14720626175403601</v>
      </c>
      <c r="J209">
        <f t="shared" si="31"/>
        <v>0</v>
      </c>
      <c r="K209" s="30">
        <v>0.123777337372303</v>
      </c>
      <c r="L209">
        <f t="shared" si="37"/>
        <v>0</v>
      </c>
      <c r="M209">
        <v>2.1969599999999999E-4</v>
      </c>
      <c r="N209">
        <f t="shared" si="38"/>
        <v>0</v>
      </c>
      <c r="O209">
        <v>0.14420580863952601</v>
      </c>
      <c r="P209">
        <f t="shared" si="39"/>
        <v>0</v>
      </c>
      <c r="Q209">
        <v>0.108036987</v>
      </c>
      <c r="R209">
        <f t="shared" si="40"/>
        <v>0</v>
      </c>
      <c r="S209">
        <v>2.2930139675740001E-3</v>
      </c>
      <c r="T209">
        <f t="shared" si="32"/>
        <v>0</v>
      </c>
      <c r="U209" s="1">
        <v>0.63056343999999998</v>
      </c>
      <c r="V209">
        <v>1</v>
      </c>
      <c r="X209">
        <v>0</v>
      </c>
    </row>
    <row r="210" spans="1:24">
      <c r="A210" s="1">
        <v>0</v>
      </c>
      <c r="B210" s="1" t="s">
        <v>209</v>
      </c>
      <c r="C210" s="1">
        <v>0</v>
      </c>
      <c r="D210" s="33">
        <v>0</v>
      </c>
      <c r="E210" s="36">
        <v>0</v>
      </c>
      <c r="F210" s="37">
        <v>0</v>
      </c>
      <c r="G210" s="30">
        <v>6.5099187000000003E-2</v>
      </c>
      <c r="H210">
        <f t="shared" si="30"/>
        <v>0</v>
      </c>
      <c r="I210" s="30">
        <v>4.5381576637699999E-4</v>
      </c>
      <c r="J210">
        <f t="shared" si="31"/>
        <v>0</v>
      </c>
      <c r="K210">
        <v>3.1933058053254998E-2</v>
      </c>
      <c r="L210">
        <f t="shared" si="37"/>
        <v>0</v>
      </c>
      <c r="M210" s="30">
        <v>4.5986599999999998E-5</v>
      </c>
      <c r="N210">
        <f t="shared" si="38"/>
        <v>0</v>
      </c>
      <c r="O210">
        <v>3.3563375473020002E-3</v>
      </c>
      <c r="P210">
        <f t="shared" si="39"/>
        <v>0</v>
      </c>
      <c r="Q210">
        <v>1.8799831999999999E-2</v>
      </c>
      <c r="R210">
        <f t="shared" si="40"/>
        <v>0</v>
      </c>
      <c r="S210" s="30">
        <v>1.8768563677440401E-5</v>
      </c>
      <c r="T210">
        <f t="shared" si="32"/>
        <v>0</v>
      </c>
      <c r="U210" s="1">
        <v>0.16532922999999999</v>
      </c>
      <c r="V210">
        <v>0</v>
      </c>
      <c r="X210">
        <v>0</v>
      </c>
    </row>
    <row r="211" spans="1:24">
      <c r="A211" s="1">
        <v>0</v>
      </c>
      <c r="B211" s="1" t="s">
        <v>210</v>
      </c>
      <c r="C211" s="1">
        <v>0</v>
      </c>
      <c r="D211" s="33">
        <v>0</v>
      </c>
      <c r="E211" s="36">
        <v>0</v>
      </c>
      <c r="F211" s="37">
        <v>0</v>
      </c>
      <c r="G211" s="30">
        <v>0.148161232</v>
      </c>
      <c r="H211">
        <f t="shared" si="30"/>
        <v>0</v>
      </c>
      <c r="I211" s="30">
        <v>1.3556784950197E-2</v>
      </c>
      <c r="J211">
        <f t="shared" si="31"/>
        <v>0</v>
      </c>
      <c r="K211">
        <v>6.3244812190533004E-2</v>
      </c>
      <c r="L211">
        <f t="shared" si="37"/>
        <v>0</v>
      </c>
      <c r="M211">
        <v>1.3149958E-2</v>
      </c>
      <c r="N211">
        <f t="shared" si="38"/>
        <v>0</v>
      </c>
      <c r="O211">
        <v>7.0197694003582001E-2</v>
      </c>
      <c r="P211">
        <f t="shared" si="39"/>
        <v>0</v>
      </c>
      <c r="Q211">
        <v>0.31156709799999999</v>
      </c>
      <c r="R211">
        <f t="shared" si="40"/>
        <v>0</v>
      </c>
      <c r="S211" s="30">
        <v>8.3307713794056292E-6</v>
      </c>
      <c r="T211">
        <f t="shared" si="32"/>
        <v>0</v>
      </c>
      <c r="U211" s="1">
        <v>0.30512685000000001</v>
      </c>
      <c r="V211">
        <v>0</v>
      </c>
      <c r="X211">
        <v>0</v>
      </c>
    </row>
    <row r="212" spans="1:24">
      <c r="A212" s="1">
        <v>0</v>
      </c>
      <c r="B212" s="1" t="s">
        <v>211</v>
      </c>
      <c r="C212" s="1">
        <v>0</v>
      </c>
      <c r="D212" s="33">
        <v>0</v>
      </c>
      <c r="E212" s="36">
        <v>0</v>
      </c>
      <c r="F212" s="37">
        <v>0</v>
      </c>
      <c r="G212" s="30">
        <v>2.6748072000000001E-2</v>
      </c>
      <c r="H212">
        <f t="shared" si="30"/>
        <v>0</v>
      </c>
      <c r="I212" s="30">
        <v>5.7657514698799999E-3</v>
      </c>
      <c r="J212">
        <f t="shared" si="31"/>
        <v>0</v>
      </c>
      <c r="K212">
        <v>9.8681170493359997E-3</v>
      </c>
      <c r="L212">
        <f t="shared" si="37"/>
        <v>0</v>
      </c>
      <c r="M212">
        <v>4.1617340000000003E-3</v>
      </c>
      <c r="N212">
        <f t="shared" si="38"/>
        <v>0</v>
      </c>
      <c r="O212">
        <v>5.2840288728476001E-2</v>
      </c>
      <c r="P212">
        <f t="shared" si="39"/>
        <v>0</v>
      </c>
      <c r="Q212">
        <v>7.0173605999999999E-2</v>
      </c>
      <c r="R212">
        <f t="shared" si="40"/>
        <v>0</v>
      </c>
      <c r="S212" s="30">
        <v>9.9685239547397901E-5</v>
      </c>
      <c r="T212">
        <f t="shared" si="32"/>
        <v>0</v>
      </c>
      <c r="U212" s="1">
        <v>0.31345043</v>
      </c>
      <c r="V212">
        <v>0</v>
      </c>
      <c r="X212">
        <v>0</v>
      </c>
    </row>
    <row r="213" spans="1:24">
      <c r="A213" s="1">
        <v>0</v>
      </c>
      <c r="B213" s="1" t="s">
        <v>212</v>
      </c>
      <c r="C213" s="1">
        <v>0</v>
      </c>
      <c r="D213" s="33">
        <v>0</v>
      </c>
      <c r="E213" s="36">
        <v>0</v>
      </c>
      <c r="F213" s="37">
        <v>0</v>
      </c>
      <c r="G213" s="30">
        <v>0.21377550100000001</v>
      </c>
      <c r="H213">
        <f t="shared" si="30"/>
        <v>0</v>
      </c>
      <c r="I213">
        <v>3.0502930749209999E-3</v>
      </c>
      <c r="J213">
        <f t="shared" si="31"/>
        <v>0</v>
      </c>
      <c r="K213">
        <v>0.94968879222869895</v>
      </c>
      <c r="L213">
        <f t="shared" si="37"/>
        <v>1</v>
      </c>
      <c r="M213" s="30">
        <v>7.8079359999999997E-3</v>
      </c>
      <c r="N213">
        <f t="shared" si="38"/>
        <v>0</v>
      </c>
      <c r="O213">
        <v>0.58986848592758201</v>
      </c>
      <c r="P213">
        <f t="shared" si="39"/>
        <v>1</v>
      </c>
      <c r="Q213">
        <v>0.67589747899999997</v>
      </c>
      <c r="R213">
        <f t="shared" si="40"/>
        <v>1</v>
      </c>
      <c r="S213">
        <v>0.73087418079376198</v>
      </c>
      <c r="T213">
        <f t="shared" si="32"/>
        <v>1</v>
      </c>
      <c r="U213" s="1">
        <v>0.65199786000000004</v>
      </c>
      <c r="V213">
        <v>1</v>
      </c>
      <c r="X213">
        <v>0</v>
      </c>
    </row>
    <row r="214" spans="1:24">
      <c r="A214" s="1">
        <v>0</v>
      </c>
      <c r="B214" s="1" t="s">
        <v>213</v>
      </c>
      <c r="C214" s="1">
        <v>0</v>
      </c>
      <c r="D214" s="33">
        <v>1</v>
      </c>
      <c r="E214" s="37">
        <v>1</v>
      </c>
      <c r="F214" s="37">
        <v>0</v>
      </c>
      <c r="G214" s="30">
        <v>4.0333226E-2</v>
      </c>
      <c r="H214">
        <f t="shared" si="30"/>
        <v>0</v>
      </c>
      <c r="I214">
        <v>4.4143549166600002E-4</v>
      </c>
      <c r="J214">
        <f t="shared" si="31"/>
        <v>0</v>
      </c>
      <c r="K214">
        <v>3.8055725395680001E-2</v>
      </c>
      <c r="L214">
        <f t="shared" si="37"/>
        <v>0</v>
      </c>
      <c r="M214">
        <v>3.7931999999999999E-4</v>
      </c>
      <c r="N214">
        <f t="shared" si="38"/>
        <v>0</v>
      </c>
      <c r="O214">
        <v>3.0504597350954999E-2</v>
      </c>
      <c r="P214">
        <f t="shared" si="39"/>
        <v>0</v>
      </c>
      <c r="Q214">
        <v>3.8849697000000002E-2</v>
      </c>
      <c r="R214">
        <f t="shared" si="40"/>
        <v>0</v>
      </c>
      <c r="S214" s="30">
        <v>1.76430637566227E-6</v>
      </c>
      <c r="T214">
        <f t="shared" si="32"/>
        <v>0</v>
      </c>
      <c r="U214" s="1">
        <v>0.16186516000000001</v>
      </c>
      <c r="V214">
        <v>0</v>
      </c>
      <c r="X214">
        <v>0</v>
      </c>
    </row>
    <row r="215" spans="1:24">
      <c r="A215" s="1">
        <v>0</v>
      </c>
      <c r="B215" s="1" t="s">
        <v>214</v>
      </c>
      <c r="C215" s="1">
        <v>0</v>
      </c>
      <c r="D215" s="33">
        <v>0</v>
      </c>
      <c r="E215" s="37">
        <v>0</v>
      </c>
      <c r="F215" s="37">
        <v>1</v>
      </c>
      <c r="G215" s="30">
        <v>0.13573212900000001</v>
      </c>
      <c r="H215">
        <f t="shared" si="30"/>
        <v>0</v>
      </c>
      <c r="I215">
        <v>0.14583328366279599</v>
      </c>
      <c r="J215">
        <f t="shared" si="31"/>
        <v>0</v>
      </c>
      <c r="K215">
        <v>0.63489454984664895</v>
      </c>
      <c r="L215">
        <f t="shared" si="37"/>
        <v>1</v>
      </c>
      <c r="M215">
        <v>0.130554169</v>
      </c>
      <c r="N215">
        <f t="shared" si="38"/>
        <v>0</v>
      </c>
      <c r="O215">
        <v>0.16815902292728399</v>
      </c>
      <c r="P215">
        <f t="shared" si="39"/>
        <v>0</v>
      </c>
      <c r="Q215">
        <v>0.28648903999999997</v>
      </c>
      <c r="R215">
        <f t="shared" si="40"/>
        <v>0</v>
      </c>
      <c r="S215">
        <v>0.118073306977749</v>
      </c>
      <c r="T215">
        <f t="shared" si="32"/>
        <v>0</v>
      </c>
      <c r="U215" s="1">
        <v>0.47328615000000002</v>
      </c>
      <c r="V215">
        <v>0</v>
      </c>
      <c r="X215">
        <v>0</v>
      </c>
    </row>
    <row r="216" spans="1:24">
      <c r="A216" s="1">
        <v>0</v>
      </c>
      <c r="B216" s="1" t="s">
        <v>215</v>
      </c>
      <c r="C216" s="1">
        <v>0</v>
      </c>
      <c r="D216" s="33">
        <v>0</v>
      </c>
      <c r="E216" s="36">
        <v>0</v>
      </c>
      <c r="F216" s="37">
        <v>0</v>
      </c>
      <c r="G216">
        <v>0.174631551</v>
      </c>
      <c r="H216">
        <f t="shared" ref="H216:H279" si="41">IF(G216&gt;$A$2,1,0)</f>
        <v>0</v>
      </c>
      <c r="I216">
        <v>2.0261282101274002E-2</v>
      </c>
      <c r="J216">
        <f t="shared" ref="J216:J279" si="42">IF(I216&gt;$A$2,1,0)</f>
        <v>0</v>
      </c>
      <c r="K216">
        <v>0.20566251873970001</v>
      </c>
      <c r="L216">
        <f t="shared" ref="L216:R279" si="43">IF(K216&gt;$A$2,1,0)</f>
        <v>0</v>
      </c>
      <c r="M216">
        <v>3.4830324000000003E-2</v>
      </c>
      <c r="N216">
        <f t="shared" si="43"/>
        <v>0</v>
      </c>
      <c r="O216">
        <v>2.5156332179904001E-2</v>
      </c>
      <c r="P216">
        <f t="shared" si="43"/>
        <v>0</v>
      </c>
      <c r="Q216">
        <v>8.1648178000000002E-2</v>
      </c>
      <c r="R216">
        <f t="shared" si="43"/>
        <v>0</v>
      </c>
      <c r="S216">
        <v>2.9544048011299999E-3</v>
      </c>
      <c r="T216">
        <f t="shared" si="32"/>
        <v>0</v>
      </c>
      <c r="U216" s="1">
        <v>0.17021850999999999</v>
      </c>
      <c r="V216">
        <v>0</v>
      </c>
      <c r="X216">
        <v>0</v>
      </c>
    </row>
    <row r="217" spans="1:24">
      <c r="A217" s="1">
        <v>0</v>
      </c>
      <c r="B217" s="1" t="s">
        <v>216</v>
      </c>
      <c r="C217" s="1">
        <v>0</v>
      </c>
      <c r="D217" s="33">
        <v>0</v>
      </c>
      <c r="E217" s="37">
        <v>0</v>
      </c>
      <c r="F217" s="37">
        <v>0</v>
      </c>
      <c r="G217">
        <v>0.39353618000000001</v>
      </c>
      <c r="H217">
        <f t="shared" si="41"/>
        <v>0</v>
      </c>
      <c r="I217">
        <v>7.0800748653710001E-3</v>
      </c>
      <c r="J217">
        <f t="shared" si="42"/>
        <v>0</v>
      </c>
      <c r="K217">
        <v>0.21863681077957101</v>
      </c>
      <c r="L217">
        <f t="shared" si="43"/>
        <v>0</v>
      </c>
      <c r="M217" s="30">
        <v>7.4932500999999999E-2</v>
      </c>
      <c r="N217">
        <f t="shared" si="43"/>
        <v>0</v>
      </c>
      <c r="O217">
        <v>0.20160581171512601</v>
      </c>
      <c r="P217">
        <f t="shared" si="43"/>
        <v>0</v>
      </c>
      <c r="Q217">
        <v>0.560186446</v>
      </c>
      <c r="R217">
        <f t="shared" si="43"/>
        <v>1</v>
      </c>
      <c r="S217">
        <v>0.31809115409851102</v>
      </c>
      <c r="T217">
        <f t="shared" si="32"/>
        <v>0</v>
      </c>
      <c r="U217" s="1">
        <v>0.3858627</v>
      </c>
      <c r="V217">
        <v>0</v>
      </c>
      <c r="X217">
        <v>0</v>
      </c>
    </row>
    <row r="218" spans="1:24">
      <c r="A218" s="1">
        <v>0</v>
      </c>
      <c r="B218" s="1" t="s">
        <v>217</v>
      </c>
      <c r="C218" s="1">
        <v>0</v>
      </c>
      <c r="D218" s="33">
        <v>0</v>
      </c>
      <c r="E218" s="36">
        <v>0</v>
      </c>
      <c r="F218" s="37">
        <v>0</v>
      </c>
      <c r="G218">
        <v>0.93164646600000001</v>
      </c>
      <c r="H218">
        <f t="shared" si="41"/>
        <v>1</v>
      </c>
      <c r="I218">
        <v>0.99454993009567305</v>
      </c>
      <c r="J218">
        <f t="shared" si="42"/>
        <v>1</v>
      </c>
      <c r="K218">
        <v>0.99177598953247104</v>
      </c>
      <c r="L218">
        <f t="shared" si="43"/>
        <v>1</v>
      </c>
      <c r="M218" s="30">
        <v>0.91598361699999997</v>
      </c>
      <c r="N218">
        <f t="shared" si="43"/>
        <v>1</v>
      </c>
      <c r="O218">
        <v>0.99433064460754395</v>
      </c>
      <c r="P218">
        <f t="shared" si="43"/>
        <v>1</v>
      </c>
      <c r="Q218">
        <v>0.75504934800000001</v>
      </c>
      <c r="R218">
        <f t="shared" si="43"/>
        <v>1</v>
      </c>
      <c r="S218">
        <v>0.97397792339324996</v>
      </c>
      <c r="T218">
        <f t="shared" ref="T218:T278" si="44">IF(S218&gt;$A$2,1,0)</f>
        <v>1</v>
      </c>
      <c r="U218" s="1">
        <v>0.67718</v>
      </c>
      <c r="V218">
        <v>1</v>
      </c>
      <c r="X218">
        <v>0</v>
      </c>
    </row>
    <row r="219" spans="1:24">
      <c r="A219" s="1">
        <v>0</v>
      </c>
      <c r="B219" s="1" t="s">
        <v>218</v>
      </c>
      <c r="C219" s="1">
        <v>0</v>
      </c>
      <c r="D219" s="33">
        <v>1</v>
      </c>
      <c r="E219" s="36">
        <v>0</v>
      </c>
      <c r="F219" s="37">
        <v>0</v>
      </c>
      <c r="G219" s="30">
        <v>3.6123010999999997E-2</v>
      </c>
      <c r="H219">
        <f t="shared" si="41"/>
        <v>0</v>
      </c>
      <c r="I219">
        <v>1.9136652350426001E-2</v>
      </c>
      <c r="J219">
        <f t="shared" si="42"/>
        <v>0</v>
      </c>
      <c r="K219">
        <v>3.1336112879220002E-3</v>
      </c>
      <c r="L219">
        <f t="shared" si="43"/>
        <v>0</v>
      </c>
      <c r="M219" s="30">
        <v>1.653594E-3</v>
      </c>
      <c r="N219">
        <f t="shared" si="43"/>
        <v>0</v>
      </c>
      <c r="O219">
        <v>2.3513441905379E-2</v>
      </c>
      <c r="P219">
        <f t="shared" si="43"/>
        <v>0</v>
      </c>
      <c r="Q219">
        <v>0.77605682600000003</v>
      </c>
      <c r="R219">
        <f t="shared" si="43"/>
        <v>1</v>
      </c>
      <c r="S219">
        <v>9.6392994746569999E-3</v>
      </c>
      <c r="T219">
        <f t="shared" si="44"/>
        <v>0</v>
      </c>
      <c r="U219" s="1">
        <v>0.19043303</v>
      </c>
      <c r="V219">
        <v>0</v>
      </c>
      <c r="X219">
        <v>0</v>
      </c>
    </row>
    <row r="220" spans="1:24">
      <c r="A220" s="1">
        <v>0</v>
      </c>
      <c r="B220" s="7" t="s">
        <v>219</v>
      </c>
      <c r="C220" s="1">
        <v>0</v>
      </c>
      <c r="D220" s="33">
        <v>0</v>
      </c>
      <c r="E220" s="36">
        <v>0</v>
      </c>
      <c r="F220" s="37">
        <v>0</v>
      </c>
      <c r="G220">
        <v>0.35554313700000001</v>
      </c>
      <c r="H220">
        <f t="shared" si="41"/>
        <v>0</v>
      </c>
      <c r="I220">
        <v>0.28679424524307301</v>
      </c>
      <c r="J220">
        <f t="shared" si="42"/>
        <v>0</v>
      </c>
      <c r="K220">
        <v>0.61856007575988803</v>
      </c>
      <c r="L220">
        <f t="shared" si="43"/>
        <v>1</v>
      </c>
      <c r="M220">
        <v>0.125990301</v>
      </c>
      <c r="N220">
        <f t="shared" si="43"/>
        <v>0</v>
      </c>
      <c r="O220">
        <v>0.30083003640174899</v>
      </c>
      <c r="P220">
        <f t="shared" si="43"/>
        <v>0</v>
      </c>
      <c r="Q220">
        <v>0.26680168500000001</v>
      </c>
      <c r="R220">
        <f t="shared" si="43"/>
        <v>0</v>
      </c>
      <c r="S220">
        <v>6.1471895314750002E-3</v>
      </c>
      <c r="T220">
        <f t="shared" si="44"/>
        <v>0</v>
      </c>
      <c r="U220" s="7">
        <v>0.575604</v>
      </c>
      <c r="V220">
        <v>0</v>
      </c>
      <c r="X220">
        <v>1</v>
      </c>
    </row>
    <row r="221" spans="1:24">
      <c r="A221" s="1">
        <v>0</v>
      </c>
      <c r="B221" s="1" t="s">
        <v>220</v>
      </c>
      <c r="C221" s="1">
        <v>0</v>
      </c>
      <c r="D221" s="33">
        <v>0</v>
      </c>
      <c r="E221" s="36">
        <v>0</v>
      </c>
      <c r="F221" s="37">
        <v>0</v>
      </c>
      <c r="G221" s="30">
        <v>5.0870690000000003E-2</v>
      </c>
      <c r="H221">
        <f t="shared" si="41"/>
        <v>0</v>
      </c>
      <c r="I221">
        <v>0.261840760707855</v>
      </c>
      <c r="J221">
        <f t="shared" si="42"/>
        <v>0</v>
      </c>
      <c r="K221">
        <v>0.54870545864105202</v>
      </c>
      <c r="L221">
        <f t="shared" si="43"/>
        <v>1</v>
      </c>
      <c r="M221">
        <v>3.1952213E-2</v>
      </c>
      <c r="N221">
        <f t="shared" si="43"/>
        <v>0</v>
      </c>
      <c r="O221">
        <v>0.47366386651992798</v>
      </c>
      <c r="P221">
        <f t="shared" si="43"/>
        <v>0</v>
      </c>
      <c r="Q221">
        <v>0.45964974199999997</v>
      </c>
      <c r="R221">
        <f t="shared" si="43"/>
        <v>0</v>
      </c>
      <c r="S221">
        <v>1.16115268611E-4</v>
      </c>
      <c r="T221">
        <f t="shared" si="44"/>
        <v>0</v>
      </c>
      <c r="U221" s="1">
        <v>0.58506809999999998</v>
      </c>
      <c r="V221">
        <v>0</v>
      </c>
      <c r="X221">
        <v>0</v>
      </c>
    </row>
    <row r="222" spans="1:24">
      <c r="A222" s="1">
        <v>0</v>
      </c>
      <c r="B222" s="1" t="s">
        <v>221</v>
      </c>
      <c r="C222" s="1">
        <v>0</v>
      </c>
      <c r="D222" s="33">
        <v>0</v>
      </c>
      <c r="E222" s="36">
        <v>0</v>
      </c>
      <c r="F222" s="37">
        <v>0</v>
      </c>
      <c r="G222" s="30">
        <v>1.5739689000000001E-2</v>
      </c>
      <c r="H222">
        <f t="shared" si="41"/>
        <v>0</v>
      </c>
      <c r="I222" s="30">
        <v>5.9841971960850101E-5</v>
      </c>
      <c r="J222">
        <f t="shared" si="42"/>
        <v>0</v>
      </c>
      <c r="K222">
        <v>7.1271024644369999E-3</v>
      </c>
      <c r="L222">
        <f t="shared" si="43"/>
        <v>0</v>
      </c>
      <c r="M222">
        <v>1.41373E-4</v>
      </c>
      <c r="N222">
        <f t="shared" si="43"/>
        <v>0</v>
      </c>
      <c r="O222">
        <v>3.0605434440079998E-3</v>
      </c>
      <c r="P222">
        <f t="shared" si="43"/>
        <v>0</v>
      </c>
      <c r="Q222" s="30">
        <v>1.9572314E-2</v>
      </c>
      <c r="R222">
        <f t="shared" si="43"/>
        <v>0</v>
      </c>
      <c r="S222" s="30">
        <v>8.7875901000344904E-10</v>
      </c>
      <c r="T222">
        <f t="shared" si="44"/>
        <v>0</v>
      </c>
      <c r="U222" s="1">
        <v>7.9143203999999995E-2</v>
      </c>
      <c r="V222">
        <v>0</v>
      </c>
      <c r="X222">
        <v>0</v>
      </c>
    </row>
    <row r="223" spans="1:24">
      <c r="A223" s="1">
        <v>0</v>
      </c>
      <c r="B223" s="1" t="s">
        <v>222</v>
      </c>
      <c r="C223" s="1">
        <v>0</v>
      </c>
      <c r="D223" s="33">
        <v>0</v>
      </c>
      <c r="E223" s="36">
        <v>0</v>
      </c>
      <c r="F223" s="37">
        <v>0</v>
      </c>
      <c r="G223" s="30">
        <v>5.2167021000000001E-2</v>
      </c>
      <c r="H223">
        <f t="shared" si="41"/>
        <v>0</v>
      </c>
      <c r="I223">
        <v>1.0920687345789999E-3</v>
      </c>
      <c r="J223">
        <f t="shared" si="42"/>
        <v>0</v>
      </c>
      <c r="K223">
        <v>3.1207313761115001E-2</v>
      </c>
      <c r="L223">
        <f t="shared" si="43"/>
        <v>0</v>
      </c>
      <c r="M223" s="30">
        <v>2.2818201999999999E-2</v>
      </c>
      <c r="N223">
        <f t="shared" si="43"/>
        <v>0</v>
      </c>
      <c r="O223">
        <v>0.145915046334267</v>
      </c>
      <c r="P223">
        <f t="shared" si="43"/>
        <v>0</v>
      </c>
      <c r="Q223">
        <v>0.106653623</v>
      </c>
      <c r="R223">
        <f t="shared" si="43"/>
        <v>0</v>
      </c>
      <c r="S223">
        <v>1.9993265159430002E-3</v>
      </c>
      <c r="T223">
        <f t="shared" si="44"/>
        <v>0</v>
      </c>
      <c r="U223" s="1">
        <v>0.38943013999999998</v>
      </c>
      <c r="V223">
        <v>0</v>
      </c>
      <c r="X223">
        <v>0</v>
      </c>
    </row>
    <row r="224" spans="1:24">
      <c r="A224" s="1">
        <v>0</v>
      </c>
      <c r="B224" s="1" t="s">
        <v>223</v>
      </c>
      <c r="C224" s="1">
        <v>0</v>
      </c>
      <c r="D224" s="33">
        <v>0</v>
      </c>
      <c r="E224" s="36">
        <v>0</v>
      </c>
      <c r="F224" s="37">
        <v>0</v>
      </c>
      <c r="G224" s="30">
        <v>3.0372223E-2</v>
      </c>
      <c r="H224">
        <f t="shared" si="41"/>
        <v>0</v>
      </c>
      <c r="I224" s="30">
        <v>1.3000866165379999E-3</v>
      </c>
      <c r="J224">
        <f t="shared" si="42"/>
        <v>0</v>
      </c>
      <c r="K224">
        <v>5.2534498274325998E-2</v>
      </c>
      <c r="L224">
        <f t="shared" si="43"/>
        <v>0</v>
      </c>
      <c r="M224" s="30">
        <v>2.2449700000000001E-6</v>
      </c>
      <c r="N224">
        <f t="shared" si="43"/>
        <v>0</v>
      </c>
      <c r="O224" s="30">
        <v>6.1556720174799995E-4</v>
      </c>
      <c r="P224">
        <f t="shared" si="43"/>
        <v>0</v>
      </c>
      <c r="Q224" s="30">
        <v>3.7136878999999998E-2</v>
      </c>
      <c r="R224">
        <f t="shared" si="43"/>
        <v>0</v>
      </c>
      <c r="S224" s="30">
        <v>4.2565883973111298E-7</v>
      </c>
      <c r="T224">
        <f t="shared" si="44"/>
        <v>0</v>
      </c>
      <c r="U224" s="1">
        <v>7.5643580000000002E-2</v>
      </c>
      <c r="V224">
        <v>0</v>
      </c>
      <c r="X224">
        <v>0</v>
      </c>
    </row>
    <row r="225" spans="1:24">
      <c r="A225" s="1">
        <v>0</v>
      </c>
      <c r="B225" s="1" t="s">
        <v>224</v>
      </c>
      <c r="C225" s="1">
        <v>0</v>
      </c>
      <c r="D225" s="33">
        <v>0</v>
      </c>
      <c r="E225" s="36">
        <v>0</v>
      </c>
      <c r="F225" s="37">
        <v>0</v>
      </c>
      <c r="G225">
        <v>0.463535219</v>
      </c>
      <c r="H225">
        <f t="shared" si="41"/>
        <v>0</v>
      </c>
      <c r="I225">
        <v>0.43865379691124001</v>
      </c>
      <c r="J225">
        <f t="shared" si="42"/>
        <v>0</v>
      </c>
      <c r="K225">
        <v>0.77125209569930997</v>
      </c>
      <c r="L225">
        <f t="shared" si="43"/>
        <v>1</v>
      </c>
      <c r="M225">
        <v>0.42588067099999999</v>
      </c>
      <c r="N225">
        <f t="shared" si="43"/>
        <v>0</v>
      </c>
      <c r="O225">
        <v>0.98187941312789895</v>
      </c>
      <c r="P225">
        <f t="shared" si="43"/>
        <v>1</v>
      </c>
      <c r="Q225">
        <v>0.54487705200000003</v>
      </c>
      <c r="R225">
        <f t="shared" si="43"/>
        <v>1</v>
      </c>
      <c r="S225">
        <v>3.5625841468572998E-2</v>
      </c>
      <c r="T225">
        <f t="shared" si="44"/>
        <v>0</v>
      </c>
      <c r="U225" s="1">
        <v>0.65393436000000005</v>
      </c>
      <c r="V225">
        <v>1</v>
      </c>
      <c r="X225">
        <v>0</v>
      </c>
    </row>
    <row r="226" spans="1:24">
      <c r="A226" s="1">
        <v>0</v>
      </c>
      <c r="B226" s="1" t="s">
        <v>225</v>
      </c>
      <c r="C226" s="1">
        <v>0</v>
      </c>
      <c r="D226" s="33">
        <v>0</v>
      </c>
      <c r="E226" s="37">
        <v>1</v>
      </c>
      <c r="F226" s="37">
        <v>0</v>
      </c>
      <c r="G226" s="30">
        <v>1.8295302999999999E-2</v>
      </c>
      <c r="H226">
        <f t="shared" si="41"/>
        <v>0</v>
      </c>
      <c r="I226" s="30">
        <v>1.6051717102529999E-3</v>
      </c>
      <c r="J226">
        <f t="shared" si="42"/>
        <v>0</v>
      </c>
      <c r="K226">
        <v>1.3588438741862999E-2</v>
      </c>
      <c r="L226">
        <f t="shared" si="43"/>
        <v>0</v>
      </c>
      <c r="M226">
        <v>5.9908400000000005E-4</v>
      </c>
      <c r="N226">
        <f t="shared" si="43"/>
        <v>0</v>
      </c>
      <c r="O226">
        <v>5.8685536496339997E-3</v>
      </c>
      <c r="P226">
        <f t="shared" si="43"/>
        <v>0</v>
      </c>
      <c r="Q226" s="30">
        <v>2.2985522000000001E-2</v>
      </c>
      <c r="R226">
        <f t="shared" si="43"/>
        <v>0</v>
      </c>
      <c r="S226" s="30">
        <v>3.7692552723456201E-7</v>
      </c>
      <c r="T226">
        <f t="shared" si="44"/>
        <v>0</v>
      </c>
      <c r="U226" s="1">
        <v>7.9650133999999997E-2</v>
      </c>
      <c r="V226">
        <v>0</v>
      </c>
      <c r="X226">
        <v>0</v>
      </c>
    </row>
    <row r="227" spans="1:24">
      <c r="A227" s="1">
        <v>0</v>
      </c>
      <c r="B227" s="7" t="s">
        <v>226</v>
      </c>
      <c r="C227" s="1">
        <v>0</v>
      </c>
      <c r="D227" s="33">
        <v>0</v>
      </c>
      <c r="E227" s="36">
        <v>0</v>
      </c>
      <c r="F227" s="37">
        <v>0</v>
      </c>
      <c r="G227" s="30">
        <v>3.2841660000000002E-2</v>
      </c>
      <c r="H227">
        <f t="shared" si="41"/>
        <v>0</v>
      </c>
      <c r="I227" s="30">
        <v>4.3097982415900001E-4</v>
      </c>
      <c r="J227">
        <f t="shared" si="42"/>
        <v>0</v>
      </c>
      <c r="K227" s="30">
        <v>1.3565951958299001E-2</v>
      </c>
      <c r="L227">
        <f t="shared" si="43"/>
        <v>0</v>
      </c>
      <c r="M227">
        <v>1.8359299999999999E-4</v>
      </c>
      <c r="N227">
        <f t="shared" si="43"/>
        <v>0</v>
      </c>
      <c r="O227">
        <v>1.3604151085019001E-2</v>
      </c>
      <c r="P227">
        <f t="shared" si="43"/>
        <v>0</v>
      </c>
      <c r="Q227">
        <v>0.127575561</v>
      </c>
      <c r="R227">
        <f t="shared" si="43"/>
        <v>0</v>
      </c>
      <c r="S227" s="30">
        <v>1.4401141925191E-5</v>
      </c>
      <c r="T227">
        <f t="shared" si="44"/>
        <v>0</v>
      </c>
      <c r="U227" s="7">
        <v>0.28409817999999998</v>
      </c>
      <c r="V227">
        <v>0</v>
      </c>
      <c r="X227">
        <v>1</v>
      </c>
    </row>
    <row r="228" spans="1:24">
      <c r="A228" s="1">
        <v>0</v>
      </c>
      <c r="B228" s="7" t="s">
        <v>227</v>
      </c>
      <c r="C228" s="1">
        <v>0</v>
      </c>
      <c r="D228" s="33">
        <v>1</v>
      </c>
      <c r="E228" s="37">
        <v>1</v>
      </c>
      <c r="F228" s="37">
        <v>0</v>
      </c>
      <c r="G228">
        <v>0.92156833400000004</v>
      </c>
      <c r="H228">
        <f t="shared" si="41"/>
        <v>1</v>
      </c>
      <c r="I228">
        <v>0.99062085151672397</v>
      </c>
      <c r="J228">
        <f t="shared" si="42"/>
        <v>1</v>
      </c>
      <c r="K228">
        <v>0.983479022979736</v>
      </c>
      <c r="L228">
        <f t="shared" si="43"/>
        <v>1</v>
      </c>
      <c r="M228">
        <v>0.72239434700000005</v>
      </c>
      <c r="N228">
        <f t="shared" si="43"/>
        <v>1</v>
      </c>
      <c r="O228">
        <v>0.85397446155548096</v>
      </c>
      <c r="P228">
        <f t="shared" si="43"/>
        <v>1</v>
      </c>
      <c r="Q228">
        <v>0.64784407600000005</v>
      </c>
      <c r="R228">
        <f t="shared" si="43"/>
        <v>1</v>
      </c>
      <c r="S228">
        <v>0.371251910924911</v>
      </c>
      <c r="T228">
        <f t="shared" si="44"/>
        <v>0</v>
      </c>
      <c r="U228" s="7">
        <v>0.54439395999999995</v>
      </c>
      <c r="V228">
        <v>0</v>
      </c>
      <c r="X228">
        <v>1</v>
      </c>
    </row>
    <row r="229" spans="1:24">
      <c r="A229" s="1">
        <v>0</v>
      </c>
      <c r="B229" s="1" t="s">
        <v>228</v>
      </c>
      <c r="C229" s="1">
        <v>0</v>
      </c>
      <c r="D229" s="33">
        <v>0</v>
      </c>
      <c r="E229" s="36">
        <v>0</v>
      </c>
      <c r="F229" s="37">
        <v>0</v>
      </c>
      <c r="G229">
        <v>0.71819508099999996</v>
      </c>
      <c r="H229">
        <f t="shared" si="41"/>
        <v>1</v>
      </c>
      <c r="I229">
        <v>0.21127130091190299</v>
      </c>
      <c r="J229">
        <f t="shared" si="42"/>
        <v>0</v>
      </c>
      <c r="K229">
        <v>0.86083382368087802</v>
      </c>
      <c r="L229">
        <f t="shared" si="43"/>
        <v>1</v>
      </c>
      <c r="M229">
        <v>0.93516677599999998</v>
      </c>
      <c r="N229">
        <f t="shared" si="43"/>
        <v>1</v>
      </c>
      <c r="O229">
        <v>0.24266149103641499</v>
      </c>
      <c r="P229">
        <f t="shared" si="43"/>
        <v>0</v>
      </c>
      <c r="Q229">
        <v>0.45956867899999998</v>
      </c>
      <c r="R229">
        <f t="shared" si="43"/>
        <v>0</v>
      </c>
      <c r="S229">
        <v>0.93618446588516202</v>
      </c>
      <c r="T229">
        <f t="shared" si="44"/>
        <v>1</v>
      </c>
      <c r="U229" s="1">
        <v>0.39041720000000002</v>
      </c>
      <c r="V229">
        <v>0</v>
      </c>
      <c r="X229">
        <v>0</v>
      </c>
    </row>
    <row r="230" spans="1:24">
      <c r="A230" s="82">
        <v>0</v>
      </c>
      <c r="B230" s="7" t="s">
        <v>229</v>
      </c>
      <c r="C230" s="1">
        <v>0</v>
      </c>
      <c r="D230" s="33">
        <v>0</v>
      </c>
      <c r="E230" s="37">
        <v>0</v>
      </c>
      <c r="F230" s="37">
        <v>0</v>
      </c>
      <c r="G230">
        <v>0.93141305399999996</v>
      </c>
      <c r="H230">
        <f t="shared" si="41"/>
        <v>1</v>
      </c>
      <c r="I230">
        <v>0.99622666835784901</v>
      </c>
      <c r="J230">
        <f t="shared" si="42"/>
        <v>1</v>
      </c>
      <c r="K230">
        <v>0.99084925651550304</v>
      </c>
      <c r="L230">
        <f t="shared" si="43"/>
        <v>1</v>
      </c>
      <c r="M230" s="30">
        <v>0.99759536999999998</v>
      </c>
      <c r="N230">
        <f t="shared" si="43"/>
        <v>1</v>
      </c>
      <c r="O230">
        <v>0.97730243206024203</v>
      </c>
      <c r="P230">
        <f t="shared" si="43"/>
        <v>1</v>
      </c>
      <c r="Q230">
        <v>0.91580098899999995</v>
      </c>
      <c r="R230">
        <f t="shared" si="43"/>
        <v>1</v>
      </c>
      <c r="S230">
        <v>0.99250608682632402</v>
      </c>
      <c r="T230">
        <f t="shared" si="44"/>
        <v>1</v>
      </c>
      <c r="U230" s="7">
        <v>0.6979725</v>
      </c>
      <c r="V230">
        <v>1</v>
      </c>
      <c r="X230">
        <v>1</v>
      </c>
    </row>
    <row r="231" spans="1:24">
      <c r="A231" s="1">
        <v>0</v>
      </c>
      <c r="B231" s="1" t="s">
        <v>230</v>
      </c>
      <c r="C231" s="1">
        <v>0</v>
      </c>
      <c r="D231" s="33">
        <v>1</v>
      </c>
      <c r="E231" s="36">
        <v>0</v>
      </c>
      <c r="F231" s="37">
        <v>0</v>
      </c>
      <c r="G231" s="30">
        <v>0.13459195199999999</v>
      </c>
      <c r="H231">
        <f t="shared" si="41"/>
        <v>0</v>
      </c>
      <c r="I231">
        <v>7.9665757715702001E-2</v>
      </c>
      <c r="J231">
        <f t="shared" si="42"/>
        <v>0</v>
      </c>
      <c r="K231">
        <v>6.2958076596260001E-2</v>
      </c>
      <c r="L231">
        <f t="shared" si="43"/>
        <v>0</v>
      </c>
      <c r="M231" s="30">
        <v>0.28770986199999998</v>
      </c>
      <c r="N231">
        <f t="shared" si="43"/>
        <v>0</v>
      </c>
      <c r="O231">
        <v>7.5163520872592995E-2</v>
      </c>
      <c r="P231">
        <f t="shared" si="43"/>
        <v>0</v>
      </c>
      <c r="Q231">
        <v>0.33570232999999999</v>
      </c>
      <c r="R231">
        <f t="shared" si="43"/>
        <v>0</v>
      </c>
      <c r="S231">
        <v>8.2166418433189999E-3</v>
      </c>
      <c r="T231">
        <f t="shared" si="44"/>
        <v>0</v>
      </c>
      <c r="U231" s="1">
        <v>0.34495710000000002</v>
      </c>
      <c r="V231">
        <v>0</v>
      </c>
      <c r="X231">
        <v>0</v>
      </c>
    </row>
    <row r="232" spans="1:24">
      <c r="A232" s="1">
        <v>0</v>
      </c>
      <c r="B232" s="1" t="s">
        <v>231</v>
      </c>
      <c r="C232" s="1">
        <v>0</v>
      </c>
      <c r="D232" s="33">
        <v>0</v>
      </c>
      <c r="E232" s="36">
        <v>0</v>
      </c>
      <c r="F232" s="37">
        <v>0</v>
      </c>
      <c r="G232" s="30">
        <v>2.6455266000000002E-2</v>
      </c>
      <c r="H232">
        <f t="shared" si="41"/>
        <v>0</v>
      </c>
      <c r="I232" s="30">
        <v>6.4777286024800002E-4</v>
      </c>
      <c r="J232">
        <f t="shared" si="42"/>
        <v>0</v>
      </c>
      <c r="K232">
        <v>3.3236879855394003E-2</v>
      </c>
      <c r="L232">
        <f t="shared" si="43"/>
        <v>0</v>
      </c>
      <c r="M232">
        <v>4.8659134999999999E-2</v>
      </c>
      <c r="N232">
        <f t="shared" si="43"/>
        <v>0</v>
      </c>
      <c r="O232">
        <v>5.4755336605009997E-3</v>
      </c>
      <c r="P232">
        <f t="shared" si="43"/>
        <v>0</v>
      </c>
      <c r="Q232" s="30">
        <v>3.6757603E-2</v>
      </c>
      <c r="R232">
        <f t="shared" si="43"/>
        <v>0</v>
      </c>
      <c r="S232" s="30">
        <v>5.5436540691289298E-8</v>
      </c>
      <c r="T232">
        <f t="shared" si="44"/>
        <v>0</v>
      </c>
      <c r="U232" s="1">
        <v>5.9039756999999998E-2</v>
      </c>
      <c r="V232">
        <v>0</v>
      </c>
      <c r="X232">
        <v>0</v>
      </c>
    </row>
    <row r="233" spans="1:24">
      <c r="A233" s="1">
        <v>0</v>
      </c>
      <c r="B233" s="1" t="s">
        <v>232</v>
      </c>
      <c r="C233" s="1">
        <v>0</v>
      </c>
      <c r="D233" s="33">
        <v>0</v>
      </c>
      <c r="E233" s="36">
        <v>0</v>
      </c>
      <c r="F233" s="37">
        <v>0</v>
      </c>
      <c r="G233" s="30">
        <v>8.545664E-2</v>
      </c>
      <c r="H233">
        <f t="shared" si="41"/>
        <v>0</v>
      </c>
      <c r="I233">
        <v>4.4049430638552003E-2</v>
      </c>
      <c r="J233">
        <f t="shared" si="42"/>
        <v>0</v>
      </c>
      <c r="K233">
        <v>3.7974599748850001E-2</v>
      </c>
      <c r="L233">
        <f t="shared" si="43"/>
        <v>0</v>
      </c>
      <c r="M233">
        <v>3.8258813000000003E-2</v>
      </c>
      <c r="N233">
        <f t="shared" si="43"/>
        <v>0</v>
      </c>
      <c r="O233">
        <v>6.7037224769591994E-2</v>
      </c>
      <c r="P233">
        <f t="shared" si="43"/>
        <v>0</v>
      </c>
      <c r="Q233">
        <v>8.407104E-2</v>
      </c>
      <c r="R233">
        <f t="shared" si="43"/>
        <v>0</v>
      </c>
      <c r="S233">
        <v>1.5182081609963999E-2</v>
      </c>
      <c r="T233">
        <f t="shared" si="44"/>
        <v>0</v>
      </c>
      <c r="U233" s="1">
        <v>0.19648114</v>
      </c>
      <c r="V233">
        <v>0</v>
      </c>
      <c r="X233">
        <v>0</v>
      </c>
    </row>
    <row r="234" spans="1:24">
      <c r="A234" s="1">
        <v>0</v>
      </c>
      <c r="B234" s="1" t="s">
        <v>233</v>
      </c>
      <c r="C234" s="1">
        <v>0</v>
      </c>
      <c r="D234" s="33">
        <v>0</v>
      </c>
      <c r="E234" s="36">
        <v>0</v>
      </c>
      <c r="F234" s="37">
        <v>0</v>
      </c>
      <c r="G234">
        <v>9.4190656999999997E-2</v>
      </c>
      <c r="H234">
        <f t="shared" si="41"/>
        <v>0</v>
      </c>
      <c r="I234">
        <v>0.310129404067993</v>
      </c>
      <c r="J234">
        <f t="shared" si="42"/>
        <v>0</v>
      </c>
      <c r="K234">
        <v>6.1608098447322998E-2</v>
      </c>
      <c r="L234">
        <f t="shared" si="43"/>
        <v>0</v>
      </c>
      <c r="M234">
        <v>0.16513456400000001</v>
      </c>
      <c r="N234">
        <f t="shared" si="43"/>
        <v>0</v>
      </c>
      <c r="O234">
        <v>0.35909521579742398</v>
      </c>
      <c r="P234">
        <f t="shared" si="43"/>
        <v>0</v>
      </c>
      <c r="Q234">
        <v>4.8873194000000002E-2</v>
      </c>
      <c r="R234">
        <f t="shared" si="43"/>
        <v>0</v>
      </c>
      <c r="S234">
        <v>7.5689255027099999E-4</v>
      </c>
      <c r="T234">
        <f t="shared" si="44"/>
        <v>0</v>
      </c>
      <c r="U234" s="1">
        <v>0.52158979999999999</v>
      </c>
      <c r="V234">
        <v>0</v>
      </c>
      <c r="X234">
        <v>0</v>
      </c>
    </row>
    <row r="235" spans="1:24">
      <c r="A235" s="1">
        <v>0</v>
      </c>
      <c r="B235" s="1" t="s">
        <v>234</v>
      </c>
      <c r="C235" s="1">
        <v>0</v>
      </c>
      <c r="D235" s="33">
        <v>0</v>
      </c>
      <c r="E235" s="36">
        <v>0</v>
      </c>
      <c r="F235" s="37">
        <v>0</v>
      </c>
      <c r="G235">
        <v>0.22410771299999999</v>
      </c>
      <c r="H235">
        <f t="shared" si="41"/>
        <v>0</v>
      </c>
      <c r="I235">
        <v>3.3168949186802001E-2</v>
      </c>
      <c r="J235">
        <f t="shared" si="42"/>
        <v>0</v>
      </c>
      <c r="K235">
        <v>0.10381226986646599</v>
      </c>
      <c r="L235">
        <f t="shared" si="43"/>
        <v>0</v>
      </c>
      <c r="M235">
        <v>5.7939685999999997E-2</v>
      </c>
      <c r="N235">
        <f t="shared" si="43"/>
        <v>0</v>
      </c>
      <c r="O235">
        <v>0.17672698199749001</v>
      </c>
      <c r="P235">
        <f t="shared" si="43"/>
        <v>0</v>
      </c>
      <c r="Q235">
        <v>4.8428583999999997E-2</v>
      </c>
      <c r="R235">
        <f t="shared" si="43"/>
        <v>0</v>
      </c>
      <c r="S235">
        <v>0.138778761029244</v>
      </c>
      <c r="T235">
        <f t="shared" si="44"/>
        <v>0</v>
      </c>
      <c r="U235" s="1">
        <v>0.42288880000000001</v>
      </c>
      <c r="V235">
        <v>0</v>
      </c>
      <c r="X235">
        <v>0</v>
      </c>
    </row>
    <row r="236" spans="1:24">
      <c r="A236" s="1">
        <v>0</v>
      </c>
      <c r="B236" s="1" t="s">
        <v>235</v>
      </c>
      <c r="C236" s="1">
        <v>0</v>
      </c>
      <c r="D236" s="33">
        <v>0</v>
      </c>
      <c r="E236" s="36">
        <v>0</v>
      </c>
      <c r="F236" s="37">
        <v>0</v>
      </c>
      <c r="G236">
        <v>0.153670207</v>
      </c>
      <c r="H236">
        <f t="shared" si="41"/>
        <v>0</v>
      </c>
      <c r="I236">
        <v>4.1117682121690003E-3</v>
      </c>
      <c r="J236">
        <f t="shared" si="42"/>
        <v>0</v>
      </c>
      <c r="K236">
        <v>0.24888083338737499</v>
      </c>
      <c r="L236">
        <f t="shared" si="43"/>
        <v>0</v>
      </c>
      <c r="M236" s="30">
        <v>3.9445390000000004E-3</v>
      </c>
      <c r="N236">
        <f t="shared" si="43"/>
        <v>0</v>
      </c>
      <c r="O236">
        <v>5.9564258903264999E-2</v>
      </c>
      <c r="P236">
        <f t="shared" si="43"/>
        <v>0</v>
      </c>
      <c r="Q236">
        <v>0.22318686500000001</v>
      </c>
      <c r="R236">
        <f t="shared" si="43"/>
        <v>0</v>
      </c>
      <c r="S236">
        <v>6.2893833965059999E-3</v>
      </c>
      <c r="T236">
        <f t="shared" si="44"/>
        <v>0</v>
      </c>
      <c r="U236" s="1">
        <v>0.22362493</v>
      </c>
      <c r="V236">
        <v>0</v>
      </c>
      <c r="X236">
        <v>0</v>
      </c>
    </row>
    <row r="237" spans="1:24">
      <c r="A237" s="1">
        <v>0</v>
      </c>
      <c r="B237" s="1" t="s">
        <v>236</v>
      </c>
      <c r="C237" s="1">
        <v>0</v>
      </c>
      <c r="D237" s="33">
        <v>0</v>
      </c>
      <c r="E237" s="36">
        <v>0</v>
      </c>
      <c r="F237" s="37">
        <v>0</v>
      </c>
      <c r="G237" s="30">
        <v>7.3124758999999998E-2</v>
      </c>
      <c r="H237">
        <f t="shared" si="41"/>
        <v>0</v>
      </c>
      <c r="I237">
        <v>2.4598108138889998E-3</v>
      </c>
      <c r="J237">
        <f t="shared" si="42"/>
        <v>0</v>
      </c>
      <c r="K237">
        <v>4.8644501715899E-2</v>
      </c>
      <c r="L237">
        <f t="shared" si="43"/>
        <v>0</v>
      </c>
      <c r="M237" s="30">
        <v>4.3234304000000001E-2</v>
      </c>
      <c r="N237">
        <f t="shared" si="43"/>
        <v>0</v>
      </c>
      <c r="O237">
        <v>7.7824972569943002E-2</v>
      </c>
      <c r="P237">
        <f t="shared" si="43"/>
        <v>0</v>
      </c>
      <c r="Q237">
        <v>0.40464967499999999</v>
      </c>
      <c r="R237">
        <f t="shared" si="43"/>
        <v>0</v>
      </c>
      <c r="S237">
        <v>4.9595055170360003E-3</v>
      </c>
      <c r="T237">
        <f t="shared" si="44"/>
        <v>0</v>
      </c>
      <c r="U237" s="1">
        <v>0.45713429999999999</v>
      </c>
      <c r="V237">
        <v>0</v>
      </c>
      <c r="X237">
        <v>0</v>
      </c>
    </row>
    <row r="238" spans="1:24">
      <c r="A238" s="1">
        <v>0</v>
      </c>
      <c r="B238" s="1" t="s">
        <v>237</v>
      </c>
      <c r="C238" s="1">
        <v>0</v>
      </c>
      <c r="D238" s="33">
        <v>0</v>
      </c>
      <c r="E238" s="36">
        <v>0</v>
      </c>
      <c r="F238" s="37">
        <v>0</v>
      </c>
      <c r="G238">
        <v>0.30959805800000001</v>
      </c>
      <c r="H238">
        <f t="shared" si="41"/>
        <v>0</v>
      </c>
      <c r="I238">
        <v>0.81773191690444902</v>
      </c>
      <c r="J238">
        <f t="shared" si="42"/>
        <v>1</v>
      </c>
      <c r="K238">
        <v>0.95640462636947599</v>
      </c>
      <c r="L238">
        <f t="shared" si="43"/>
        <v>1</v>
      </c>
      <c r="M238">
        <v>6.0747615999999997E-2</v>
      </c>
      <c r="N238">
        <f t="shared" si="43"/>
        <v>0</v>
      </c>
      <c r="O238">
        <v>0.72208368778228804</v>
      </c>
      <c r="P238">
        <f t="shared" si="43"/>
        <v>1</v>
      </c>
      <c r="Q238">
        <v>0.499080986</v>
      </c>
      <c r="R238">
        <f t="shared" si="43"/>
        <v>0</v>
      </c>
      <c r="S238">
        <v>0.31865608692169201</v>
      </c>
      <c r="T238">
        <f t="shared" si="44"/>
        <v>0</v>
      </c>
      <c r="U238" s="1">
        <v>0.66637800000000003</v>
      </c>
      <c r="V238">
        <v>1</v>
      </c>
      <c r="X238">
        <v>0</v>
      </c>
    </row>
    <row r="239" spans="1:24">
      <c r="A239" s="1">
        <v>0</v>
      </c>
      <c r="B239" s="1" t="s">
        <v>238</v>
      </c>
      <c r="C239" s="1">
        <v>0</v>
      </c>
      <c r="D239" s="33">
        <v>1</v>
      </c>
      <c r="E239" s="37">
        <v>1</v>
      </c>
      <c r="F239" s="37">
        <v>0</v>
      </c>
      <c r="G239">
        <v>0.31889307500000003</v>
      </c>
      <c r="H239">
        <f t="shared" si="41"/>
        <v>0</v>
      </c>
      <c r="I239">
        <v>0.20761299133300801</v>
      </c>
      <c r="J239">
        <f t="shared" si="42"/>
        <v>0</v>
      </c>
      <c r="K239">
        <v>0.67867684364318903</v>
      </c>
      <c r="L239">
        <f t="shared" si="43"/>
        <v>1</v>
      </c>
      <c r="M239">
        <v>0.81577622900000002</v>
      </c>
      <c r="N239">
        <f t="shared" si="43"/>
        <v>1</v>
      </c>
      <c r="O239">
        <v>0.39198237657547003</v>
      </c>
      <c r="P239">
        <f t="shared" si="43"/>
        <v>0</v>
      </c>
      <c r="Q239">
        <v>0.50797122699999997</v>
      </c>
      <c r="R239">
        <f t="shared" si="43"/>
        <v>1</v>
      </c>
      <c r="S239">
        <v>0.94742178916931197</v>
      </c>
      <c r="T239">
        <f t="shared" si="44"/>
        <v>1</v>
      </c>
      <c r="U239" s="1">
        <v>0.47755396</v>
      </c>
      <c r="V239">
        <v>0</v>
      </c>
      <c r="X239">
        <v>0</v>
      </c>
    </row>
    <row r="240" spans="1:24">
      <c r="A240" s="1">
        <v>0</v>
      </c>
      <c r="B240" s="7" t="s">
        <v>239</v>
      </c>
      <c r="C240" s="1">
        <v>0</v>
      </c>
      <c r="D240" s="33">
        <v>0</v>
      </c>
      <c r="E240" s="36">
        <v>0</v>
      </c>
      <c r="F240" s="37">
        <v>0</v>
      </c>
      <c r="G240" s="30">
        <v>0.12138657999999999</v>
      </c>
      <c r="H240">
        <f t="shared" si="41"/>
        <v>0</v>
      </c>
      <c r="I240">
        <v>2.1001081913710001E-2</v>
      </c>
      <c r="J240">
        <f t="shared" si="42"/>
        <v>0</v>
      </c>
      <c r="K240">
        <v>0.22267757356166801</v>
      </c>
      <c r="L240">
        <f t="shared" si="43"/>
        <v>0</v>
      </c>
      <c r="M240">
        <v>1.9018642999999998E-2</v>
      </c>
      <c r="N240">
        <f t="shared" si="43"/>
        <v>0</v>
      </c>
      <c r="O240">
        <v>3.8314168341459999E-3</v>
      </c>
      <c r="P240">
        <f t="shared" si="43"/>
        <v>0</v>
      </c>
      <c r="Q240">
        <v>3.4275182000000001E-2</v>
      </c>
      <c r="R240">
        <f t="shared" si="43"/>
        <v>0</v>
      </c>
      <c r="S240" s="30">
        <v>1.16808105303789E-5</v>
      </c>
      <c r="T240">
        <f t="shared" si="44"/>
        <v>0</v>
      </c>
      <c r="U240" s="7">
        <v>6.7185060000000005E-2</v>
      </c>
      <c r="V240">
        <v>0</v>
      </c>
      <c r="X240">
        <v>1</v>
      </c>
    </row>
    <row r="241" spans="1:24">
      <c r="A241" s="1">
        <v>0</v>
      </c>
      <c r="B241" s="1" t="s">
        <v>240</v>
      </c>
      <c r="C241" s="1">
        <v>0</v>
      </c>
      <c r="D241" s="33">
        <v>0</v>
      </c>
      <c r="E241" s="36">
        <v>0</v>
      </c>
      <c r="F241" s="37">
        <v>1</v>
      </c>
      <c r="G241" s="30">
        <v>3.4688465000000002E-2</v>
      </c>
      <c r="H241">
        <f t="shared" si="41"/>
        <v>0</v>
      </c>
      <c r="I241" s="30">
        <v>4.1596991941329998E-3</v>
      </c>
      <c r="J241">
        <f t="shared" si="42"/>
        <v>0</v>
      </c>
      <c r="K241">
        <v>3.2770484685898001E-2</v>
      </c>
      <c r="L241">
        <f t="shared" si="43"/>
        <v>0</v>
      </c>
      <c r="M241" s="30">
        <v>3.5236399999999998E-4</v>
      </c>
      <c r="N241">
        <f t="shared" si="43"/>
        <v>0</v>
      </c>
      <c r="O241" s="30">
        <v>8.9205271797300001E-4</v>
      </c>
      <c r="P241">
        <f t="shared" si="43"/>
        <v>0</v>
      </c>
      <c r="Q241">
        <v>2.3774424999999998E-2</v>
      </c>
      <c r="R241">
        <f t="shared" si="43"/>
        <v>0</v>
      </c>
      <c r="S241" s="30">
        <v>7.6945418925333797E-9</v>
      </c>
      <c r="T241">
        <f t="shared" si="44"/>
        <v>0</v>
      </c>
      <c r="U241" s="1">
        <v>5.8552264999999999E-2</v>
      </c>
      <c r="V241">
        <v>0</v>
      </c>
      <c r="X241">
        <v>0</v>
      </c>
    </row>
    <row r="242" spans="1:24">
      <c r="A242" s="1">
        <v>0</v>
      </c>
      <c r="B242" s="1" t="s">
        <v>241</v>
      </c>
      <c r="C242" s="1">
        <v>0</v>
      </c>
      <c r="D242" s="33">
        <v>0</v>
      </c>
      <c r="E242" s="36">
        <v>0</v>
      </c>
      <c r="F242" s="37">
        <v>0</v>
      </c>
      <c r="G242" s="30">
        <v>5.9167478000000003E-2</v>
      </c>
      <c r="H242">
        <f t="shared" si="41"/>
        <v>0</v>
      </c>
      <c r="I242" s="30">
        <v>4.2384788393970002E-3</v>
      </c>
      <c r="J242">
        <f t="shared" si="42"/>
        <v>0</v>
      </c>
      <c r="K242">
        <v>1.2883144430816E-2</v>
      </c>
      <c r="L242">
        <f t="shared" si="43"/>
        <v>0</v>
      </c>
      <c r="M242">
        <v>7.7657230000000004E-3</v>
      </c>
      <c r="N242">
        <f t="shared" si="43"/>
        <v>0</v>
      </c>
      <c r="O242">
        <v>6.5649328753349997E-3</v>
      </c>
      <c r="P242">
        <f t="shared" si="43"/>
        <v>0</v>
      </c>
      <c r="Q242">
        <v>5.8521523999999998E-2</v>
      </c>
      <c r="R242">
        <f t="shared" si="43"/>
        <v>0</v>
      </c>
      <c r="S242">
        <v>3.4873623400926999E-2</v>
      </c>
      <c r="T242">
        <f t="shared" si="44"/>
        <v>0</v>
      </c>
      <c r="U242" s="1">
        <v>0.13239923000000001</v>
      </c>
      <c r="V242">
        <v>0</v>
      </c>
      <c r="X242">
        <v>0</v>
      </c>
    </row>
    <row r="243" spans="1:24">
      <c r="A243" s="1">
        <v>0</v>
      </c>
      <c r="B243" s="1" t="s">
        <v>242</v>
      </c>
      <c r="C243" s="1">
        <v>0</v>
      </c>
      <c r="D243" s="33">
        <v>0</v>
      </c>
      <c r="E243" s="36">
        <v>0</v>
      </c>
      <c r="F243" s="37">
        <v>0</v>
      </c>
      <c r="G243">
        <v>0.201213643</v>
      </c>
      <c r="H243">
        <f t="shared" si="41"/>
        <v>0</v>
      </c>
      <c r="I243" s="30">
        <v>4.5922484248877002E-2</v>
      </c>
      <c r="J243">
        <f t="shared" si="42"/>
        <v>0</v>
      </c>
      <c r="K243">
        <v>0.45271393656730602</v>
      </c>
      <c r="L243">
        <f t="shared" si="43"/>
        <v>0</v>
      </c>
      <c r="M243">
        <v>0.138680995</v>
      </c>
      <c r="N243">
        <f t="shared" si="43"/>
        <v>0</v>
      </c>
      <c r="O243">
        <v>0.69178241491317805</v>
      </c>
      <c r="P243">
        <f t="shared" si="43"/>
        <v>1</v>
      </c>
      <c r="Q243">
        <v>0.30790999499999999</v>
      </c>
      <c r="R243">
        <f t="shared" si="43"/>
        <v>0</v>
      </c>
      <c r="S243">
        <v>1.1234183330090001E-3</v>
      </c>
      <c r="T243">
        <f t="shared" si="44"/>
        <v>0</v>
      </c>
      <c r="U243" s="1">
        <v>0.55190969999999995</v>
      </c>
      <c r="V243">
        <v>0</v>
      </c>
      <c r="X243">
        <v>0</v>
      </c>
    </row>
    <row r="244" spans="1:24">
      <c r="A244" s="1">
        <v>0</v>
      </c>
      <c r="B244" s="1" t="s">
        <v>243</v>
      </c>
      <c r="C244" s="1">
        <v>0</v>
      </c>
      <c r="D244" s="33">
        <v>0</v>
      </c>
      <c r="E244" s="36">
        <v>0</v>
      </c>
      <c r="F244" s="37">
        <v>0</v>
      </c>
      <c r="G244">
        <v>0.46505838599999999</v>
      </c>
      <c r="H244">
        <f t="shared" si="41"/>
        <v>0</v>
      </c>
      <c r="I244">
        <v>7.1605414152144997E-2</v>
      </c>
      <c r="J244">
        <f t="shared" si="42"/>
        <v>0</v>
      </c>
      <c r="K244">
        <v>0.89963781833648704</v>
      </c>
      <c r="L244">
        <f t="shared" si="43"/>
        <v>1</v>
      </c>
      <c r="M244">
        <v>0.13926359999999999</v>
      </c>
      <c r="N244">
        <f t="shared" si="43"/>
        <v>0</v>
      </c>
      <c r="O244">
        <v>0.42028352618217502</v>
      </c>
      <c r="P244">
        <f t="shared" si="43"/>
        <v>0</v>
      </c>
      <c r="Q244">
        <v>0.74644070900000004</v>
      </c>
      <c r="R244">
        <f t="shared" si="43"/>
        <v>1</v>
      </c>
      <c r="S244">
        <v>0.98757356405258201</v>
      </c>
      <c r="T244">
        <f t="shared" si="44"/>
        <v>1</v>
      </c>
      <c r="U244" s="1">
        <v>0.71820700000000004</v>
      </c>
      <c r="V244">
        <v>1</v>
      </c>
      <c r="X244">
        <v>0</v>
      </c>
    </row>
    <row r="245" spans="1:24">
      <c r="A245" s="1">
        <v>0</v>
      </c>
      <c r="B245" s="1" t="s">
        <v>244</v>
      </c>
      <c r="C245" s="1">
        <v>0</v>
      </c>
      <c r="D245" s="33">
        <v>0</v>
      </c>
      <c r="E245" s="36">
        <v>0</v>
      </c>
      <c r="F245" s="37">
        <v>0</v>
      </c>
      <c r="G245" s="30">
        <v>0.12726361999999999</v>
      </c>
      <c r="H245">
        <f t="shared" si="41"/>
        <v>0</v>
      </c>
      <c r="I245">
        <v>3.8625963497909998E-3</v>
      </c>
      <c r="J245">
        <f t="shared" si="42"/>
        <v>0</v>
      </c>
      <c r="K245">
        <v>2.5308830663562001E-2</v>
      </c>
      <c r="L245">
        <f t="shared" si="43"/>
        <v>0</v>
      </c>
      <c r="M245">
        <v>0.141060308</v>
      </c>
      <c r="N245">
        <f t="shared" si="43"/>
        <v>0</v>
      </c>
      <c r="O245">
        <v>9.9873743951320995E-2</v>
      </c>
      <c r="P245">
        <f t="shared" si="43"/>
        <v>0</v>
      </c>
      <c r="Q245">
        <v>0.191303164</v>
      </c>
      <c r="R245">
        <f t="shared" si="43"/>
        <v>0</v>
      </c>
      <c r="S245">
        <v>2.1121434401719999E-3</v>
      </c>
      <c r="T245">
        <f t="shared" si="44"/>
        <v>0</v>
      </c>
      <c r="U245" s="1">
        <v>0.12931662999999999</v>
      </c>
      <c r="V245">
        <v>0</v>
      </c>
      <c r="X245">
        <v>0</v>
      </c>
    </row>
    <row r="246" spans="1:24">
      <c r="A246" s="1">
        <v>0</v>
      </c>
      <c r="B246" s="1" t="s">
        <v>245</v>
      </c>
      <c r="C246" s="1">
        <v>0</v>
      </c>
      <c r="D246" s="33">
        <v>0</v>
      </c>
      <c r="E246" s="36">
        <v>0</v>
      </c>
      <c r="F246" s="37">
        <v>0</v>
      </c>
      <c r="G246" s="30">
        <v>0.13778099399999999</v>
      </c>
      <c r="H246">
        <f t="shared" si="41"/>
        <v>0</v>
      </c>
      <c r="I246">
        <v>3.5362608730792999E-2</v>
      </c>
      <c r="J246">
        <f t="shared" si="42"/>
        <v>0</v>
      </c>
      <c r="K246">
        <v>0.17758420109748799</v>
      </c>
      <c r="L246">
        <f t="shared" si="43"/>
        <v>0</v>
      </c>
      <c r="M246">
        <v>0.137476608</v>
      </c>
      <c r="N246">
        <f t="shared" si="43"/>
        <v>0</v>
      </c>
      <c r="O246">
        <v>0.18508648872375499</v>
      </c>
      <c r="P246">
        <f t="shared" si="43"/>
        <v>0</v>
      </c>
      <c r="Q246">
        <v>5.2945547000000003E-2</v>
      </c>
      <c r="R246">
        <f t="shared" si="43"/>
        <v>0</v>
      </c>
      <c r="S246">
        <v>8.8485926389689998E-3</v>
      </c>
      <c r="T246">
        <f t="shared" si="44"/>
        <v>0</v>
      </c>
      <c r="U246" s="1">
        <v>0.22572415000000001</v>
      </c>
      <c r="V246">
        <v>0</v>
      </c>
      <c r="X246">
        <v>0</v>
      </c>
    </row>
    <row r="247" spans="1:24">
      <c r="A247" s="1">
        <v>1</v>
      </c>
      <c r="B247" s="1" t="s">
        <v>246</v>
      </c>
      <c r="C247" s="1">
        <v>1</v>
      </c>
      <c r="D247" s="33">
        <v>1</v>
      </c>
      <c r="E247" s="37">
        <v>1</v>
      </c>
      <c r="F247" s="37">
        <v>1</v>
      </c>
      <c r="G247">
        <v>0.75893402099999996</v>
      </c>
      <c r="H247">
        <f t="shared" si="41"/>
        <v>1</v>
      </c>
      <c r="I247">
        <v>0.92654913663864102</v>
      </c>
      <c r="J247">
        <f t="shared" si="42"/>
        <v>1</v>
      </c>
      <c r="K247">
        <v>0.69658786058425903</v>
      </c>
      <c r="L247">
        <f t="shared" si="43"/>
        <v>1</v>
      </c>
      <c r="M247">
        <v>0.98405206199999995</v>
      </c>
      <c r="N247">
        <f t="shared" si="43"/>
        <v>1</v>
      </c>
      <c r="O247">
        <v>0.94856888055801403</v>
      </c>
      <c r="P247">
        <f t="shared" si="43"/>
        <v>1</v>
      </c>
      <c r="Q247">
        <v>0.53857576799999995</v>
      </c>
      <c r="R247">
        <f t="shared" si="43"/>
        <v>1</v>
      </c>
      <c r="S247">
        <v>0.91637593507766701</v>
      </c>
      <c r="T247">
        <f t="shared" si="44"/>
        <v>1</v>
      </c>
      <c r="U247" s="1">
        <v>0.77251460000000005</v>
      </c>
      <c r="V247">
        <v>1</v>
      </c>
      <c r="X247">
        <v>0</v>
      </c>
    </row>
    <row r="248" spans="1:24">
      <c r="A248" s="1">
        <v>1</v>
      </c>
      <c r="B248" s="1" t="s">
        <v>247</v>
      </c>
      <c r="C248" s="1">
        <v>1</v>
      </c>
      <c r="D248" s="33">
        <v>1</v>
      </c>
      <c r="E248" s="37">
        <v>1</v>
      </c>
      <c r="F248" s="37">
        <v>1</v>
      </c>
      <c r="G248">
        <v>0.95642894499999997</v>
      </c>
      <c r="H248">
        <f t="shared" si="41"/>
        <v>1</v>
      </c>
      <c r="I248">
        <v>0.99999940395355202</v>
      </c>
      <c r="J248">
        <f t="shared" si="42"/>
        <v>1</v>
      </c>
      <c r="K248">
        <v>0.99964594841003396</v>
      </c>
      <c r="L248">
        <f t="shared" si="43"/>
        <v>1</v>
      </c>
      <c r="M248" s="30">
        <v>0.99492031299999995</v>
      </c>
      <c r="N248">
        <f t="shared" si="43"/>
        <v>1</v>
      </c>
      <c r="O248">
        <v>0.99967181682586703</v>
      </c>
      <c r="P248">
        <f t="shared" si="43"/>
        <v>1</v>
      </c>
      <c r="Q248">
        <v>0.92088967600000005</v>
      </c>
      <c r="R248">
        <f t="shared" si="43"/>
        <v>1</v>
      </c>
      <c r="S248">
        <v>0.99999654293060303</v>
      </c>
      <c r="T248">
        <f t="shared" si="44"/>
        <v>1</v>
      </c>
      <c r="U248" s="1">
        <v>0.78594710000000001</v>
      </c>
      <c r="V248">
        <v>1</v>
      </c>
      <c r="X248">
        <v>0</v>
      </c>
    </row>
    <row r="249" spans="1:24">
      <c r="A249" s="1">
        <v>1</v>
      </c>
      <c r="B249" s="1" t="s">
        <v>248</v>
      </c>
      <c r="C249" s="1">
        <v>1</v>
      </c>
      <c r="D249" s="33">
        <v>1</v>
      </c>
      <c r="E249" s="37">
        <v>1</v>
      </c>
      <c r="F249" s="37">
        <v>1</v>
      </c>
      <c r="G249">
        <v>0.91211366699999996</v>
      </c>
      <c r="H249">
        <f t="shared" si="41"/>
        <v>1</v>
      </c>
      <c r="I249">
        <v>0.99880027770996105</v>
      </c>
      <c r="J249">
        <f t="shared" si="42"/>
        <v>1</v>
      </c>
      <c r="K249">
        <v>0.93762350082397505</v>
      </c>
      <c r="L249">
        <f t="shared" si="43"/>
        <v>1</v>
      </c>
      <c r="M249">
        <v>0.9818964</v>
      </c>
      <c r="N249">
        <f t="shared" si="43"/>
        <v>1</v>
      </c>
      <c r="O249">
        <v>0.98777812719345104</v>
      </c>
      <c r="P249">
        <f t="shared" si="43"/>
        <v>1</v>
      </c>
      <c r="Q249">
        <v>0.78388422700000004</v>
      </c>
      <c r="R249">
        <f t="shared" si="43"/>
        <v>1</v>
      </c>
      <c r="S249">
        <v>0.99992132186889604</v>
      </c>
      <c r="T249">
        <f t="shared" si="44"/>
        <v>1</v>
      </c>
      <c r="U249" s="1">
        <v>0.78072613000000002</v>
      </c>
      <c r="V249">
        <v>1</v>
      </c>
      <c r="X249">
        <v>0</v>
      </c>
    </row>
    <row r="250" spans="1:24">
      <c r="A250" s="1">
        <v>1</v>
      </c>
      <c r="B250" s="1" t="s">
        <v>249</v>
      </c>
      <c r="C250" s="1">
        <v>1</v>
      </c>
      <c r="D250" s="33">
        <v>1</v>
      </c>
      <c r="E250" s="37">
        <v>1</v>
      </c>
      <c r="F250" s="37">
        <v>1</v>
      </c>
      <c r="G250">
        <v>0.79895234100000001</v>
      </c>
      <c r="H250">
        <f t="shared" si="41"/>
        <v>1</v>
      </c>
      <c r="I250">
        <v>0.52132534980773904</v>
      </c>
      <c r="J250">
        <f t="shared" si="42"/>
        <v>1</v>
      </c>
      <c r="K250">
        <v>0.58234816789627097</v>
      </c>
      <c r="L250">
        <f t="shared" si="43"/>
        <v>1</v>
      </c>
      <c r="M250">
        <v>0.34200462700000001</v>
      </c>
      <c r="N250">
        <f t="shared" si="43"/>
        <v>0</v>
      </c>
      <c r="O250">
        <v>0.52421462535858199</v>
      </c>
      <c r="P250">
        <f t="shared" si="43"/>
        <v>1</v>
      </c>
      <c r="Q250">
        <v>0.77169203799999997</v>
      </c>
      <c r="R250">
        <f t="shared" si="43"/>
        <v>1</v>
      </c>
      <c r="S250">
        <v>0.24193945527076699</v>
      </c>
      <c r="T250">
        <f t="shared" si="44"/>
        <v>0</v>
      </c>
      <c r="U250" s="1">
        <v>0.59179216999999995</v>
      </c>
      <c r="V250">
        <v>1</v>
      </c>
      <c r="X250">
        <v>0</v>
      </c>
    </row>
    <row r="251" spans="1:24">
      <c r="A251" s="1">
        <v>1</v>
      </c>
      <c r="B251" s="1" t="s">
        <v>546</v>
      </c>
      <c r="C251" s="1">
        <v>1</v>
      </c>
      <c r="D251" s="33">
        <v>0</v>
      </c>
      <c r="E251" s="37">
        <v>1</v>
      </c>
      <c r="F251" s="37">
        <v>0</v>
      </c>
      <c r="G251" s="30">
        <v>0.14523862300000001</v>
      </c>
      <c r="H251">
        <f t="shared" si="41"/>
        <v>0</v>
      </c>
      <c r="I251" s="30">
        <v>1.8143989145756E-2</v>
      </c>
      <c r="J251">
        <f t="shared" si="42"/>
        <v>0</v>
      </c>
      <c r="K251">
        <v>6.2817990779877E-2</v>
      </c>
      <c r="L251">
        <f t="shared" si="43"/>
        <v>0</v>
      </c>
      <c r="M251" s="30">
        <v>4.4064200000000004E-6</v>
      </c>
      <c r="N251">
        <f t="shared" si="43"/>
        <v>0</v>
      </c>
      <c r="O251">
        <v>0.62363129854202304</v>
      </c>
      <c r="P251">
        <f t="shared" si="43"/>
        <v>1</v>
      </c>
      <c r="Q251">
        <v>0.60843575000000005</v>
      </c>
      <c r="R251">
        <f t="shared" si="43"/>
        <v>1</v>
      </c>
      <c r="S251">
        <v>0.80563050508499101</v>
      </c>
      <c r="T251">
        <f t="shared" si="44"/>
        <v>1</v>
      </c>
      <c r="U251" s="1">
        <v>0.63532155999999995</v>
      </c>
      <c r="V251">
        <v>1</v>
      </c>
      <c r="X251">
        <v>0</v>
      </c>
    </row>
    <row r="252" spans="1:24">
      <c r="A252" s="1">
        <v>1</v>
      </c>
      <c r="B252" s="7" t="s">
        <v>251</v>
      </c>
      <c r="C252" s="1">
        <v>1</v>
      </c>
      <c r="D252" s="33">
        <v>0</v>
      </c>
      <c r="E252" s="37">
        <v>1</v>
      </c>
      <c r="F252" s="37">
        <v>1</v>
      </c>
      <c r="G252">
        <v>0.59784412399999998</v>
      </c>
      <c r="H252">
        <f t="shared" si="41"/>
        <v>1</v>
      </c>
      <c r="I252">
        <v>0.173280090093613</v>
      </c>
      <c r="J252">
        <f t="shared" si="42"/>
        <v>0</v>
      </c>
      <c r="K252">
        <v>0.71290636062622104</v>
      </c>
      <c r="L252">
        <f t="shared" si="43"/>
        <v>1</v>
      </c>
      <c r="M252">
        <v>0.59622341400000001</v>
      </c>
      <c r="N252">
        <f t="shared" si="43"/>
        <v>1</v>
      </c>
      <c r="O252">
        <v>0.24445815384388001</v>
      </c>
      <c r="P252">
        <f t="shared" si="43"/>
        <v>0</v>
      </c>
      <c r="Q252">
        <v>8.0794603000000006E-2</v>
      </c>
      <c r="R252">
        <f t="shared" si="43"/>
        <v>0</v>
      </c>
      <c r="S252">
        <v>2.6977263391018001E-2</v>
      </c>
      <c r="T252">
        <f t="shared" si="44"/>
        <v>0</v>
      </c>
      <c r="U252" s="7">
        <v>0.40526040000000002</v>
      </c>
      <c r="V252">
        <v>0</v>
      </c>
      <c r="X252">
        <v>1</v>
      </c>
    </row>
    <row r="253" spans="1:24">
      <c r="A253" s="1">
        <v>1</v>
      </c>
      <c r="B253" s="7" t="s">
        <v>252</v>
      </c>
      <c r="C253" s="1">
        <v>1</v>
      </c>
      <c r="D253" s="33">
        <v>1</v>
      </c>
      <c r="E253" s="37">
        <v>1</v>
      </c>
      <c r="F253" s="37">
        <v>1</v>
      </c>
      <c r="G253">
        <v>0.93777579099999997</v>
      </c>
      <c r="H253">
        <f t="shared" si="41"/>
        <v>1</v>
      </c>
      <c r="I253">
        <v>0.99996650218963601</v>
      </c>
      <c r="J253">
        <f t="shared" si="42"/>
        <v>1</v>
      </c>
      <c r="K253">
        <v>0.99969124794006403</v>
      </c>
      <c r="L253">
        <f t="shared" si="43"/>
        <v>1</v>
      </c>
      <c r="M253">
        <v>0.99798870100000003</v>
      </c>
      <c r="N253">
        <f t="shared" si="43"/>
        <v>1</v>
      </c>
      <c r="O253">
        <v>0.99933248758315996</v>
      </c>
      <c r="P253">
        <f t="shared" si="43"/>
        <v>1</v>
      </c>
      <c r="Q253">
        <v>0.91293954799999999</v>
      </c>
      <c r="R253">
        <f t="shared" si="43"/>
        <v>1</v>
      </c>
      <c r="S253">
        <v>0.99971193075179998</v>
      </c>
      <c r="T253">
        <f t="shared" si="44"/>
        <v>1</v>
      </c>
      <c r="U253" s="7">
        <v>0.75098540000000003</v>
      </c>
      <c r="V253">
        <v>1</v>
      </c>
      <c r="X253">
        <v>1</v>
      </c>
    </row>
    <row r="254" spans="1:24">
      <c r="A254" s="1">
        <v>1</v>
      </c>
      <c r="B254" s="1" t="s">
        <v>253</v>
      </c>
      <c r="C254" s="1">
        <v>1</v>
      </c>
      <c r="D254" s="33">
        <v>1</v>
      </c>
      <c r="E254" s="37">
        <v>1</v>
      </c>
      <c r="F254" s="37">
        <v>1</v>
      </c>
      <c r="G254">
        <v>0.84112829</v>
      </c>
      <c r="H254">
        <f t="shared" si="41"/>
        <v>1</v>
      </c>
      <c r="I254">
        <v>0.99831199645996105</v>
      </c>
      <c r="J254">
        <f t="shared" si="42"/>
        <v>1</v>
      </c>
      <c r="K254">
        <v>0.91674697399139404</v>
      </c>
      <c r="L254">
        <f t="shared" si="43"/>
        <v>1</v>
      </c>
      <c r="M254">
        <v>0.99797636300000003</v>
      </c>
      <c r="N254">
        <f t="shared" si="43"/>
        <v>1</v>
      </c>
      <c r="O254">
        <v>0.98022985458374001</v>
      </c>
      <c r="P254">
        <f t="shared" si="43"/>
        <v>1</v>
      </c>
      <c r="Q254">
        <v>0.89890706499999995</v>
      </c>
      <c r="R254">
        <f t="shared" si="43"/>
        <v>1</v>
      </c>
      <c r="S254">
        <v>0.71682518720626798</v>
      </c>
      <c r="T254">
        <f t="shared" si="44"/>
        <v>1</v>
      </c>
      <c r="U254" s="1">
        <v>0.76321059999999996</v>
      </c>
      <c r="V254">
        <v>1</v>
      </c>
      <c r="X254">
        <v>0</v>
      </c>
    </row>
    <row r="255" spans="1:24">
      <c r="A255" s="1">
        <v>1</v>
      </c>
      <c r="B255" s="1" t="s">
        <v>254</v>
      </c>
      <c r="C255" s="1">
        <v>1</v>
      </c>
      <c r="D255" s="33">
        <v>1</v>
      </c>
      <c r="E255" s="37">
        <v>1</v>
      </c>
      <c r="F255" s="37">
        <v>1</v>
      </c>
      <c r="G255">
        <v>0.59710544300000001</v>
      </c>
      <c r="H255">
        <f t="shared" si="41"/>
        <v>1</v>
      </c>
      <c r="I255">
        <v>0.56536090373992898</v>
      </c>
      <c r="J255">
        <f t="shared" si="42"/>
        <v>1</v>
      </c>
      <c r="K255">
        <v>0.57458060979843095</v>
      </c>
      <c r="L255">
        <f t="shared" si="43"/>
        <v>1</v>
      </c>
      <c r="M255">
        <v>0.94457882599999998</v>
      </c>
      <c r="N255">
        <f t="shared" si="43"/>
        <v>1</v>
      </c>
      <c r="O255">
        <v>0.68842011690139804</v>
      </c>
      <c r="P255">
        <f t="shared" si="43"/>
        <v>1</v>
      </c>
      <c r="Q255">
        <v>0.54013901900000005</v>
      </c>
      <c r="R255">
        <f t="shared" si="43"/>
        <v>1</v>
      </c>
      <c r="S255">
        <v>0.76399862766265902</v>
      </c>
      <c r="T255">
        <f t="shared" si="44"/>
        <v>1</v>
      </c>
      <c r="U255" s="1">
        <v>0.58597149999999998</v>
      </c>
      <c r="V255">
        <v>1</v>
      </c>
      <c r="X255">
        <v>0</v>
      </c>
    </row>
    <row r="256" spans="1:24">
      <c r="A256" s="1">
        <v>1</v>
      </c>
      <c r="B256" s="1" t="s">
        <v>255</v>
      </c>
      <c r="C256" s="1">
        <v>1</v>
      </c>
      <c r="D256" s="33">
        <v>1</v>
      </c>
      <c r="E256" s="37">
        <v>1</v>
      </c>
      <c r="F256" s="37">
        <v>1</v>
      </c>
      <c r="G256">
        <v>0.68768012499999998</v>
      </c>
      <c r="H256">
        <f t="shared" si="41"/>
        <v>1</v>
      </c>
      <c r="I256">
        <v>0.37472155690193198</v>
      </c>
      <c r="J256">
        <f t="shared" si="42"/>
        <v>0</v>
      </c>
      <c r="K256">
        <v>0.90107989311218295</v>
      </c>
      <c r="L256">
        <f t="shared" si="43"/>
        <v>1</v>
      </c>
      <c r="M256">
        <v>0.59740662600000005</v>
      </c>
      <c r="N256">
        <f t="shared" si="43"/>
        <v>1</v>
      </c>
      <c r="O256">
        <v>0.69519668817520097</v>
      </c>
      <c r="P256">
        <f t="shared" si="43"/>
        <v>1</v>
      </c>
      <c r="Q256">
        <v>4.4389967000000002E-2</v>
      </c>
      <c r="R256">
        <f t="shared" si="43"/>
        <v>0</v>
      </c>
      <c r="S256">
        <v>0.77146142721176203</v>
      </c>
      <c r="T256">
        <f t="shared" si="44"/>
        <v>1</v>
      </c>
      <c r="U256" s="1">
        <v>0.38331767999999999</v>
      </c>
      <c r="V256">
        <v>0</v>
      </c>
      <c r="X256">
        <v>0</v>
      </c>
    </row>
    <row r="257" spans="1:24">
      <c r="A257" s="1">
        <v>1</v>
      </c>
      <c r="B257" s="1" t="s">
        <v>256</v>
      </c>
      <c r="C257" s="1">
        <v>1</v>
      </c>
      <c r="D257" s="33">
        <v>1</v>
      </c>
      <c r="E257" s="37">
        <v>1</v>
      </c>
      <c r="F257" s="37">
        <v>1</v>
      </c>
      <c r="G257">
        <v>0.863979995</v>
      </c>
      <c r="H257">
        <f t="shared" si="41"/>
        <v>1</v>
      </c>
      <c r="I257">
        <v>0.99823343753814697</v>
      </c>
      <c r="J257">
        <f t="shared" si="42"/>
        <v>1</v>
      </c>
      <c r="K257">
        <v>0.99368155002594005</v>
      </c>
      <c r="L257">
        <f t="shared" si="43"/>
        <v>1</v>
      </c>
      <c r="M257">
        <v>0.99396896400000001</v>
      </c>
      <c r="N257">
        <f t="shared" si="43"/>
        <v>1</v>
      </c>
      <c r="O257">
        <v>0.98468947410583496</v>
      </c>
      <c r="P257">
        <f t="shared" si="43"/>
        <v>1</v>
      </c>
      <c r="Q257">
        <v>0.81453150500000004</v>
      </c>
      <c r="R257">
        <f t="shared" si="43"/>
        <v>1</v>
      </c>
      <c r="S257">
        <v>0.98677539825439398</v>
      </c>
      <c r="T257">
        <f t="shared" si="44"/>
        <v>1</v>
      </c>
      <c r="U257" s="1">
        <v>0.65198299999999998</v>
      </c>
      <c r="V257">
        <v>1</v>
      </c>
      <c r="X257">
        <v>0</v>
      </c>
    </row>
    <row r="258" spans="1:24">
      <c r="A258" s="1">
        <v>1</v>
      </c>
      <c r="B258" s="1" t="s">
        <v>257</v>
      </c>
      <c r="C258" s="1">
        <v>1</v>
      </c>
      <c r="D258" s="33">
        <v>0</v>
      </c>
      <c r="E258" s="36">
        <v>1</v>
      </c>
      <c r="F258" s="37">
        <v>1</v>
      </c>
      <c r="G258">
        <v>0.52086770500000001</v>
      </c>
      <c r="H258">
        <f t="shared" si="41"/>
        <v>1</v>
      </c>
      <c r="I258">
        <v>9.8160905763509994E-3</v>
      </c>
      <c r="J258">
        <f t="shared" si="42"/>
        <v>0</v>
      </c>
      <c r="K258">
        <v>0.37330803275108299</v>
      </c>
      <c r="L258">
        <f t="shared" si="43"/>
        <v>0</v>
      </c>
      <c r="M258">
        <v>0.139397874</v>
      </c>
      <c r="N258">
        <f t="shared" si="43"/>
        <v>0</v>
      </c>
      <c r="O258">
        <v>3.2642584294080998E-2</v>
      </c>
      <c r="P258">
        <f t="shared" si="43"/>
        <v>0</v>
      </c>
      <c r="Q258">
        <v>0.132310018</v>
      </c>
      <c r="R258">
        <f t="shared" si="43"/>
        <v>0</v>
      </c>
      <c r="S258">
        <v>3.1778022646903999E-2</v>
      </c>
      <c r="T258">
        <f t="shared" si="44"/>
        <v>0</v>
      </c>
      <c r="U258" s="1">
        <v>0.61659280000000005</v>
      </c>
      <c r="V258">
        <v>1</v>
      </c>
      <c r="X258">
        <v>0</v>
      </c>
    </row>
    <row r="259" spans="1:24">
      <c r="A259" s="1">
        <v>1</v>
      </c>
      <c r="B259" s="1" t="s">
        <v>258</v>
      </c>
      <c r="C259" s="1">
        <v>1</v>
      </c>
      <c r="D259" s="33">
        <v>1</v>
      </c>
      <c r="E259" s="37">
        <v>1</v>
      </c>
      <c r="F259" s="37">
        <v>1</v>
      </c>
      <c r="G259">
        <v>0.80728208999999995</v>
      </c>
      <c r="H259">
        <f t="shared" si="41"/>
        <v>1</v>
      </c>
      <c r="I259">
        <v>0.94643217325210605</v>
      </c>
      <c r="J259">
        <f t="shared" si="42"/>
        <v>1</v>
      </c>
      <c r="K259">
        <v>0.95719838142394997</v>
      </c>
      <c r="L259">
        <f t="shared" si="43"/>
        <v>1</v>
      </c>
      <c r="M259">
        <v>0.68383842699999997</v>
      </c>
      <c r="N259">
        <f t="shared" si="43"/>
        <v>1</v>
      </c>
      <c r="O259">
        <v>0.90297240018844604</v>
      </c>
      <c r="P259">
        <f t="shared" si="43"/>
        <v>1</v>
      </c>
      <c r="Q259">
        <v>0.63029813800000001</v>
      </c>
      <c r="R259">
        <f t="shared" si="43"/>
        <v>1</v>
      </c>
      <c r="S259">
        <v>0.99718636274337802</v>
      </c>
      <c r="T259">
        <f t="shared" si="44"/>
        <v>1</v>
      </c>
      <c r="U259" s="1">
        <v>0.7788292</v>
      </c>
      <c r="V259">
        <v>1</v>
      </c>
      <c r="X259">
        <v>0</v>
      </c>
    </row>
    <row r="260" spans="1:24">
      <c r="A260" s="1">
        <v>1</v>
      </c>
      <c r="B260" s="1" t="s">
        <v>259</v>
      </c>
      <c r="C260" s="1">
        <v>1</v>
      </c>
      <c r="D260" s="33">
        <v>1</v>
      </c>
      <c r="E260" s="37">
        <v>1</v>
      </c>
      <c r="F260" s="37">
        <v>1</v>
      </c>
      <c r="G260">
        <v>0.93959653399999998</v>
      </c>
      <c r="H260">
        <f t="shared" si="41"/>
        <v>1</v>
      </c>
      <c r="I260">
        <v>0.99983203411102295</v>
      </c>
      <c r="J260">
        <f t="shared" si="42"/>
        <v>1</v>
      </c>
      <c r="K260">
        <v>0.99532556533813499</v>
      </c>
      <c r="L260">
        <f t="shared" si="43"/>
        <v>1</v>
      </c>
      <c r="M260">
        <v>0.99583578100000003</v>
      </c>
      <c r="N260">
        <f t="shared" si="43"/>
        <v>1</v>
      </c>
      <c r="O260">
        <v>0.99367481470107999</v>
      </c>
      <c r="P260">
        <f t="shared" si="43"/>
        <v>1</v>
      </c>
      <c r="Q260">
        <v>0.86375004099999997</v>
      </c>
      <c r="R260">
        <f t="shared" si="43"/>
        <v>1</v>
      </c>
      <c r="S260">
        <v>0.99949681758880604</v>
      </c>
      <c r="T260">
        <f t="shared" si="44"/>
        <v>1</v>
      </c>
      <c r="U260" s="1">
        <v>0.80215139999999996</v>
      </c>
      <c r="V260">
        <v>1</v>
      </c>
      <c r="X260">
        <v>0</v>
      </c>
    </row>
    <row r="261" spans="1:24">
      <c r="A261" s="1">
        <v>1</v>
      </c>
      <c r="B261" s="1" t="s">
        <v>260</v>
      </c>
      <c r="C261" s="1">
        <v>1</v>
      </c>
      <c r="D261" s="33">
        <v>1</v>
      </c>
      <c r="E261" s="37">
        <v>1</v>
      </c>
      <c r="F261" s="37">
        <v>0</v>
      </c>
      <c r="G261">
        <v>0.90225565399999996</v>
      </c>
      <c r="H261">
        <f t="shared" si="41"/>
        <v>1</v>
      </c>
      <c r="I261">
        <v>0.99954611063003496</v>
      </c>
      <c r="J261">
        <f t="shared" si="42"/>
        <v>1</v>
      </c>
      <c r="K261">
        <v>0.99560475349426303</v>
      </c>
      <c r="L261">
        <f t="shared" si="43"/>
        <v>1</v>
      </c>
      <c r="M261">
        <v>0.928688705</v>
      </c>
      <c r="N261">
        <f t="shared" si="43"/>
        <v>1</v>
      </c>
      <c r="O261">
        <v>0.97936147451400801</v>
      </c>
      <c r="P261">
        <f t="shared" si="43"/>
        <v>1</v>
      </c>
      <c r="Q261">
        <v>0.82419723300000003</v>
      </c>
      <c r="R261">
        <f t="shared" si="43"/>
        <v>1</v>
      </c>
      <c r="S261">
        <v>0.81692034006118797</v>
      </c>
      <c r="T261">
        <f t="shared" si="44"/>
        <v>1</v>
      </c>
      <c r="U261" s="1">
        <v>0.72809409999999997</v>
      </c>
      <c r="V261">
        <v>1</v>
      </c>
      <c r="X261">
        <v>0</v>
      </c>
    </row>
    <row r="262" spans="1:24">
      <c r="A262" s="1">
        <v>1</v>
      </c>
      <c r="B262" s="1" t="s">
        <v>261</v>
      </c>
      <c r="C262" s="1">
        <v>1</v>
      </c>
      <c r="D262" s="33">
        <v>1</v>
      </c>
      <c r="E262" s="37">
        <v>1</v>
      </c>
      <c r="F262" s="37">
        <v>1</v>
      </c>
      <c r="G262">
        <v>0.48908764100000002</v>
      </c>
      <c r="H262">
        <f t="shared" si="41"/>
        <v>0</v>
      </c>
      <c r="I262">
        <v>0.90788382291793801</v>
      </c>
      <c r="J262">
        <f t="shared" si="42"/>
        <v>1</v>
      </c>
      <c r="K262">
        <v>0.419321209192276</v>
      </c>
      <c r="L262">
        <f t="shared" si="43"/>
        <v>0</v>
      </c>
      <c r="M262">
        <v>0.87529796400000004</v>
      </c>
      <c r="N262">
        <f t="shared" si="43"/>
        <v>1</v>
      </c>
      <c r="O262">
        <v>0.142902135848999</v>
      </c>
      <c r="P262">
        <f t="shared" si="43"/>
        <v>0</v>
      </c>
      <c r="Q262">
        <v>0.36041587600000002</v>
      </c>
      <c r="R262">
        <f t="shared" si="43"/>
        <v>0</v>
      </c>
      <c r="S262">
        <v>0.73175776004791304</v>
      </c>
      <c r="T262">
        <f t="shared" si="44"/>
        <v>1</v>
      </c>
      <c r="U262" s="1">
        <v>0.71431789999999995</v>
      </c>
      <c r="V262">
        <v>1</v>
      </c>
      <c r="X262">
        <v>0</v>
      </c>
    </row>
    <row r="263" spans="1:24">
      <c r="A263" s="1">
        <v>1</v>
      </c>
      <c r="B263" s="1" t="s">
        <v>262</v>
      </c>
      <c r="C263" s="1">
        <v>1</v>
      </c>
      <c r="D263" s="33">
        <v>1</v>
      </c>
      <c r="E263" s="37">
        <v>1</v>
      </c>
      <c r="F263" s="37">
        <v>1</v>
      </c>
      <c r="G263">
        <v>0.50356793399999999</v>
      </c>
      <c r="H263">
        <f t="shared" si="41"/>
        <v>1</v>
      </c>
      <c r="I263">
        <v>0.59404426813125599</v>
      </c>
      <c r="J263">
        <f t="shared" si="42"/>
        <v>1</v>
      </c>
      <c r="K263">
        <v>0.84508955478668202</v>
      </c>
      <c r="L263">
        <f t="shared" si="43"/>
        <v>1</v>
      </c>
      <c r="M263">
        <v>0.62202692000000004</v>
      </c>
      <c r="N263">
        <f t="shared" si="43"/>
        <v>1</v>
      </c>
      <c r="O263">
        <v>0.89588391780853305</v>
      </c>
      <c r="P263">
        <f t="shared" si="43"/>
        <v>1</v>
      </c>
      <c r="Q263">
        <v>0.60408556499999999</v>
      </c>
      <c r="R263">
        <f t="shared" si="43"/>
        <v>1</v>
      </c>
      <c r="S263">
        <v>0.76127177476882901</v>
      </c>
      <c r="T263">
        <f t="shared" si="44"/>
        <v>1</v>
      </c>
      <c r="U263" s="1">
        <v>0.70986146000000006</v>
      </c>
      <c r="V263">
        <v>1</v>
      </c>
      <c r="X263">
        <v>0</v>
      </c>
    </row>
    <row r="264" spans="1:24">
      <c r="A264" s="1">
        <v>1</v>
      </c>
      <c r="B264" s="1" t="s">
        <v>263</v>
      </c>
      <c r="C264" s="1">
        <v>1</v>
      </c>
      <c r="D264" s="33">
        <v>1</v>
      </c>
      <c r="E264" s="36">
        <v>1</v>
      </c>
      <c r="F264" s="37">
        <v>1</v>
      </c>
      <c r="G264">
        <v>0.95625788</v>
      </c>
      <c r="H264">
        <f t="shared" si="41"/>
        <v>1</v>
      </c>
      <c r="I264">
        <v>0.99999105930328402</v>
      </c>
      <c r="J264">
        <f t="shared" si="42"/>
        <v>1</v>
      </c>
      <c r="K264">
        <v>0.99565565586090099</v>
      </c>
      <c r="L264">
        <f t="shared" si="43"/>
        <v>1</v>
      </c>
      <c r="M264">
        <v>0.99601030300000004</v>
      </c>
      <c r="N264">
        <f t="shared" si="43"/>
        <v>1</v>
      </c>
      <c r="O264">
        <v>0.99980241060257002</v>
      </c>
      <c r="P264">
        <f t="shared" si="43"/>
        <v>1</v>
      </c>
      <c r="Q264">
        <v>0.91909229800000003</v>
      </c>
      <c r="R264">
        <f t="shared" si="43"/>
        <v>1</v>
      </c>
      <c r="S264">
        <v>0.99973946809768699</v>
      </c>
      <c r="T264">
        <f t="shared" si="44"/>
        <v>1</v>
      </c>
      <c r="U264" s="1">
        <v>0.78130644999999999</v>
      </c>
      <c r="V264">
        <v>1</v>
      </c>
      <c r="X264">
        <v>0</v>
      </c>
    </row>
    <row r="265" spans="1:24">
      <c r="A265" s="1">
        <v>1</v>
      </c>
      <c r="B265" s="1" t="s">
        <v>264</v>
      </c>
      <c r="C265" s="1">
        <v>1</v>
      </c>
      <c r="D265" s="33">
        <v>1</v>
      </c>
      <c r="E265" s="37">
        <v>1</v>
      </c>
      <c r="F265" s="37">
        <v>1</v>
      </c>
      <c r="G265">
        <v>0.88414204100000005</v>
      </c>
      <c r="H265">
        <f t="shared" si="41"/>
        <v>1</v>
      </c>
      <c r="I265">
        <v>0.99975186586380005</v>
      </c>
      <c r="J265">
        <f t="shared" si="42"/>
        <v>1</v>
      </c>
      <c r="K265">
        <v>0.99264043569564797</v>
      </c>
      <c r="L265">
        <f t="shared" si="43"/>
        <v>1</v>
      </c>
      <c r="M265">
        <v>0.98140865600000005</v>
      </c>
      <c r="N265">
        <f t="shared" si="43"/>
        <v>1</v>
      </c>
      <c r="O265">
        <v>0.99159252643585205</v>
      </c>
      <c r="P265">
        <f t="shared" si="43"/>
        <v>1</v>
      </c>
      <c r="Q265">
        <v>0.67047137000000001</v>
      </c>
      <c r="R265">
        <f t="shared" si="43"/>
        <v>1</v>
      </c>
      <c r="S265">
        <v>0.999650359153748</v>
      </c>
      <c r="T265">
        <f t="shared" si="44"/>
        <v>1</v>
      </c>
      <c r="U265" s="1">
        <v>0.78316569999999996</v>
      </c>
      <c r="V265">
        <v>1</v>
      </c>
      <c r="X265">
        <v>0</v>
      </c>
    </row>
    <row r="266" spans="1:24">
      <c r="A266" s="1">
        <v>1</v>
      </c>
      <c r="B266" s="1" t="s">
        <v>265</v>
      </c>
      <c r="C266" s="1">
        <v>1</v>
      </c>
      <c r="D266" s="33">
        <v>1</v>
      </c>
      <c r="E266" s="37">
        <v>1</v>
      </c>
      <c r="F266" s="37">
        <v>1</v>
      </c>
      <c r="G266">
        <v>0.86825704599999998</v>
      </c>
      <c r="H266">
        <f t="shared" si="41"/>
        <v>1</v>
      </c>
      <c r="I266">
        <v>0.99968814849853505</v>
      </c>
      <c r="J266">
        <f t="shared" si="42"/>
        <v>1</v>
      </c>
      <c r="K266">
        <v>0.99869954586028997</v>
      </c>
      <c r="L266">
        <f t="shared" si="43"/>
        <v>1</v>
      </c>
      <c r="M266">
        <v>0.99009740400000001</v>
      </c>
      <c r="N266">
        <f t="shared" si="43"/>
        <v>1</v>
      </c>
      <c r="O266">
        <v>0.99460381269455</v>
      </c>
      <c r="P266">
        <f t="shared" si="43"/>
        <v>1</v>
      </c>
      <c r="Q266">
        <v>0.91859203599999995</v>
      </c>
      <c r="R266">
        <f t="shared" si="43"/>
        <v>1</v>
      </c>
      <c r="S266">
        <v>0.99993371963500999</v>
      </c>
      <c r="T266">
        <f t="shared" si="44"/>
        <v>1</v>
      </c>
      <c r="U266" s="1">
        <v>0.78243339999999995</v>
      </c>
      <c r="V266">
        <v>1</v>
      </c>
      <c r="X266">
        <v>0</v>
      </c>
    </row>
    <row r="267" spans="1:24">
      <c r="A267" s="1">
        <v>1</v>
      </c>
      <c r="B267" s="1" t="s">
        <v>266</v>
      </c>
      <c r="C267" s="1">
        <v>1</v>
      </c>
      <c r="D267" s="33">
        <v>1</v>
      </c>
      <c r="E267" s="36">
        <v>0</v>
      </c>
      <c r="F267" s="37">
        <v>1</v>
      </c>
      <c r="G267">
        <v>0.949647307</v>
      </c>
      <c r="H267">
        <f t="shared" si="41"/>
        <v>1</v>
      </c>
      <c r="I267">
        <v>0.99998664855956998</v>
      </c>
      <c r="J267">
        <f t="shared" si="42"/>
        <v>1</v>
      </c>
      <c r="K267">
        <v>0.99646228551864602</v>
      </c>
      <c r="L267">
        <f t="shared" si="43"/>
        <v>1</v>
      </c>
      <c r="M267">
        <v>0.95508998599999995</v>
      </c>
      <c r="N267">
        <f t="shared" si="43"/>
        <v>1</v>
      </c>
      <c r="O267">
        <v>0.99853563308715798</v>
      </c>
      <c r="P267">
        <f t="shared" si="43"/>
        <v>1</v>
      </c>
      <c r="Q267">
        <v>0.92034655799999998</v>
      </c>
      <c r="R267">
        <f t="shared" si="43"/>
        <v>1</v>
      </c>
      <c r="S267">
        <v>0.99695825576782204</v>
      </c>
      <c r="T267">
        <f t="shared" si="44"/>
        <v>1</v>
      </c>
      <c r="U267" s="1">
        <v>0.74045444000000005</v>
      </c>
      <c r="V267">
        <v>1</v>
      </c>
      <c r="X267">
        <v>0</v>
      </c>
    </row>
    <row r="268" spans="1:24">
      <c r="A268" s="1">
        <v>1</v>
      </c>
      <c r="B268" s="1" t="s">
        <v>267</v>
      </c>
      <c r="C268" s="1">
        <v>1</v>
      </c>
      <c r="D268" s="33">
        <v>1</v>
      </c>
      <c r="E268" s="36">
        <v>1</v>
      </c>
      <c r="F268" s="37">
        <v>1</v>
      </c>
      <c r="G268">
        <v>8.9899330999999999E-2</v>
      </c>
      <c r="H268">
        <f t="shared" si="41"/>
        <v>0</v>
      </c>
      <c r="I268">
        <v>0.42460808157920799</v>
      </c>
      <c r="J268">
        <f t="shared" si="42"/>
        <v>0</v>
      </c>
      <c r="K268">
        <v>0.13789945840835599</v>
      </c>
      <c r="L268">
        <f t="shared" si="43"/>
        <v>0</v>
      </c>
      <c r="M268">
        <v>6.5814218999999993E-2</v>
      </c>
      <c r="N268">
        <f t="shared" si="43"/>
        <v>0</v>
      </c>
      <c r="O268">
        <v>0.56280887126922596</v>
      </c>
      <c r="P268">
        <f t="shared" si="43"/>
        <v>1</v>
      </c>
      <c r="Q268">
        <v>0.82134205100000002</v>
      </c>
      <c r="R268">
        <f t="shared" si="43"/>
        <v>1</v>
      </c>
      <c r="S268">
        <v>0.66715133190154996</v>
      </c>
      <c r="T268">
        <f t="shared" si="44"/>
        <v>1</v>
      </c>
      <c r="U268" s="1">
        <v>0.34916311999999999</v>
      </c>
      <c r="V268">
        <v>0</v>
      </c>
      <c r="X268">
        <v>0</v>
      </c>
    </row>
    <row r="269" spans="1:24">
      <c r="A269" s="1">
        <v>1</v>
      </c>
      <c r="B269" s="1" t="s">
        <v>268</v>
      </c>
      <c r="C269" s="1">
        <v>1</v>
      </c>
      <c r="D269" s="33">
        <v>1</v>
      </c>
      <c r="E269" s="37">
        <v>1</v>
      </c>
      <c r="F269" s="37">
        <v>1</v>
      </c>
      <c r="G269">
        <v>0.94823563099999997</v>
      </c>
      <c r="H269">
        <f t="shared" si="41"/>
        <v>1</v>
      </c>
      <c r="I269">
        <v>0.99825972318649303</v>
      </c>
      <c r="J269">
        <f t="shared" si="42"/>
        <v>1</v>
      </c>
      <c r="K269">
        <v>0.99496150016784701</v>
      </c>
      <c r="L269">
        <f t="shared" si="43"/>
        <v>1</v>
      </c>
      <c r="M269">
        <v>0.96801990299999996</v>
      </c>
      <c r="N269">
        <f t="shared" si="43"/>
        <v>1</v>
      </c>
      <c r="O269">
        <v>0.964397013187408</v>
      </c>
      <c r="P269">
        <f t="shared" si="43"/>
        <v>1</v>
      </c>
      <c r="Q269">
        <v>0.92700076099999995</v>
      </c>
      <c r="R269">
        <f t="shared" si="43"/>
        <v>1</v>
      </c>
      <c r="S269">
        <v>0.97095143795013406</v>
      </c>
      <c r="T269">
        <f t="shared" si="44"/>
        <v>1</v>
      </c>
      <c r="U269" s="1">
        <v>0.75826510000000003</v>
      </c>
      <c r="V269">
        <v>1</v>
      </c>
      <c r="X269">
        <v>0</v>
      </c>
    </row>
    <row r="270" spans="1:24">
      <c r="A270" s="1">
        <v>1</v>
      </c>
      <c r="B270" s="1" t="s">
        <v>269</v>
      </c>
      <c r="C270" s="1">
        <v>1</v>
      </c>
      <c r="D270" s="33">
        <v>0</v>
      </c>
      <c r="E270" s="37">
        <v>1</v>
      </c>
      <c r="F270" s="37">
        <v>1</v>
      </c>
      <c r="G270">
        <v>0.82708543499999998</v>
      </c>
      <c r="H270">
        <f t="shared" si="41"/>
        <v>1</v>
      </c>
      <c r="I270">
        <v>0.96286070346832298</v>
      </c>
      <c r="J270">
        <f t="shared" si="42"/>
        <v>1</v>
      </c>
      <c r="K270">
        <v>0.99439162015914895</v>
      </c>
      <c r="L270">
        <f t="shared" si="43"/>
        <v>1</v>
      </c>
      <c r="M270">
        <v>0.98945367299999998</v>
      </c>
      <c r="N270">
        <f t="shared" si="43"/>
        <v>1</v>
      </c>
      <c r="O270">
        <v>0.97743749618530296</v>
      </c>
      <c r="P270">
        <f t="shared" si="43"/>
        <v>1</v>
      </c>
      <c r="Q270">
        <v>0.94294303700000004</v>
      </c>
      <c r="R270">
        <f t="shared" si="43"/>
        <v>1</v>
      </c>
      <c r="S270">
        <v>0.99721825122833196</v>
      </c>
      <c r="T270">
        <f t="shared" si="44"/>
        <v>1</v>
      </c>
      <c r="U270" s="1">
        <v>0.78693133999999998</v>
      </c>
      <c r="V270">
        <v>1</v>
      </c>
      <c r="X270">
        <v>0</v>
      </c>
    </row>
    <row r="271" spans="1:24">
      <c r="A271" s="1">
        <v>1</v>
      </c>
      <c r="B271" s="1" t="s">
        <v>270</v>
      </c>
      <c r="C271" s="1">
        <v>1</v>
      </c>
      <c r="D271" s="33">
        <v>1</v>
      </c>
      <c r="E271" s="37">
        <v>1</v>
      </c>
      <c r="F271" s="37">
        <v>1</v>
      </c>
      <c r="G271">
        <v>0.92382252200000003</v>
      </c>
      <c r="H271">
        <f t="shared" si="41"/>
        <v>1</v>
      </c>
      <c r="I271">
        <v>0.99998235702514604</v>
      </c>
      <c r="J271">
        <f t="shared" si="42"/>
        <v>1</v>
      </c>
      <c r="K271">
        <v>0.99108147621154796</v>
      </c>
      <c r="L271">
        <f t="shared" si="43"/>
        <v>1</v>
      </c>
      <c r="M271">
        <v>0.999994516</v>
      </c>
      <c r="N271">
        <f t="shared" si="43"/>
        <v>1</v>
      </c>
      <c r="O271">
        <v>0.99865758419036899</v>
      </c>
      <c r="P271">
        <f t="shared" si="43"/>
        <v>1</v>
      </c>
      <c r="Q271">
        <v>0.89940947299999996</v>
      </c>
      <c r="R271">
        <f t="shared" si="43"/>
        <v>1</v>
      </c>
      <c r="S271">
        <v>0.99606555700302102</v>
      </c>
      <c r="T271">
        <f t="shared" si="44"/>
        <v>1</v>
      </c>
      <c r="U271" s="1">
        <v>0.77917044999999996</v>
      </c>
      <c r="V271">
        <v>1</v>
      </c>
      <c r="X271">
        <v>0</v>
      </c>
    </row>
    <row r="272" spans="1:24">
      <c r="A272" s="1">
        <v>1</v>
      </c>
      <c r="B272" s="1" t="s">
        <v>271</v>
      </c>
      <c r="C272" s="1">
        <v>1</v>
      </c>
      <c r="D272" s="33">
        <v>1</v>
      </c>
      <c r="E272" s="37">
        <v>1</v>
      </c>
      <c r="F272" s="37">
        <v>1</v>
      </c>
      <c r="G272">
        <v>0.923751235</v>
      </c>
      <c r="H272">
        <f t="shared" si="41"/>
        <v>1</v>
      </c>
      <c r="I272">
        <v>0.99996495246887196</v>
      </c>
      <c r="J272">
        <f t="shared" si="42"/>
        <v>1</v>
      </c>
      <c r="K272">
        <v>0.99783933162689198</v>
      </c>
      <c r="L272">
        <f t="shared" si="43"/>
        <v>1</v>
      </c>
      <c r="M272">
        <v>0.99985289600000005</v>
      </c>
      <c r="N272">
        <f t="shared" si="43"/>
        <v>1</v>
      </c>
      <c r="O272">
        <v>0.99839705228805498</v>
      </c>
      <c r="P272">
        <f t="shared" si="43"/>
        <v>1</v>
      </c>
      <c r="Q272">
        <v>0.783022106</v>
      </c>
      <c r="R272">
        <f t="shared" si="43"/>
        <v>1</v>
      </c>
      <c r="S272">
        <v>1</v>
      </c>
      <c r="T272">
        <f t="shared" si="44"/>
        <v>1</v>
      </c>
      <c r="U272" s="1">
        <v>0.79161429999999999</v>
      </c>
      <c r="V272">
        <v>1</v>
      </c>
      <c r="X272">
        <v>0</v>
      </c>
    </row>
    <row r="273" spans="1:24">
      <c r="A273" s="1">
        <v>1</v>
      </c>
      <c r="B273" s="1" t="s">
        <v>272</v>
      </c>
      <c r="C273" s="1">
        <v>1</v>
      </c>
      <c r="D273" s="33">
        <v>0</v>
      </c>
      <c r="E273" s="37">
        <v>1</v>
      </c>
      <c r="F273" s="37">
        <v>1</v>
      </c>
      <c r="G273">
        <v>0.84525424199999999</v>
      </c>
      <c r="H273">
        <f t="shared" si="41"/>
        <v>1</v>
      </c>
      <c r="I273">
        <v>0.99428516626357999</v>
      </c>
      <c r="J273">
        <f t="shared" si="42"/>
        <v>1</v>
      </c>
      <c r="K273">
        <v>0.90779888629913297</v>
      </c>
      <c r="L273">
        <f t="shared" si="43"/>
        <v>1</v>
      </c>
      <c r="M273">
        <v>0.98374152199999998</v>
      </c>
      <c r="N273">
        <f t="shared" si="43"/>
        <v>1</v>
      </c>
      <c r="O273">
        <v>0.99478203058242798</v>
      </c>
      <c r="P273">
        <f t="shared" si="43"/>
        <v>1</v>
      </c>
      <c r="Q273">
        <v>0.758611798</v>
      </c>
      <c r="R273">
        <f t="shared" si="43"/>
        <v>1</v>
      </c>
      <c r="S273">
        <v>0.85837996006011996</v>
      </c>
      <c r="T273">
        <f t="shared" si="44"/>
        <v>1</v>
      </c>
      <c r="U273" s="1">
        <v>0.73468129999999998</v>
      </c>
      <c r="V273">
        <v>1</v>
      </c>
      <c r="X273">
        <v>0</v>
      </c>
    </row>
    <row r="274" spans="1:24">
      <c r="A274" s="1">
        <v>1</v>
      </c>
      <c r="B274" s="1" t="s">
        <v>273</v>
      </c>
      <c r="C274" s="1">
        <v>1</v>
      </c>
      <c r="D274" s="33">
        <v>1</v>
      </c>
      <c r="E274" s="37">
        <v>1</v>
      </c>
      <c r="F274" s="37">
        <v>1</v>
      </c>
      <c r="G274">
        <v>0.95664680000000002</v>
      </c>
      <c r="H274">
        <f t="shared" si="41"/>
        <v>1</v>
      </c>
      <c r="I274">
        <v>1</v>
      </c>
      <c r="J274">
        <f t="shared" si="42"/>
        <v>1</v>
      </c>
      <c r="K274">
        <v>0.99996650218963601</v>
      </c>
      <c r="L274">
        <f t="shared" si="43"/>
        <v>1</v>
      </c>
      <c r="M274">
        <v>0.99999988100000003</v>
      </c>
      <c r="N274">
        <f t="shared" si="43"/>
        <v>1</v>
      </c>
      <c r="O274">
        <v>0.99996185302734397</v>
      </c>
      <c r="P274">
        <f t="shared" si="43"/>
        <v>1</v>
      </c>
      <c r="Q274">
        <v>0.97184902399999995</v>
      </c>
      <c r="R274">
        <f t="shared" si="43"/>
        <v>1</v>
      </c>
      <c r="S274">
        <v>0.99999988079071001</v>
      </c>
      <c r="T274">
        <f t="shared" si="44"/>
        <v>1</v>
      </c>
      <c r="U274" s="1">
        <v>0.79990256000000004</v>
      </c>
      <c r="V274">
        <v>1</v>
      </c>
      <c r="X274">
        <v>0</v>
      </c>
    </row>
    <row r="275" spans="1:24">
      <c r="A275" s="1">
        <v>1</v>
      </c>
      <c r="B275" s="1" t="s">
        <v>274</v>
      </c>
      <c r="C275" s="1">
        <v>1</v>
      </c>
      <c r="D275" s="33">
        <v>1</v>
      </c>
      <c r="E275" s="37">
        <v>1</v>
      </c>
      <c r="F275" s="37">
        <v>1</v>
      </c>
      <c r="G275">
        <v>0.92862308000000005</v>
      </c>
      <c r="H275">
        <f t="shared" si="41"/>
        <v>1</v>
      </c>
      <c r="I275">
        <v>0.99990487098693803</v>
      </c>
      <c r="J275">
        <f t="shared" si="42"/>
        <v>1</v>
      </c>
      <c r="K275">
        <v>0.99130767583847001</v>
      </c>
      <c r="L275">
        <f t="shared" si="43"/>
        <v>1</v>
      </c>
      <c r="M275">
        <v>0.99992549399999997</v>
      </c>
      <c r="N275">
        <f t="shared" si="43"/>
        <v>1</v>
      </c>
      <c r="O275">
        <v>0.99874842166900601</v>
      </c>
      <c r="P275">
        <f t="shared" si="43"/>
        <v>1</v>
      </c>
      <c r="Q275">
        <v>0.97596269800000002</v>
      </c>
      <c r="R275">
        <f t="shared" si="43"/>
        <v>1</v>
      </c>
      <c r="S275">
        <v>0.99881196022033703</v>
      </c>
      <c r="T275">
        <f t="shared" si="44"/>
        <v>1</v>
      </c>
      <c r="U275" s="1">
        <v>0.75860139999999998</v>
      </c>
      <c r="V275">
        <v>1</v>
      </c>
      <c r="X275">
        <v>0</v>
      </c>
    </row>
    <row r="276" spans="1:24">
      <c r="A276" s="1">
        <v>1</v>
      </c>
      <c r="B276" s="7" t="s">
        <v>275</v>
      </c>
      <c r="C276" s="1">
        <v>1</v>
      </c>
      <c r="D276" s="33">
        <v>1</v>
      </c>
      <c r="E276" s="36">
        <v>0</v>
      </c>
      <c r="F276" s="37">
        <v>1</v>
      </c>
      <c r="G276">
        <v>0.250777364</v>
      </c>
      <c r="H276">
        <f t="shared" si="41"/>
        <v>0</v>
      </c>
      <c r="I276">
        <v>0.69782549142837502</v>
      </c>
      <c r="J276">
        <f t="shared" si="42"/>
        <v>1</v>
      </c>
      <c r="K276">
        <v>0.898351609706879</v>
      </c>
      <c r="L276">
        <f t="shared" si="43"/>
        <v>1</v>
      </c>
      <c r="M276">
        <v>0.66087907599999995</v>
      </c>
      <c r="N276">
        <f t="shared" si="43"/>
        <v>1</v>
      </c>
      <c r="O276">
        <v>0.56996792554855302</v>
      </c>
      <c r="P276">
        <f t="shared" si="43"/>
        <v>1</v>
      </c>
      <c r="Q276">
        <v>0.14455090500000001</v>
      </c>
      <c r="R276">
        <f t="shared" si="43"/>
        <v>0</v>
      </c>
      <c r="S276">
        <v>5.7726667728299997E-4</v>
      </c>
      <c r="T276">
        <f t="shared" si="44"/>
        <v>0</v>
      </c>
      <c r="U276" s="7">
        <v>0.23184273999999999</v>
      </c>
      <c r="V276">
        <v>0</v>
      </c>
      <c r="X276">
        <v>1</v>
      </c>
    </row>
    <row r="277" spans="1:24">
      <c r="A277" s="1">
        <v>1</v>
      </c>
      <c r="B277" s="1" t="s">
        <v>276</v>
      </c>
      <c r="C277" s="1">
        <v>1</v>
      </c>
      <c r="D277" s="33">
        <v>1</v>
      </c>
      <c r="E277" s="37">
        <v>1</v>
      </c>
      <c r="F277" s="37">
        <v>1</v>
      </c>
      <c r="G277">
        <v>0.97080439299999999</v>
      </c>
      <c r="H277">
        <f t="shared" si="41"/>
        <v>1</v>
      </c>
      <c r="I277">
        <v>0.99990713596344005</v>
      </c>
      <c r="J277">
        <f t="shared" si="42"/>
        <v>1</v>
      </c>
      <c r="K277">
        <v>0.99682956933975198</v>
      </c>
      <c r="L277">
        <f t="shared" si="43"/>
        <v>1</v>
      </c>
      <c r="M277">
        <v>0.966047883</v>
      </c>
      <c r="N277">
        <f t="shared" si="43"/>
        <v>1</v>
      </c>
      <c r="O277">
        <v>0.99699413776397705</v>
      </c>
      <c r="P277">
        <f t="shared" si="43"/>
        <v>1</v>
      </c>
      <c r="Q277">
        <v>0.86577504900000002</v>
      </c>
      <c r="R277">
        <f t="shared" si="43"/>
        <v>1</v>
      </c>
      <c r="S277">
        <v>0.99100911617278997</v>
      </c>
      <c r="T277">
        <f t="shared" si="44"/>
        <v>1</v>
      </c>
      <c r="U277" s="1">
        <v>0.79376460000000004</v>
      </c>
      <c r="V277">
        <v>1</v>
      </c>
      <c r="X277">
        <v>0</v>
      </c>
    </row>
    <row r="278" spans="1:24">
      <c r="A278" s="1">
        <v>1</v>
      </c>
      <c r="B278" s="1" t="s">
        <v>277</v>
      </c>
      <c r="C278" s="1">
        <v>1</v>
      </c>
      <c r="D278" s="33">
        <v>0</v>
      </c>
      <c r="E278" s="37">
        <v>1</v>
      </c>
      <c r="F278" s="37">
        <v>1</v>
      </c>
      <c r="G278">
        <v>0.93808913199999999</v>
      </c>
      <c r="H278">
        <f t="shared" si="41"/>
        <v>1</v>
      </c>
      <c r="I278">
        <v>0.99030590057373002</v>
      </c>
      <c r="J278">
        <f t="shared" si="42"/>
        <v>1</v>
      </c>
      <c r="K278">
        <v>0.98642551898956299</v>
      </c>
      <c r="L278">
        <f t="shared" si="43"/>
        <v>1</v>
      </c>
      <c r="M278">
        <v>0.86016893400000005</v>
      </c>
      <c r="N278">
        <f t="shared" si="43"/>
        <v>1</v>
      </c>
      <c r="O278">
        <v>0.91745865345001198</v>
      </c>
      <c r="P278">
        <f t="shared" si="43"/>
        <v>1</v>
      </c>
      <c r="Q278">
        <v>0.64369404299999999</v>
      </c>
      <c r="R278">
        <f t="shared" si="43"/>
        <v>1</v>
      </c>
      <c r="S278">
        <v>0.99250012636184703</v>
      </c>
      <c r="T278">
        <f t="shared" si="44"/>
        <v>1</v>
      </c>
      <c r="U278" s="1">
        <v>0.80035080000000003</v>
      </c>
      <c r="V278">
        <v>1</v>
      </c>
      <c r="X278">
        <v>0</v>
      </c>
    </row>
    <row r="279" spans="1:24">
      <c r="A279" s="1">
        <v>1</v>
      </c>
      <c r="B279" s="1" t="s">
        <v>278</v>
      </c>
      <c r="C279" s="1">
        <v>1</v>
      </c>
      <c r="D279" s="33">
        <v>1</v>
      </c>
      <c r="E279" s="37">
        <v>1</v>
      </c>
      <c r="F279" s="37">
        <v>1</v>
      </c>
      <c r="G279">
        <v>0.95638132099999995</v>
      </c>
      <c r="H279">
        <f t="shared" si="41"/>
        <v>1</v>
      </c>
      <c r="I279">
        <v>0.99981003999710105</v>
      </c>
      <c r="J279">
        <f t="shared" si="42"/>
        <v>1</v>
      </c>
      <c r="K279">
        <v>0.99892210960388195</v>
      </c>
      <c r="L279">
        <f t="shared" si="43"/>
        <v>1</v>
      </c>
      <c r="M279">
        <v>0.99675875899999999</v>
      </c>
      <c r="N279">
        <f t="shared" si="43"/>
        <v>1</v>
      </c>
      <c r="O279">
        <v>0.99969959259033203</v>
      </c>
      <c r="P279">
        <f t="shared" si="43"/>
        <v>1</v>
      </c>
      <c r="Q279">
        <v>0.85282844300000005</v>
      </c>
      <c r="R279">
        <f t="shared" ref="R279:R291" si="45">IF(Q279&gt;$A$2,1,0)</f>
        <v>1</v>
      </c>
      <c r="S279">
        <v>0.99989080429077204</v>
      </c>
      <c r="T279">
        <f>IF(S279&gt;$A$2,1,0)</f>
        <v>1</v>
      </c>
      <c r="U279" s="1">
        <v>0.79188009999999998</v>
      </c>
      <c r="V279">
        <v>1</v>
      </c>
      <c r="X279">
        <v>0</v>
      </c>
    </row>
    <row r="280" spans="1:24">
      <c r="A280" s="1">
        <v>1</v>
      </c>
      <c r="B280" s="7" t="s">
        <v>279</v>
      </c>
      <c r="C280" s="1">
        <v>1</v>
      </c>
      <c r="D280" s="33">
        <v>1</v>
      </c>
      <c r="E280" s="37">
        <v>1</v>
      </c>
      <c r="F280" s="37">
        <v>1</v>
      </c>
      <c r="G280">
        <v>0.865824759</v>
      </c>
      <c r="H280">
        <f t="shared" ref="H280:H343" si="46">IF(G280&gt;$A$2,1,0)</f>
        <v>1</v>
      </c>
      <c r="I280">
        <v>0.99894529581069902</v>
      </c>
      <c r="J280">
        <f t="shared" ref="J280:J343" si="47">IF(I280&gt;$A$2,1,0)</f>
        <v>1</v>
      </c>
      <c r="K280">
        <v>0.99947935342788696</v>
      </c>
      <c r="L280">
        <f t="shared" ref="L280:L291" si="48">IF(K280&gt;$A$2,1,0)</f>
        <v>1</v>
      </c>
      <c r="M280">
        <v>0.99340951399999999</v>
      </c>
      <c r="N280">
        <f t="shared" ref="N280:N291" si="49">IF(M280&gt;$A$2,1,0)</f>
        <v>1</v>
      </c>
      <c r="O280">
        <v>0.96091121435165405</v>
      </c>
      <c r="P280">
        <f t="shared" ref="P280:P291" si="50">IF(O280&gt;$A$2,1,0)</f>
        <v>1</v>
      </c>
      <c r="Q280">
        <v>0.86792975699999997</v>
      </c>
      <c r="R280">
        <f t="shared" si="45"/>
        <v>1</v>
      </c>
      <c r="S280">
        <v>0.981911361217499</v>
      </c>
      <c r="T280">
        <f>IF(S280&gt;$A$2,1,0)</f>
        <v>1</v>
      </c>
      <c r="U280" s="7">
        <v>0.78841030000000001</v>
      </c>
      <c r="V280">
        <v>1</v>
      </c>
      <c r="X280">
        <v>1</v>
      </c>
    </row>
    <row r="281" spans="1:24">
      <c r="A281" s="1">
        <v>1</v>
      </c>
      <c r="B281" s="1" t="s">
        <v>280</v>
      </c>
      <c r="C281" s="1">
        <v>1</v>
      </c>
      <c r="D281" s="33">
        <v>1</v>
      </c>
      <c r="E281" s="37">
        <v>1</v>
      </c>
      <c r="F281" s="37">
        <v>1</v>
      </c>
      <c r="G281">
        <v>0.57556396700000001</v>
      </c>
      <c r="H281">
        <f t="shared" si="46"/>
        <v>1</v>
      </c>
      <c r="I281">
        <v>0.79003852605819702</v>
      </c>
      <c r="J281">
        <f t="shared" si="47"/>
        <v>1</v>
      </c>
      <c r="K281">
        <v>0.847131848335266</v>
      </c>
      <c r="L281">
        <f t="shared" si="48"/>
        <v>1</v>
      </c>
      <c r="M281">
        <v>0.31608092799999998</v>
      </c>
      <c r="N281">
        <f t="shared" si="49"/>
        <v>0</v>
      </c>
      <c r="O281">
        <v>0.74493533372878995</v>
      </c>
      <c r="P281">
        <f t="shared" si="50"/>
        <v>1</v>
      </c>
      <c r="Q281">
        <v>0.53745078999999996</v>
      </c>
      <c r="R281">
        <f t="shared" si="45"/>
        <v>1</v>
      </c>
      <c r="S281">
        <v>0.60544347763061501</v>
      </c>
      <c r="T281">
        <f>IF(S281&gt;$A$2,1,0)</f>
        <v>1</v>
      </c>
      <c r="U281" s="1">
        <v>0.67395689999999997</v>
      </c>
      <c r="V281">
        <v>1</v>
      </c>
      <c r="X281">
        <v>0</v>
      </c>
    </row>
    <row r="282" spans="1:24">
      <c r="A282" s="1">
        <v>1</v>
      </c>
      <c r="B282" s="1" t="s">
        <v>281</v>
      </c>
      <c r="C282" s="1">
        <v>1</v>
      </c>
      <c r="D282" s="33">
        <v>1</v>
      </c>
      <c r="E282" s="37">
        <v>1</v>
      </c>
      <c r="F282" s="37">
        <v>1</v>
      </c>
      <c r="G282">
        <v>0.246199742</v>
      </c>
      <c r="H282">
        <f t="shared" si="46"/>
        <v>0</v>
      </c>
      <c r="I282">
        <v>0.42921820282936102</v>
      </c>
      <c r="J282">
        <f t="shared" si="47"/>
        <v>0</v>
      </c>
      <c r="K282">
        <v>0.87073761224746704</v>
      </c>
      <c r="L282">
        <f t="shared" si="48"/>
        <v>1</v>
      </c>
      <c r="M282">
        <v>0.194514781</v>
      </c>
      <c r="N282">
        <f t="shared" si="49"/>
        <v>0</v>
      </c>
      <c r="O282">
        <v>0.88723236322402899</v>
      </c>
      <c r="P282">
        <f t="shared" si="50"/>
        <v>1</v>
      </c>
      <c r="Q282">
        <v>0.81885421300000005</v>
      </c>
      <c r="R282">
        <f t="shared" si="45"/>
        <v>1</v>
      </c>
      <c r="S282">
        <v>0.60616433620452903</v>
      </c>
      <c r="T282">
        <f t="shared" ref="T282:T343" si="51">IF(S282&gt;$A$2,1,0)</f>
        <v>1</v>
      </c>
      <c r="U282" s="1">
        <v>0.52562160000000002</v>
      </c>
      <c r="V282">
        <v>0</v>
      </c>
      <c r="X282">
        <v>0</v>
      </c>
    </row>
    <row r="283" spans="1:24">
      <c r="A283" s="1">
        <v>1</v>
      </c>
      <c r="B283" s="1" t="s">
        <v>282</v>
      </c>
      <c r="C283" s="1">
        <v>1</v>
      </c>
      <c r="D283" s="33">
        <v>1</v>
      </c>
      <c r="E283" s="37">
        <v>1</v>
      </c>
      <c r="F283" s="37">
        <v>1</v>
      </c>
      <c r="G283">
        <v>0.69199580000000005</v>
      </c>
      <c r="H283">
        <f t="shared" si="46"/>
        <v>1</v>
      </c>
      <c r="I283">
        <v>0.54008936882018999</v>
      </c>
      <c r="J283">
        <f t="shared" si="47"/>
        <v>1</v>
      </c>
      <c r="K283">
        <v>0.64916181564330999</v>
      </c>
      <c r="L283">
        <f t="shared" si="48"/>
        <v>1</v>
      </c>
      <c r="M283">
        <v>0.48421531899999998</v>
      </c>
      <c r="N283">
        <f t="shared" si="49"/>
        <v>0</v>
      </c>
      <c r="O283">
        <v>0.71970677375793501</v>
      </c>
      <c r="P283">
        <f t="shared" si="50"/>
        <v>1</v>
      </c>
      <c r="Q283">
        <v>0.423034996</v>
      </c>
      <c r="R283">
        <f t="shared" si="45"/>
        <v>0</v>
      </c>
      <c r="S283">
        <v>9.6211858093739E-2</v>
      </c>
      <c r="T283">
        <f t="shared" si="51"/>
        <v>0</v>
      </c>
      <c r="U283" s="1">
        <v>0.73578613999999998</v>
      </c>
      <c r="V283">
        <v>1</v>
      </c>
      <c r="X283">
        <v>0</v>
      </c>
    </row>
    <row r="284" spans="1:24">
      <c r="A284" s="1">
        <v>1</v>
      </c>
      <c r="B284" s="1" t="s">
        <v>283</v>
      </c>
      <c r="C284" s="1">
        <v>1</v>
      </c>
      <c r="D284" s="33">
        <v>1</v>
      </c>
      <c r="E284" s="37">
        <v>1</v>
      </c>
      <c r="F284" s="37">
        <v>1</v>
      </c>
      <c r="G284">
        <v>0.74886155099999996</v>
      </c>
      <c r="H284">
        <f t="shared" si="46"/>
        <v>1</v>
      </c>
      <c r="I284">
        <v>0.99914395809173595</v>
      </c>
      <c r="J284">
        <f t="shared" si="47"/>
        <v>1</v>
      </c>
      <c r="K284">
        <v>0.97118109464645397</v>
      </c>
      <c r="L284">
        <f t="shared" si="48"/>
        <v>1</v>
      </c>
      <c r="M284">
        <v>0.83272248500000001</v>
      </c>
      <c r="N284">
        <f t="shared" si="49"/>
        <v>1</v>
      </c>
      <c r="O284">
        <v>0.98622989654541005</v>
      </c>
      <c r="P284">
        <f t="shared" si="50"/>
        <v>1</v>
      </c>
      <c r="Q284">
        <v>0.87439554900000005</v>
      </c>
      <c r="R284">
        <f t="shared" si="45"/>
        <v>1</v>
      </c>
      <c r="S284">
        <v>0.45512166619300798</v>
      </c>
      <c r="T284">
        <f t="shared" si="51"/>
        <v>0</v>
      </c>
      <c r="U284" s="1">
        <v>0.75815290000000002</v>
      </c>
      <c r="V284">
        <v>1</v>
      </c>
      <c r="X284">
        <v>0</v>
      </c>
    </row>
    <row r="285" spans="1:24">
      <c r="A285" s="1">
        <v>1</v>
      </c>
      <c r="B285" s="1" t="s">
        <v>284</v>
      </c>
      <c r="C285" s="1">
        <v>1</v>
      </c>
      <c r="D285" s="33">
        <v>1</v>
      </c>
      <c r="E285" s="37">
        <v>1</v>
      </c>
      <c r="F285" s="37">
        <v>1</v>
      </c>
      <c r="G285">
        <v>0.90156143899999996</v>
      </c>
      <c r="H285">
        <f t="shared" si="46"/>
        <v>1</v>
      </c>
      <c r="I285">
        <v>0.99958437681198098</v>
      </c>
      <c r="J285">
        <f t="shared" si="47"/>
        <v>1</v>
      </c>
      <c r="K285">
        <v>0.99873799085617099</v>
      </c>
      <c r="L285">
        <f t="shared" si="48"/>
        <v>1</v>
      </c>
      <c r="M285">
        <v>0.737058043</v>
      </c>
      <c r="N285">
        <f t="shared" si="49"/>
        <v>1</v>
      </c>
      <c r="O285">
        <v>0.99901914596557595</v>
      </c>
      <c r="P285">
        <f t="shared" si="50"/>
        <v>1</v>
      </c>
      <c r="Q285">
        <v>0.75279253700000004</v>
      </c>
      <c r="R285">
        <f t="shared" si="45"/>
        <v>1</v>
      </c>
      <c r="S285">
        <v>0.99998223781585704</v>
      </c>
      <c r="T285">
        <f t="shared" si="51"/>
        <v>1</v>
      </c>
      <c r="U285" s="1">
        <v>0.78925869999999998</v>
      </c>
      <c r="V285">
        <v>1</v>
      </c>
      <c r="X285">
        <v>0</v>
      </c>
    </row>
    <row r="286" spans="1:24">
      <c r="A286" s="1">
        <v>1</v>
      </c>
      <c r="B286" s="1" t="s">
        <v>285</v>
      </c>
      <c r="C286" s="1">
        <v>1</v>
      </c>
      <c r="D286" s="33">
        <v>1</v>
      </c>
      <c r="E286" s="37">
        <v>1</v>
      </c>
      <c r="F286" s="37">
        <v>1</v>
      </c>
      <c r="G286">
        <v>0.89129298899999998</v>
      </c>
      <c r="H286">
        <f t="shared" si="46"/>
        <v>1</v>
      </c>
      <c r="I286">
        <v>0.99941611289978005</v>
      </c>
      <c r="J286">
        <f t="shared" si="47"/>
        <v>1</v>
      </c>
      <c r="K286">
        <v>0.99916350841522195</v>
      </c>
      <c r="L286">
        <f t="shared" si="48"/>
        <v>1</v>
      </c>
      <c r="M286">
        <v>0.98090326800000005</v>
      </c>
      <c r="N286">
        <f t="shared" si="49"/>
        <v>1</v>
      </c>
      <c r="O286">
        <v>0.99848312139511097</v>
      </c>
      <c r="P286">
        <f t="shared" si="50"/>
        <v>1</v>
      </c>
      <c r="Q286">
        <v>0.89687889799999998</v>
      </c>
      <c r="R286">
        <f t="shared" si="45"/>
        <v>1</v>
      </c>
      <c r="S286">
        <v>0.99640512466430597</v>
      </c>
      <c r="T286">
        <f t="shared" si="51"/>
        <v>1</v>
      </c>
      <c r="U286" s="1">
        <v>0.80644179999999999</v>
      </c>
      <c r="V286">
        <v>1</v>
      </c>
      <c r="X286">
        <v>0</v>
      </c>
    </row>
    <row r="287" spans="1:24">
      <c r="A287" s="1">
        <v>1</v>
      </c>
      <c r="B287" s="7" t="s">
        <v>286</v>
      </c>
      <c r="C287" s="1">
        <v>1</v>
      </c>
      <c r="D287" s="33">
        <v>1</v>
      </c>
      <c r="E287" s="37">
        <v>1</v>
      </c>
      <c r="F287" s="37">
        <v>1</v>
      </c>
      <c r="G287">
        <v>0.70317512800000004</v>
      </c>
      <c r="H287">
        <f t="shared" si="46"/>
        <v>1</v>
      </c>
      <c r="I287">
        <v>0.98494833707809404</v>
      </c>
      <c r="J287">
        <f t="shared" si="47"/>
        <v>1</v>
      </c>
      <c r="K287">
        <v>0.94440346956252996</v>
      </c>
      <c r="L287">
        <f t="shared" si="48"/>
        <v>1</v>
      </c>
      <c r="M287" s="30">
        <v>0.96058762099999995</v>
      </c>
      <c r="N287">
        <f t="shared" si="49"/>
        <v>1</v>
      </c>
      <c r="O287">
        <v>0.745269775390625</v>
      </c>
      <c r="P287">
        <f t="shared" si="50"/>
        <v>1</v>
      </c>
      <c r="Q287">
        <v>0.86289215100000005</v>
      </c>
      <c r="R287">
        <f t="shared" si="45"/>
        <v>1</v>
      </c>
      <c r="S287">
        <v>0.90447562932968095</v>
      </c>
      <c r="T287">
        <f t="shared" si="51"/>
        <v>1</v>
      </c>
      <c r="U287" s="7">
        <v>0.76220304000000005</v>
      </c>
      <c r="V287">
        <v>1</v>
      </c>
      <c r="X287">
        <v>1</v>
      </c>
    </row>
    <row r="288" spans="1:24">
      <c r="A288" s="1">
        <v>1</v>
      </c>
      <c r="B288" s="5" t="s">
        <v>287</v>
      </c>
      <c r="C288" s="1">
        <v>1</v>
      </c>
      <c r="D288" s="33">
        <v>1</v>
      </c>
      <c r="E288" s="37">
        <v>1</v>
      </c>
      <c r="F288" s="37">
        <v>1</v>
      </c>
      <c r="G288">
        <v>0.951081336</v>
      </c>
      <c r="H288">
        <f t="shared" si="46"/>
        <v>1</v>
      </c>
      <c r="I288">
        <v>0.99999868869781505</v>
      </c>
      <c r="J288">
        <f t="shared" si="47"/>
        <v>1</v>
      </c>
      <c r="K288">
        <v>0.99968457221984897</v>
      </c>
      <c r="L288">
        <f t="shared" si="48"/>
        <v>1</v>
      </c>
      <c r="M288">
        <v>0.99758100500000002</v>
      </c>
      <c r="N288">
        <f t="shared" si="49"/>
        <v>1</v>
      </c>
      <c r="O288">
        <v>0.99997389316558805</v>
      </c>
      <c r="P288">
        <f t="shared" si="50"/>
        <v>1</v>
      </c>
      <c r="Q288">
        <v>0.86988985500000005</v>
      </c>
      <c r="R288">
        <f t="shared" si="45"/>
        <v>1</v>
      </c>
      <c r="S288">
        <v>0.999947309494019</v>
      </c>
      <c r="T288">
        <f t="shared" si="51"/>
        <v>1</v>
      </c>
      <c r="U288" s="5">
        <v>0.75681209999999999</v>
      </c>
      <c r="V288">
        <v>1</v>
      </c>
      <c r="X288">
        <v>0</v>
      </c>
    </row>
    <row r="289" spans="1:24">
      <c r="A289" s="1">
        <v>1</v>
      </c>
      <c r="B289" s="1" t="s">
        <v>288</v>
      </c>
      <c r="C289" s="1">
        <v>1</v>
      </c>
      <c r="D289" s="33">
        <v>0</v>
      </c>
      <c r="E289" s="36">
        <v>0</v>
      </c>
      <c r="F289" s="37">
        <v>1</v>
      </c>
      <c r="G289">
        <v>0.74124038199999998</v>
      </c>
      <c r="H289">
        <f t="shared" si="46"/>
        <v>1</v>
      </c>
      <c r="I289">
        <v>0.99672532081604004</v>
      </c>
      <c r="J289">
        <f t="shared" si="47"/>
        <v>1</v>
      </c>
      <c r="K289">
        <v>0.93244582414627097</v>
      </c>
      <c r="L289">
        <f t="shared" si="48"/>
        <v>1</v>
      </c>
      <c r="M289">
        <v>0.92881864300000005</v>
      </c>
      <c r="N289">
        <f t="shared" si="49"/>
        <v>1</v>
      </c>
      <c r="O289">
        <v>0.97838973999023404</v>
      </c>
      <c r="P289">
        <f t="shared" si="50"/>
        <v>1</v>
      </c>
      <c r="Q289">
        <v>0.70390349600000002</v>
      </c>
      <c r="R289">
        <f t="shared" si="45"/>
        <v>1</v>
      </c>
      <c r="S289">
        <v>0.99423319101333596</v>
      </c>
      <c r="T289">
        <f t="shared" si="51"/>
        <v>1</v>
      </c>
      <c r="U289" s="1">
        <v>0.78068309999999996</v>
      </c>
      <c r="V289">
        <v>1</v>
      </c>
      <c r="X289">
        <v>0</v>
      </c>
    </row>
    <row r="290" spans="1:24">
      <c r="A290" s="1">
        <v>1</v>
      </c>
      <c r="B290" s="1" t="s">
        <v>289</v>
      </c>
      <c r="C290" s="1">
        <v>1</v>
      </c>
      <c r="D290" s="33">
        <v>1</v>
      </c>
      <c r="E290" s="37">
        <v>1</v>
      </c>
      <c r="F290" s="37">
        <v>1</v>
      </c>
      <c r="G290">
        <v>0.97913205599999997</v>
      </c>
      <c r="H290">
        <f t="shared" si="46"/>
        <v>1</v>
      </c>
      <c r="I290">
        <v>0.99998164176940896</v>
      </c>
      <c r="J290">
        <f t="shared" si="47"/>
        <v>1</v>
      </c>
      <c r="K290">
        <v>0.99751520156860396</v>
      </c>
      <c r="L290">
        <f t="shared" si="48"/>
        <v>1</v>
      </c>
      <c r="M290">
        <v>0.99937361499999999</v>
      </c>
      <c r="N290">
        <f t="shared" si="49"/>
        <v>1</v>
      </c>
      <c r="O290">
        <v>0.99881589412689198</v>
      </c>
      <c r="P290">
        <f t="shared" si="50"/>
        <v>1</v>
      </c>
      <c r="Q290">
        <v>0.87680989499999995</v>
      </c>
      <c r="R290">
        <f t="shared" si="45"/>
        <v>1</v>
      </c>
      <c r="S290">
        <v>0.99997580051422097</v>
      </c>
      <c r="T290">
        <f t="shared" si="51"/>
        <v>1</v>
      </c>
      <c r="U290" s="1">
        <v>0.79557323000000002</v>
      </c>
      <c r="V290">
        <v>1</v>
      </c>
      <c r="X290">
        <v>0</v>
      </c>
    </row>
    <row r="291" spans="1:24">
      <c r="A291" s="1">
        <v>1</v>
      </c>
      <c r="B291" s="1" t="s">
        <v>290</v>
      </c>
      <c r="C291" s="1">
        <v>1</v>
      </c>
      <c r="D291" s="33">
        <v>1</v>
      </c>
      <c r="E291" s="37">
        <v>1</v>
      </c>
      <c r="F291" s="37">
        <v>1</v>
      </c>
      <c r="G291">
        <v>0.74775183199999995</v>
      </c>
      <c r="H291">
        <f t="shared" si="46"/>
        <v>1</v>
      </c>
      <c r="I291">
        <v>0.999445021152496</v>
      </c>
      <c r="J291">
        <f t="shared" si="47"/>
        <v>1</v>
      </c>
      <c r="K291">
        <v>0.99655377864837602</v>
      </c>
      <c r="L291">
        <f t="shared" si="48"/>
        <v>1</v>
      </c>
      <c r="M291">
        <v>0.957045496</v>
      </c>
      <c r="N291">
        <f t="shared" si="49"/>
        <v>1</v>
      </c>
      <c r="O291">
        <v>0.99337053298950195</v>
      </c>
      <c r="P291">
        <f t="shared" si="50"/>
        <v>1</v>
      </c>
      <c r="Q291">
        <v>0.61915546700000001</v>
      </c>
      <c r="R291">
        <f t="shared" si="45"/>
        <v>1</v>
      </c>
      <c r="S291">
        <v>0.60825812816619895</v>
      </c>
      <c r="T291">
        <f t="shared" si="51"/>
        <v>1</v>
      </c>
      <c r="U291" s="1">
        <v>0.78602004000000003</v>
      </c>
      <c r="V291">
        <v>1</v>
      </c>
      <c r="X291">
        <v>0</v>
      </c>
    </row>
    <row r="292" spans="1:24">
      <c r="A292" s="1" t="s">
        <v>291</v>
      </c>
      <c r="B292" s="1"/>
      <c r="C292" s="1"/>
      <c r="D292" s="33"/>
      <c r="E292" s="38"/>
      <c r="F292" s="38"/>
      <c r="M292" s="30"/>
      <c r="X292">
        <v>2</v>
      </c>
    </row>
    <row r="293" spans="1:24">
      <c r="A293" s="1">
        <v>0</v>
      </c>
      <c r="B293" s="1" t="s">
        <v>292</v>
      </c>
      <c r="C293" s="1">
        <v>0</v>
      </c>
      <c r="D293" s="33">
        <v>0</v>
      </c>
      <c r="E293" s="36">
        <v>0</v>
      </c>
      <c r="F293" s="37">
        <v>1</v>
      </c>
      <c r="G293">
        <v>0.16982708899999999</v>
      </c>
      <c r="H293">
        <f t="shared" si="46"/>
        <v>0</v>
      </c>
      <c r="I293" s="30">
        <v>1.836811890826E-3</v>
      </c>
      <c r="J293">
        <f t="shared" si="47"/>
        <v>0</v>
      </c>
      <c r="K293">
        <v>0.109624423086643</v>
      </c>
      <c r="L293">
        <f t="shared" ref="L293:L324" si="52">IF(K293&gt;$A$2,1,0)</f>
        <v>0</v>
      </c>
      <c r="M293">
        <v>3.5562429999999999E-2</v>
      </c>
      <c r="N293">
        <f t="shared" ref="N293:N324" si="53">IF(M293&gt;$A$2,1,0)</f>
        <v>0</v>
      </c>
      <c r="O293">
        <v>8.6268357932567999E-2</v>
      </c>
      <c r="P293">
        <f t="shared" ref="P293:P324" si="54">IF(O293&gt;$A$2,1,0)</f>
        <v>0</v>
      </c>
      <c r="Q293">
        <v>0.57422268399999998</v>
      </c>
      <c r="R293">
        <f t="shared" ref="R293:R324" si="55">IF(Q293&gt;$A$2,1,0)</f>
        <v>1</v>
      </c>
      <c r="S293">
        <v>6.1084551271100001E-4</v>
      </c>
      <c r="T293">
        <f t="shared" si="51"/>
        <v>0</v>
      </c>
      <c r="U293" s="1">
        <v>0.42220095000000002</v>
      </c>
      <c r="V293">
        <v>0</v>
      </c>
      <c r="X293">
        <v>0</v>
      </c>
    </row>
    <row r="294" spans="1:24">
      <c r="A294" s="1">
        <v>0</v>
      </c>
      <c r="B294" s="1" t="s">
        <v>293</v>
      </c>
      <c r="C294" s="1">
        <v>0</v>
      </c>
      <c r="D294" s="33">
        <v>0</v>
      </c>
      <c r="E294" s="36">
        <v>0</v>
      </c>
      <c r="F294" s="37">
        <v>0</v>
      </c>
      <c r="G294" s="30">
        <v>1.1388977E-2</v>
      </c>
      <c r="H294">
        <f t="shared" si="46"/>
        <v>0</v>
      </c>
      <c r="I294">
        <v>8.0932589480700004E-4</v>
      </c>
      <c r="J294">
        <f t="shared" si="47"/>
        <v>0</v>
      </c>
      <c r="K294">
        <v>3.3171661198100002E-4</v>
      </c>
      <c r="L294">
        <f t="shared" si="52"/>
        <v>0</v>
      </c>
      <c r="M294">
        <v>5.5696900000000004E-4</v>
      </c>
      <c r="N294">
        <f t="shared" si="53"/>
        <v>0</v>
      </c>
      <c r="O294">
        <v>1.457382924855E-3</v>
      </c>
      <c r="P294">
        <f t="shared" si="54"/>
        <v>0</v>
      </c>
      <c r="Q294" s="30">
        <v>5.5417776000000002E-2</v>
      </c>
      <c r="R294">
        <f t="shared" si="55"/>
        <v>0</v>
      </c>
      <c r="S294" s="30">
        <v>7.6611082477029399E-5</v>
      </c>
      <c r="T294">
        <f t="shared" si="51"/>
        <v>0</v>
      </c>
      <c r="U294" s="1">
        <v>0.19966584000000001</v>
      </c>
      <c r="V294">
        <v>0</v>
      </c>
      <c r="X294">
        <v>0</v>
      </c>
    </row>
    <row r="295" spans="1:24">
      <c r="A295" s="1">
        <v>0</v>
      </c>
      <c r="B295" s="1" t="s">
        <v>294</v>
      </c>
      <c r="C295" s="1">
        <v>0</v>
      </c>
      <c r="D295" s="33">
        <v>0</v>
      </c>
      <c r="E295" s="36">
        <v>0</v>
      </c>
      <c r="F295" s="37">
        <v>0</v>
      </c>
      <c r="G295" s="30">
        <v>3.2847109999999999E-2</v>
      </c>
      <c r="H295">
        <f t="shared" si="46"/>
        <v>0</v>
      </c>
      <c r="I295" s="30">
        <v>1.05089005956E-4</v>
      </c>
      <c r="J295">
        <f t="shared" si="47"/>
        <v>0</v>
      </c>
      <c r="K295" s="30">
        <v>1.64508106536E-4</v>
      </c>
      <c r="L295">
        <f t="shared" si="52"/>
        <v>0</v>
      </c>
      <c r="M295" s="30">
        <v>3.8219399999999998E-4</v>
      </c>
      <c r="N295">
        <f t="shared" si="53"/>
        <v>0</v>
      </c>
      <c r="O295">
        <v>3.0562514439230002E-3</v>
      </c>
      <c r="P295">
        <f t="shared" si="54"/>
        <v>0</v>
      </c>
      <c r="Q295" s="30">
        <v>3.6517969999999997E-2</v>
      </c>
      <c r="R295">
        <f t="shared" si="55"/>
        <v>0</v>
      </c>
      <c r="S295" s="30">
        <v>1.11414710772806E-5</v>
      </c>
      <c r="T295">
        <f t="shared" si="51"/>
        <v>0</v>
      </c>
      <c r="U295" s="1">
        <v>9.3846395999999999E-2</v>
      </c>
      <c r="V295">
        <v>0</v>
      </c>
      <c r="X295">
        <v>0</v>
      </c>
    </row>
    <row r="296" spans="1:24">
      <c r="A296" s="1">
        <v>0</v>
      </c>
      <c r="B296" s="1" t="s">
        <v>295</v>
      </c>
      <c r="C296" s="1">
        <v>0</v>
      </c>
      <c r="D296" s="33">
        <v>0</v>
      </c>
      <c r="E296" s="36">
        <v>0</v>
      </c>
      <c r="F296" s="37">
        <v>0</v>
      </c>
      <c r="G296">
        <v>0.17998176799999999</v>
      </c>
      <c r="H296">
        <f t="shared" si="46"/>
        <v>0</v>
      </c>
      <c r="I296" s="30">
        <v>0.18323272466659499</v>
      </c>
      <c r="J296">
        <f t="shared" si="47"/>
        <v>0</v>
      </c>
      <c r="K296" s="30">
        <v>1.2780052609742E-2</v>
      </c>
      <c r="L296">
        <f t="shared" si="52"/>
        <v>0</v>
      </c>
      <c r="M296">
        <v>2.4370775000000001E-2</v>
      </c>
      <c r="N296">
        <f t="shared" si="53"/>
        <v>0</v>
      </c>
      <c r="O296">
        <v>3.3278804272412997E-2</v>
      </c>
      <c r="P296">
        <f t="shared" si="54"/>
        <v>0</v>
      </c>
      <c r="Q296">
        <v>0.114625201</v>
      </c>
      <c r="R296">
        <f t="shared" si="55"/>
        <v>0</v>
      </c>
      <c r="S296">
        <v>3.3182039856910997E-2</v>
      </c>
      <c r="T296">
        <f t="shared" si="51"/>
        <v>0</v>
      </c>
      <c r="U296" s="1">
        <v>0.42358659999999998</v>
      </c>
      <c r="V296">
        <v>0</v>
      </c>
      <c r="X296">
        <v>0</v>
      </c>
    </row>
    <row r="297" spans="1:24">
      <c r="A297" s="1">
        <v>0</v>
      </c>
      <c r="B297" s="1" t="s">
        <v>296</v>
      </c>
      <c r="C297" s="1">
        <v>0</v>
      </c>
      <c r="D297" s="33">
        <v>0</v>
      </c>
      <c r="E297" s="36">
        <v>0</v>
      </c>
      <c r="F297" s="37">
        <v>0</v>
      </c>
      <c r="G297">
        <v>0.31435236300000002</v>
      </c>
      <c r="H297">
        <f t="shared" si="46"/>
        <v>0</v>
      </c>
      <c r="I297">
        <v>0.685064196586609</v>
      </c>
      <c r="J297">
        <f t="shared" si="47"/>
        <v>1</v>
      </c>
      <c r="K297">
        <v>0.12107417732477201</v>
      </c>
      <c r="L297">
        <f t="shared" si="52"/>
        <v>0</v>
      </c>
      <c r="M297">
        <v>7.7324271E-2</v>
      </c>
      <c r="N297">
        <f t="shared" si="53"/>
        <v>0</v>
      </c>
      <c r="O297">
        <v>2.8602490201593E-2</v>
      </c>
      <c r="P297">
        <f t="shared" si="54"/>
        <v>0</v>
      </c>
      <c r="Q297">
        <v>0.290131211</v>
      </c>
      <c r="R297">
        <f t="shared" si="55"/>
        <v>0</v>
      </c>
      <c r="S297">
        <v>2.5511095300317001E-2</v>
      </c>
      <c r="T297">
        <f t="shared" si="51"/>
        <v>0</v>
      </c>
      <c r="U297" s="1">
        <v>0.5003782</v>
      </c>
      <c r="V297">
        <v>0</v>
      </c>
      <c r="X297">
        <v>0</v>
      </c>
    </row>
    <row r="298" spans="1:24">
      <c r="A298" s="1">
        <v>0</v>
      </c>
      <c r="B298" s="1" t="s">
        <v>297</v>
      </c>
      <c r="C298" s="1">
        <v>0</v>
      </c>
      <c r="D298" s="33">
        <v>1</v>
      </c>
      <c r="E298" s="36">
        <v>0</v>
      </c>
      <c r="F298" s="37">
        <v>0</v>
      </c>
      <c r="G298">
        <v>0.48031669900000001</v>
      </c>
      <c r="H298">
        <f t="shared" si="46"/>
        <v>0</v>
      </c>
      <c r="I298">
        <v>0.99324482679367099</v>
      </c>
      <c r="J298">
        <f t="shared" si="47"/>
        <v>1</v>
      </c>
      <c r="K298">
        <v>0.89000779390335105</v>
      </c>
      <c r="L298">
        <f t="shared" si="52"/>
        <v>1</v>
      </c>
      <c r="M298">
        <v>0.93544459300000005</v>
      </c>
      <c r="N298">
        <f t="shared" si="53"/>
        <v>1</v>
      </c>
      <c r="O298">
        <v>0.86898970603942904</v>
      </c>
      <c r="P298">
        <f t="shared" si="54"/>
        <v>1</v>
      </c>
      <c r="Q298">
        <v>0.329134017</v>
      </c>
      <c r="R298">
        <f t="shared" si="55"/>
        <v>0</v>
      </c>
      <c r="S298">
        <v>0.578910171985626</v>
      </c>
      <c r="T298">
        <f t="shared" si="51"/>
        <v>1</v>
      </c>
      <c r="U298" s="1">
        <v>0.68140579999999995</v>
      </c>
      <c r="V298">
        <v>1</v>
      </c>
      <c r="X298">
        <v>0</v>
      </c>
    </row>
    <row r="299" spans="1:24">
      <c r="A299" s="1">
        <v>0</v>
      </c>
      <c r="B299" s="1" t="s">
        <v>298</v>
      </c>
      <c r="C299" s="1">
        <v>0</v>
      </c>
      <c r="D299" s="33">
        <v>0</v>
      </c>
      <c r="E299" s="36">
        <v>0</v>
      </c>
      <c r="F299" s="37">
        <v>0</v>
      </c>
      <c r="G299">
        <v>0.136074319</v>
      </c>
      <c r="H299">
        <f t="shared" si="46"/>
        <v>0</v>
      </c>
      <c r="I299">
        <v>0.45548850297927901</v>
      </c>
      <c r="J299">
        <f t="shared" si="47"/>
        <v>0</v>
      </c>
      <c r="K299">
        <v>0.90508937835693404</v>
      </c>
      <c r="L299">
        <f t="shared" si="52"/>
        <v>1</v>
      </c>
      <c r="M299">
        <v>0.20363360599999999</v>
      </c>
      <c r="N299">
        <f t="shared" si="53"/>
        <v>0</v>
      </c>
      <c r="O299">
        <v>4.2530369013548001E-2</v>
      </c>
      <c r="P299">
        <f t="shared" si="54"/>
        <v>0</v>
      </c>
      <c r="Q299">
        <v>0.86856198299999998</v>
      </c>
      <c r="R299">
        <f t="shared" si="55"/>
        <v>1</v>
      </c>
      <c r="S299">
        <v>0.18484662473201699</v>
      </c>
      <c r="T299">
        <f t="shared" si="51"/>
        <v>0</v>
      </c>
      <c r="U299" s="1">
        <v>0.51271515999999995</v>
      </c>
      <c r="V299">
        <v>0</v>
      </c>
      <c r="X299">
        <v>0</v>
      </c>
    </row>
    <row r="300" spans="1:24">
      <c r="A300" s="1">
        <v>0</v>
      </c>
      <c r="B300" s="1" t="s">
        <v>299</v>
      </c>
      <c r="C300" s="1">
        <v>0</v>
      </c>
      <c r="D300" s="33">
        <v>0</v>
      </c>
      <c r="E300" s="36">
        <v>0</v>
      </c>
      <c r="F300" s="37">
        <v>0</v>
      </c>
      <c r="G300">
        <v>0.85991019000000002</v>
      </c>
      <c r="H300">
        <f t="shared" si="46"/>
        <v>1</v>
      </c>
      <c r="I300">
        <v>0.98778533935546897</v>
      </c>
      <c r="J300">
        <f t="shared" si="47"/>
        <v>1</v>
      </c>
      <c r="K300">
        <v>0.97205227613449097</v>
      </c>
      <c r="L300">
        <f t="shared" si="52"/>
        <v>1</v>
      </c>
      <c r="M300">
        <v>0.95084506300000005</v>
      </c>
      <c r="N300">
        <f t="shared" si="53"/>
        <v>1</v>
      </c>
      <c r="O300">
        <v>0.72275280952453602</v>
      </c>
      <c r="P300">
        <f t="shared" si="54"/>
        <v>1</v>
      </c>
      <c r="Q300">
        <v>0.54967695500000002</v>
      </c>
      <c r="R300">
        <f t="shared" si="55"/>
        <v>1</v>
      </c>
      <c r="S300">
        <v>0.333867728710175</v>
      </c>
      <c r="T300">
        <f t="shared" si="51"/>
        <v>0</v>
      </c>
      <c r="U300" s="1">
        <v>0.75668895000000003</v>
      </c>
      <c r="V300">
        <v>1</v>
      </c>
      <c r="X300">
        <v>0</v>
      </c>
    </row>
    <row r="301" spans="1:24">
      <c r="A301" s="1">
        <v>0</v>
      </c>
      <c r="B301" s="1" t="s">
        <v>300</v>
      </c>
      <c r="C301" s="1">
        <v>0</v>
      </c>
      <c r="D301" s="33">
        <v>0</v>
      </c>
      <c r="E301" s="36">
        <v>0</v>
      </c>
      <c r="F301" s="37">
        <v>1</v>
      </c>
      <c r="G301" s="30">
        <v>4.5566915999999999E-2</v>
      </c>
      <c r="H301">
        <f t="shared" si="46"/>
        <v>0</v>
      </c>
      <c r="I301">
        <v>1.0463391430676001E-2</v>
      </c>
      <c r="J301">
        <f t="shared" si="47"/>
        <v>0</v>
      </c>
      <c r="K301">
        <v>2.4447523057461E-2</v>
      </c>
      <c r="L301">
        <f t="shared" si="52"/>
        <v>0</v>
      </c>
      <c r="M301">
        <v>2.6805791999999998E-2</v>
      </c>
      <c r="N301">
        <f t="shared" si="53"/>
        <v>0</v>
      </c>
      <c r="O301">
        <v>1.2151301838458001E-2</v>
      </c>
      <c r="P301">
        <f t="shared" si="54"/>
        <v>0</v>
      </c>
      <c r="Q301">
        <v>0.103852071</v>
      </c>
      <c r="R301">
        <f t="shared" si="55"/>
        <v>0</v>
      </c>
      <c r="S301">
        <v>0.194071635603905</v>
      </c>
      <c r="T301">
        <f t="shared" si="51"/>
        <v>0</v>
      </c>
      <c r="U301" s="1">
        <v>0.27123269999999999</v>
      </c>
      <c r="V301">
        <v>0</v>
      </c>
      <c r="X301">
        <v>0</v>
      </c>
    </row>
    <row r="302" spans="1:24">
      <c r="A302" s="1">
        <v>0</v>
      </c>
      <c r="B302" s="1" t="s">
        <v>301</v>
      </c>
      <c r="C302" s="1">
        <v>0</v>
      </c>
      <c r="D302" s="33">
        <v>1</v>
      </c>
      <c r="E302" s="36">
        <v>0</v>
      </c>
      <c r="F302" s="37">
        <v>0</v>
      </c>
      <c r="G302">
        <v>0.47397345299999999</v>
      </c>
      <c r="H302">
        <f t="shared" si="46"/>
        <v>0</v>
      </c>
      <c r="I302">
        <v>0.99359315633773804</v>
      </c>
      <c r="J302">
        <f t="shared" si="47"/>
        <v>1</v>
      </c>
      <c r="K302">
        <v>0.72897171974182096</v>
      </c>
      <c r="L302">
        <f t="shared" si="52"/>
        <v>1</v>
      </c>
      <c r="M302" s="30">
        <v>0.97173595400000001</v>
      </c>
      <c r="N302">
        <f t="shared" si="53"/>
        <v>1</v>
      </c>
      <c r="O302">
        <v>0.417001932859421</v>
      </c>
      <c r="P302">
        <f t="shared" si="54"/>
        <v>0</v>
      </c>
      <c r="Q302">
        <v>0.49857664099999999</v>
      </c>
      <c r="R302">
        <f t="shared" si="55"/>
        <v>0</v>
      </c>
      <c r="S302">
        <v>0.41873788833618197</v>
      </c>
      <c r="T302">
        <f t="shared" si="51"/>
        <v>0</v>
      </c>
      <c r="U302" s="1">
        <v>0.70669890000000002</v>
      </c>
      <c r="V302">
        <v>1</v>
      </c>
      <c r="X302">
        <v>0</v>
      </c>
    </row>
    <row r="303" spans="1:24">
      <c r="A303" s="1">
        <v>0</v>
      </c>
      <c r="B303" s="1" t="s">
        <v>302</v>
      </c>
      <c r="C303" s="1">
        <v>0</v>
      </c>
      <c r="D303" s="33">
        <v>0</v>
      </c>
      <c r="E303" s="36">
        <v>0</v>
      </c>
      <c r="F303" s="37">
        <v>0</v>
      </c>
      <c r="G303">
        <v>0.41584831500000002</v>
      </c>
      <c r="H303">
        <f t="shared" si="46"/>
        <v>0</v>
      </c>
      <c r="I303">
        <v>0.35182416439056402</v>
      </c>
      <c r="J303">
        <f t="shared" si="47"/>
        <v>0</v>
      </c>
      <c r="K303">
        <v>0.829770267009735</v>
      </c>
      <c r="L303">
        <f t="shared" si="52"/>
        <v>1</v>
      </c>
      <c r="M303">
        <v>0.82416695399999995</v>
      </c>
      <c r="N303">
        <f t="shared" si="53"/>
        <v>1</v>
      </c>
      <c r="O303">
        <v>0.35970616340637201</v>
      </c>
      <c r="P303">
        <f t="shared" si="54"/>
        <v>0</v>
      </c>
      <c r="Q303">
        <v>0.54304194500000003</v>
      </c>
      <c r="R303">
        <f t="shared" si="55"/>
        <v>1</v>
      </c>
      <c r="S303">
        <v>0.962757349014282</v>
      </c>
      <c r="T303">
        <f t="shared" si="51"/>
        <v>1</v>
      </c>
      <c r="U303" s="1">
        <v>0.6855289</v>
      </c>
      <c r="V303">
        <v>1</v>
      </c>
      <c r="X303">
        <v>0</v>
      </c>
    </row>
    <row r="304" spans="1:24">
      <c r="A304" s="81">
        <v>0</v>
      </c>
      <c r="B304" s="7" t="s">
        <v>303</v>
      </c>
      <c r="C304" s="1">
        <v>0</v>
      </c>
      <c r="D304" s="33">
        <v>1</v>
      </c>
      <c r="E304" s="37">
        <v>1</v>
      </c>
      <c r="F304" s="37">
        <v>1</v>
      </c>
      <c r="G304" s="30">
        <v>3.4724831999999997E-2</v>
      </c>
      <c r="H304">
        <f t="shared" si="46"/>
        <v>0</v>
      </c>
      <c r="I304" s="30">
        <v>6.0085971199441701E-5</v>
      </c>
      <c r="J304">
        <f t="shared" si="47"/>
        <v>0</v>
      </c>
      <c r="K304" s="30">
        <v>1.6836193390199999E-4</v>
      </c>
      <c r="L304">
        <f t="shared" si="52"/>
        <v>0</v>
      </c>
      <c r="M304" s="30">
        <v>2.5918300000000002E-4</v>
      </c>
      <c r="N304">
        <f t="shared" si="53"/>
        <v>0</v>
      </c>
      <c r="O304" s="30">
        <v>4.2709999252100002E-4</v>
      </c>
      <c r="P304">
        <f t="shared" si="54"/>
        <v>0</v>
      </c>
      <c r="Q304" s="30">
        <v>0.100406945</v>
      </c>
      <c r="R304">
        <f t="shared" si="55"/>
        <v>0</v>
      </c>
      <c r="S304" s="30">
        <v>2.4959159782199998E-4</v>
      </c>
      <c r="T304">
        <f t="shared" si="51"/>
        <v>0</v>
      </c>
      <c r="U304" s="7">
        <v>9.9783629999999998E-2</v>
      </c>
      <c r="V304">
        <v>0</v>
      </c>
      <c r="X304">
        <v>1</v>
      </c>
    </row>
    <row r="305" spans="1:24">
      <c r="A305" s="1">
        <v>0</v>
      </c>
      <c r="B305" s="1" t="s">
        <v>304</v>
      </c>
      <c r="C305" s="1">
        <v>0</v>
      </c>
      <c r="D305" s="33">
        <v>0</v>
      </c>
      <c r="E305" s="36">
        <v>0</v>
      </c>
      <c r="F305" s="37">
        <v>0</v>
      </c>
      <c r="G305" s="30">
        <v>2.8530065E-2</v>
      </c>
      <c r="H305">
        <f t="shared" si="46"/>
        <v>0</v>
      </c>
      <c r="I305">
        <v>3.5156121011819998E-3</v>
      </c>
      <c r="J305">
        <f t="shared" si="47"/>
        <v>0</v>
      </c>
      <c r="K305">
        <v>2.7891860809180001E-3</v>
      </c>
      <c r="L305">
        <f t="shared" si="52"/>
        <v>0</v>
      </c>
      <c r="M305">
        <v>1.3685891E-2</v>
      </c>
      <c r="N305">
        <f t="shared" si="53"/>
        <v>0</v>
      </c>
      <c r="O305">
        <v>3.3061154186725998E-2</v>
      </c>
      <c r="P305">
        <f t="shared" si="54"/>
        <v>0</v>
      </c>
      <c r="Q305">
        <v>0.14420460199999999</v>
      </c>
      <c r="R305">
        <f t="shared" si="55"/>
        <v>0</v>
      </c>
      <c r="S305">
        <v>3.9696920663118002E-2</v>
      </c>
      <c r="T305">
        <f t="shared" si="51"/>
        <v>0</v>
      </c>
      <c r="U305" s="1">
        <v>0.4896472</v>
      </c>
      <c r="V305">
        <v>0</v>
      </c>
      <c r="X305">
        <v>0</v>
      </c>
    </row>
    <row r="306" spans="1:24">
      <c r="A306" s="1">
        <v>0</v>
      </c>
      <c r="B306" s="1" t="s">
        <v>305</v>
      </c>
      <c r="C306" s="1">
        <v>0</v>
      </c>
      <c r="D306" s="33">
        <v>1</v>
      </c>
      <c r="E306" s="36">
        <v>0</v>
      </c>
      <c r="F306" s="37">
        <v>0</v>
      </c>
      <c r="G306">
        <v>0.216015086</v>
      </c>
      <c r="H306">
        <f t="shared" si="46"/>
        <v>0</v>
      </c>
      <c r="I306">
        <v>5.3696505725384001E-2</v>
      </c>
      <c r="J306">
        <f t="shared" si="47"/>
        <v>0</v>
      </c>
      <c r="K306">
        <v>6.1648551374674003E-2</v>
      </c>
      <c r="L306">
        <f t="shared" si="52"/>
        <v>0</v>
      </c>
      <c r="M306">
        <v>2.6976851999999999E-2</v>
      </c>
      <c r="N306">
        <f t="shared" si="53"/>
        <v>0</v>
      </c>
      <c r="O306">
        <v>3.1357694417238E-2</v>
      </c>
      <c r="P306">
        <f t="shared" si="54"/>
        <v>0</v>
      </c>
      <c r="Q306">
        <v>0.19695098699999999</v>
      </c>
      <c r="R306">
        <f t="shared" si="55"/>
        <v>0</v>
      </c>
      <c r="S306">
        <v>9.3974404036998999E-2</v>
      </c>
      <c r="T306">
        <f t="shared" si="51"/>
        <v>0</v>
      </c>
      <c r="U306" s="1">
        <v>0.23330540999999999</v>
      </c>
      <c r="V306">
        <v>0</v>
      </c>
      <c r="X306">
        <v>0</v>
      </c>
    </row>
    <row r="307" spans="1:24">
      <c r="A307" s="1">
        <v>0</v>
      </c>
      <c r="B307" s="1" t="s">
        <v>306</v>
      </c>
      <c r="C307" s="1">
        <v>0</v>
      </c>
      <c r="D307" s="33">
        <v>0</v>
      </c>
      <c r="E307" s="36">
        <v>0</v>
      </c>
      <c r="F307" s="37">
        <v>0</v>
      </c>
      <c r="G307">
        <v>8.3798899999999996E-2</v>
      </c>
      <c r="H307">
        <f t="shared" si="46"/>
        <v>0</v>
      </c>
      <c r="I307">
        <v>0.19022551178932201</v>
      </c>
      <c r="J307">
        <f t="shared" si="47"/>
        <v>0</v>
      </c>
      <c r="K307">
        <v>7.1655213832855003E-2</v>
      </c>
      <c r="L307">
        <f t="shared" si="52"/>
        <v>0</v>
      </c>
      <c r="M307">
        <v>2.7900146000000001E-2</v>
      </c>
      <c r="N307">
        <f t="shared" si="53"/>
        <v>0</v>
      </c>
      <c r="O307">
        <v>5.5914796888828E-2</v>
      </c>
      <c r="P307">
        <f t="shared" si="54"/>
        <v>0</v>
      </c>
      <c r="Q307">
        <v>0.21170865</v>
      </c>
      <c r="R307">
        <f t="shared" si="55"/>
        <v>0</v>
      </c>
      <c r="S307">
        <v>1.0172657668591E-2</v>
      </c>
      <c r="T307">
        <f t="shared" si="51"/>
        <v>0</v>
      </c>
      <c r="U307" s="1">
        <v>0.32699889999999998</v>
      </c>
      <c r="V307">
        <v>0</v>
      </c>
      <c r="X307">
        <v>0</v>
      </c>
    </row>
    <row r="308" spans="1:24">
      <c r="A308" s="1">
        <v>0</v>
      </c>
      <c r="B308" s="1" t="s">
        <v>307</v>
      </c>
      <c r="C308" s="1">
        <v>0</v>
      </c>
      <c r="D308" s="33">
        <v>1</v>
      </c>
      <c r="E308" s="36">
        <v>0</v>
      </c>
      <c r="F308" s="37">
        <v>1</v>
      </c>
      <c r="G308">
        <v>0.30558648700000002</v>
      </c>
      <c r="H308">
        <f t="shared" si="46"/>
        <v>0</v>
      </c>
      <c r="I308">
        <v>2.2121205925942002E-2</v>
      </c>
      <c r="J308">
        <f t="shared" si="47"/>
        <v>0</v>
      </c>
      <c r="K308">
        <v>0.14857029914855999</v>
      </c>
      <c r="L308">
        <f t="shared" si="52"/>
        <v>0</v>
      </c>
      <c r="M308" s="30">
        <v>8.1292673999999995E-2</v>
      </c>
      <c r="N308">
        <f t="shared" si="53"/>
        <v>0</v>
      </c>
      <c r="O308">
        <v>2.7962448075413999E-2</v>
      </c>
      <c r="P308">
        <f t="shared" si="54"/>
        <v>0</v>
      </c>
      <c r="Q308">
        <v>0.59891015299999995</v>
      </c>
      <c r="R308">
        <f t="shared" si="55"/>
        <v>1</v>
      </c>
      <c r="S308">
        <v>0.14039975404739399</v>
      </c>
      <c r="T308">
        <f t="shared" si="51"/>
        <v>0</v>
      </c>
      <c r="U308" s="1">
        <v>0.41266113999999998</v>
      </c>
      <c r="V308">
        <v>0</v>
      </c>
      <c r="X308">
        <v>0</v>
      </c>
    </row>
    <row r="309" spans="1:24">
      <c r="A309" s="1">
        <v>0</v>
      </c>
      <c r="B309" s="5" t="s">
        <v>308</v>
      </c>
      <c r="C309" s="1">
        <v>0</v>
      </c>
      <c r="D309" s="33">
        <v>0</v>
      </c>
      <c r="E309" s="36">
        <v>0</v>
      </c>
      <c r="F309" s="37">
        <v>0</v>
      </c>
      <c r="G309" s="30">
        <v>1.9423238999999998E-2</v>
      </c>
      <c r="H309">
        <f t="shared" si="46"/>
        <v>0</v>
      </c>
      <c r="I309" s="30">
        <v>6.79511213093065E-5</v>
      </c>
      <c r="J309">
        <f t="shared" si="47"/>
        <v>0</v>
      </c>
      <c r="K309" s="30">
        <v>1.655660918914E-3</v>
      </c>
      <c r="L309">
        <f t="shared" si="52"/>
        <v>0</v>
      </c>
      <c r="M309">
        <v>4.1111000000000001E-4</v>
      </c>
      <c r="N309">
        <f t="shared" si="53"/>
        <v>0</v>
      </c>
      <c r="O309">
        <v>1.8676148029040001E-3</v>
      </c>
      <c r="P309">
        <f t="shared" si="54"/>
        <v>0</v>
      </c>
      <c r="Q309" s="30">
        <v>6.1898007999999997E-2</v>
      </c>
      <c r="R309">
        <f t="shared" si="55"/>
        <v>0</v>
      </c>
      <c r="S309" s="30">
        <v>2.7102588210259999E-3</v>
      </c>
      <c r="T309">
        <f t="shared" si="51"/>
        <v>0</v>
      </c>
      <c r="U309" s="5">
        <v>0.1698257</v>
      </c>
      <c r="V309">
        <v>0</v>
      </c>
      <c r="X309">
        <v>0</v>
      </c>
    </row>
    <row r="310" spans="1:24">
      <c r="A310" s="1">
        <v>0</v>
      </c>
      <c r="B310" s="7" t="s">
        <v>309</v>
      </c>
      <c r="C310" s="1">
        <v>0</v>
      </c>
      <c r="D310" s="33">
        <v>1</v>
      </c>
      <c r="E310" s="37">
        <v>1</v>
      </c>
      <c r="F310" s="37">
        <v>1</v>
      </c>
      <c r="G310">
        <v>0.56752812900000005</v>
      </c>
      <c r="H310">
        <f t="shared" si="46"/>
        <v>1</v>
      </c>
      <c r="I310">
        <v>5.5365636944769998E-3</v>
      </c>
      <c r="J310">
        <f t="shared" si="47"/>
        <v>0</v>
      </c>
      <c r="K310">
        <v>7.3689498007298002E-2</v>
      </c>
      <c r="L310">
        <f t="shared" si="52"/>
        <v>0</v>
      </c>
      <c r="M310" s="30">
        <v>0.14283970000000001</v>
      </c>
      <c r="N310">
        <f t="shared" si="53"/>
        <v>0</v>
      </c>
      <c r="O310">
        <v>1.1645582504570999E-2</v>
      </c>
      <c r="P310">
        <f t="shared" si="54"/>
        <v>0</v>
      </c>
      <c r="Q310">
        <v>0.44580271799999999</v>
      </c>
      <c r="R310">
        <f t="shared" si="55"/>
        <v>0</v>
      </c>
      <c r="S310">
        <v>1.2104096822441001E-2</v>
      </c>
      <c r="T310">
        <f t="shared" si="51"/>
        <v>0</v>
      </c>
      <c r="U310" s="7">
        <v>0.58902060000000001</v>
      </c>
      <c r="V310">
        <v>0</v>
      </c>
      <c r="X310">
        <v>1</v>
      </c>
    </row>
    <row r="311" spans="1:24">
      <c r="A311" s="1">
        <v>0</v>
      </c>
      <c r="B311" s="1" t="s">
        <v>310</v>
      </c>
      <c r="C311" s="1">
        <v>0</v>
      </c>
      <c r="D311" s="33">
        <v>0</v>
      </c>
      <c r="E311" s="36">
        <v>0</v>
      </c>
      <c r="F311" s="37">
        <v>0</v>
      </c>
      <c r="G311">
        <v>5.9799984E-2</v>
      </c>
      <c r="H311">
        <f t="shared" si="46"/>
        <v>0</v>
      </c>
      <c r="I311">
        <v>3.6820915993299999E-3</v>
      </c>
      <c r="J311">
        <f t="shared" si="47"/>
        <v>0</v>
      </c>
      <c r="K311">
        <v>2.496174536645E-3</v>
      </c>
      <c r="L311">
        <f t="shared" si="52"/>
        <v>0</v>
      </c>
      <c r="M311">
        <v>7.4184400000000001E-3</v>
      </c>
      <c r="N311">
        <f t="shared" si="53"/>
        <v>0</v>
      </c>
      <c r="O311">
        <v>1.3013040646911E-2</v>
      </c>
      <c r="P311">
        <f t="shared" si="54"/>
        <v>0</v>
      </c>
      <c r="Q311" s="30">
        <v>0.116568409</v>
      </c>
      <c r="R311">
        <f t="shared" si="55"/>
        <v>0</v>
      </c>
      <c r="S311">
        <v>4.6942490153010002E-3</v>
      </c>
      <c r="T311">
        <f t="shared" si="51"/>
        <v>0</v>
      </c>
      <c r="U311" s="1">
        <v>0.16372444999999999</v>
      </c>
      <c r="V311">
        <v>0</v>
      </c>
      <c r="X311">
        <v>0</v>
      </c>
    </row>
    <row r="312" spans="1:24">
      <c r="A312" s="1">
        <v>0</v>
      </c>
      <c r="B312" s="1" t="s">
        <v>311</v>
      </c>
      <c r="C312" s="1">
        <v>0</v>
      </c>
      <c r="D312" s="33">
        <v>0</v>
      </c>
      <c r="E312" s="36">
        <v>0</v>
      </c>
      <c r="F312" s="37">
        <v>0</v>
      </c>
      <c r="G312">
        <v>5.3351036999999997E-2</v>
      </c>
      <c r="H312">
        <f t="shared" si="46"/>
        <v>0</v>
      </c>
      <c r="I312">
        <v>5.7374476455149996E-3</v>
      </c>
      <c r="J312">
        <f t="shared" si="47"/>
        <v>0</v>
      </c>
      <c r="K312">
        <v>1.8273800611495999E-2</v>
      </c>
      <c r="L312">
        <f t="shared" si="52"/>
        <v>0</v>
      </c>
      <c r="M312">
        <v>1.3501134E-2</v>
      </c>
      <c r="N312">
        <f t="shared" si="53"/>
        <v>0</v>
      </c>
      <c r="O312">
        <v>1.9085948588329999E-3</v>
      </c>
      <c r="P312">
        <f t="shared" si="54"/>
        <v>0</v>
      </c>
      <c r="Q312">
        <v>9.2816240999999994E-2</v>
      </c>
      <c r="R312">
        <f t="shared" si="55"/>
        <v>0</v>
      </c>
      <c r="S312">
        <v>9.2662934912399999E-4</v>
      </c>
      <c r="T312">
        <f t="shared" si="51"/>
        <v>0</v>
      </c>
      <c r="U312" s="1">
        <v>8.8867255000000006E-2</v>
      </c>
      <c r="V312">
        <v>0</v>
      </c>
      <c r="X312">
        <v>0</v>
      </c>
    </row>
    <row r="313" spans="1:24">
      <c r="A313" s="1">
        <v>0</v>
      </c>
      <c r="B313" s="1" t="s">
        <v>312</v>
      </c>
      <c r="C313" s="1">
        <v>0</v>
      </c>
      <c r="D313" s="33">
        <v>0</v>
      </c>
      <c r="E313" s="36">
        <v>0</v>
      </c>
      <c r="F313" s="37">
        <v>0</v>
      </c>
      <c r="G313" s="30">
        <v>9.8189189999999996E-2</v>
      </c>
      <c r="H313">
        <f t="shared" si="46"/>
        <v>0</v>
      </c>
      <c r="I313" s="30">
        <v>3.5838458687066997E-2</v>
      </c>
      <c r="J313">
        <f t="shared" si="47"/>
        <v>0</v>
      </c>
      <c r="K313" s="30">
        <v>1.6027657315134999E-2</v>
      </c>
      <c r="L313">
        <f t="shared" si="52"/>
        <v>0</v>
      </c>
      <c r="M313">
        <v>2.1761570000000002E-3</v>
      </c>
      <c r="N313">
        <f t="shared" si="53"/>
        <v>0</v>
      </c>
      <c r="O313">
        <v>3.6970023065810002E-3</v>
      </c>
      <c r="P313">
        <f t="shared" si="54"/>
        <v>0</v>
      </c>
      <c r="Q313" s="30">
        <v>0.19272419800000001</v>
      </c>
      <c r="R313">
        <f t="shared" si="55"/>
        <v>0</v>
      </c>
      <c r="S313">
        <v>3.05509660393E-3</v>
      </c>
      <c r="T313">
        <f t="shared" si="51"/>
        <v>0</v>
      </c>
      <c r="U313" s="1">
        <v>0.38515916</v>
      </c>
      <c r="V313">
        <v>0</v>
      </c>
      <c r="X313">
        <v>0</v>
      </c>
    </row>
    <row r="314" spans="1:24">
      <c r="A314" s="1">
        <v>0</v>
      </c>
      <c r="B314" s="1" t="s">
        <v>313</v>
      </c>
      <c r="C314" s="1">
        <v>0</v>
      </c>
      <c r="D314" s="33">
        <v>0</v>
      </c>
      <c r="E314" s="36">
        <v>0</v>
      </c>
      <c r="F314" s="37">
        <v>0</v>
      </c>
      <c r="G314">
        <v>2.3385894000000001E-2</v>
      </c>
      <c r="H314">
        <f t="shared" si="46"/>
        <v>0</v>
      </c>
      <c r="I314">
        <v>5.5013839155435999E-2</v>
      </c>
      <c r="J314">
        <f t="shared" si="47"/>
        <v>0</v>
      </c>
      <c r="K314">
        <v>3.5292286425829003E-2</v>
      </c>
      <c r="L314">
        <f t="shared" si="52"/>
        <v>0</v>
      </c>
      <c r="M314">
        <v>0.50143331300000005</v>
      </c>
      <c r="N314">
        <f t="shared" si="53"/>
        <v>1</v>
      </c>
      <c r="O314">
        <v>2.907812781632E-2</v>
      </c>
      <c r="P314">
        <f t="shared" si="54"/>
        <v>0</v>
      </c>
      <c r="Q314">
        <v>0.26527860800000003</v>
      </c>
      <c r="R314">
        <f t="shared" si="55"/>
        <v>0</v>
      </c>
      <c r="S314">
        <v>0.151801958680153</v>
      </c>
      <c r="T314">
        <f t="shared" si="51"/>
        <v>0</v>
      </c>
      <c r="U314" s="1">
        <v>0.39952559999999998</v>
      </c>
      <c r="V314">
        <v>0</v>
      </c>
      <c r="X314">
        <v>0</v>
      </c>
    </row>
    <row r="315" spans="1:24">
      <c r="A315" s="1">
        <v>0</v>
      </c>
      <c r="B315" s="1" t="s">
        <v>314</v>
      </c>
      <c r="C315" s="1">
        <v>0</v>
      </c>
      <c r="D315" s="33">
        <v>0</v>
      </c>
      <c r="E315" s="36">
        <v>0</v>
      </c>
      <c r="F315" s="37">
        <v>0</v>
      </c>
      <c r="G315" s="30">
        <v>5.1908884000000002E-2</v>
      </c>
      <c r="H315">
        <f t="shared" si="46"/>
        <v>0</v>
      </c>
      <c r="I315">
        <v>1.008212915622E-3</v>
      </c>
      <c r="J315">
        <f t="shared" si="47"/>
        <v>0</v>
      </c>
      <c r="K315">
        <v>2.3824552772599999E-4</v>
      </c>
      <c r="L315">
        <f t="shared" si="52"/>
        <v>0</v>
      </c>
      <c r="M315" s="30">
        <v>2.8807577000000001E-2</v>
      </c>
      <c r="N315">
        <f t="shared" si="53"/>
        <v>0</v>
      </c>
      <c r="O315">
        <v>1.3731400249530001E-3</v>
      </c>
      <c r="P315">
        <f t="shared" si="54"/>
        <v>0</v>
      </c>
      <c r="Q315">
        <v>9.3571401999999998E-2</v>
      </c>
      <c r="R315">
        <f t="shared" si="55"/>
        <v>0</v>
      </c>
      <c r="S315">
        <v>5.4089759942099996E-4</v>
      </c>
      <c r="T315">
        <f t="shared" si="51"/>
        <v>0</v>
      </c>
      <c r="U315" s="1">
        <v>0.14150096000000001</v>
      </c>
      <c r="V315">
        <v>0</v>
      </c>
      <c r="X315">
        <v>0</v>
      </c>
    </row>
    <row r="316" spans="1:24">
      <c r="A316" s="1">
        <v>0</v>
      </c>
      <c r="B316" s="1" t="s">
        <v>315</v>
      </c>
      <c r="C316" s="1">
        <v>0</v>
      </c>
      <c r="D316" s="33">
        <v>0</v>
      </c>
      <c r="E316" s="36">
        <v>0</v>
      </c>
      <c r="F316" s="37">
        <v>0</v>
      </c>
      <c r="G316">
        <v>4.8484486E-2</v>
      </c>
      <c r="H316">
        <f t="shared" si="46"/>
        <v>0</v>
      </c>
      <c r="I316" s="30">
        <v>2.5580434128641999E-2</v>
      </c>
      <c r="J316">
        <f t="shared" si="47"/>
        <v>0</v>
      </c>
      <c r="K316">
        <v>2.1219169721007E-2</v>
      </c>
      <c r="L316">
        <f t="shared" si="52"/>
        <v>0</v>
      </c>
      <c r="M316">
        <v>1.8251929E-2</v>
      </c>
      <c r="N316">
        <f t="shared" si="53"/>
        <v>0</v>
      </c>
      <c r="O316">
        <v>6.7592717707156996E-2</v>
      </c>
      <c r="P316">
        <f t="shared" si="54"/>
        <v>0</v>
      </c>
      <c r="Q316">
        <v>4.9676508000000001E-2</v>
      </c>
      <c r="R316">
        <f t="shared" si="55"/>
        <v>0</v>
      </c>
      <c r="S316">
        <v>8.2935318350790006E-3</v>
      </c>
      <c r="T316">
        <f t="shared" si="51"/>
        <v>0</v>
      </c>
      <c r="U316" s="1">
        <v>6.5130233999999995E-2</v>
      </c>
      <c r="V316">
        <v>0</v>
      </c>
      <c r="X316">
        <v>0</v>
      </c>
    </row>
    <row r="317" spans="1:24">
      <c r="A317" s="1">
        <v>0</v>
      </c>
      <c r="B317" s="1" t="s">
        <v>316</v>
      </c>
      <c r="C317" s="1">
        <v>0</v>
      </c>
      <c r="D317" s="33">
        <v>0</v>
      </c>
      <c r="E317" s="36">
        <v>0</v>
      </c>
      <c r="F317" s="37">
        <v>0</v>
      </c>
      <c r="G317">
        <v>0.17687317699999999</v>
      </c>
      <c r="H317">
        <f t="shared" si="46"/>
        <v>0</v>
      </c>
      <c r="I317">
        <v>0.73775184154510498</v>
      </c>
      <c r="J317">
        <f t="shared" si="47"/>
        <v>1</v>
      </c>
      <c r="K317">
        <v>0.117566294968128</v>
      </c>
      <c r="L317">
        <f t="shared" si="52"/>
        <v>0</v>
      </c>
      <c r="M317">
        <v>0.41155713799999999</v>
      </c>
      <c r="N317">
        <f t="shared" si="53"/>
        <v>0</v>
      </c>
      <c r="O317">
        <v>0.233039930462837</v>
      </c>
      <c r="P317">
        <f t="shared" si="54"/>
        <v>0</v>
      </c>
      <c r="Q317">
        <v>0.480016887</v>
      </c>
      <c r="R317">
        <f t="shared" si="55"/>
        <v>0</v>
      </c>
      <c r="S317">
        <v>6.8358093500136996E-2</v>
      </c>
      <c r="T317">
        <f t="shared" si="51"/>
        <v>0</v>
      </c>
      <c r="U317" s="1">
        <v>0.7017236</v>
      </c>
      <c r="V317">
        <v>1</v>
      </c>
      <c r="X317">
        <v>0</v>
      </c>
    </row>
    <row r="318" spans="1:24">
      <c r="A318" s="1">
        <v>0</v>
      </c>
      <c r="B318" s="1" t="s">
        <v>317</v>
      </c>
      <c r="C318" s="1">
        <v>0</v>
      </c>
      <c r="D318" s="33">
        <v>1</v>
      </c>
      <c r="E318" s="37">
        <v>1</v>
      </c>
      <c r="F318" s="37">
        <v>0</v>
      </c>
      <c r="G318">
        <v>0.203546643</v>
      </c>
      <c r="H318">
        <f t="shared" si="46"/>
        <v>0</v>
      </c>
      <c r="I318">
        <v>7.0450007915497007E-2</v>
      </c>
      <c r="J318">
        <f t="shared" si="47"/>
        <v>0</v>
      </c>
      <c r="K318">
        <v>0.37967225909233099</v>
      </c>
      <c r="L318">
        <f t="shared" si="52"/>
        <v>0</v>
      </c>
      <c r="M318">
        <v>0.21041594399999999</v>
      </c>
      <c r="N318">
        <f t="shared" si="53"/>
        <v>0</v>
      </c>
      <c r="O318">
        <v>3.9829000830650003E-2</v>
      </c>
      <c r="P318">
        <f t="shared" si="54"/>
        <v>0</v>
      </c>
      <c r="Q318">
        <v>8.1823810999999996E-2</v>
      </c>
      <c r="R318">
        <f t="shared" si="55"/>
        <v>0</v>
      </c>
      <c r="S318">
        <v>2.4394104257230002E-3</v>
      </c>
      <c r="T318">
        <f t="shared" si="51"/>
        <v>0</v>
      </c>
      <c r="U318" s="1">
        <v>0.54662679999999997</v>
      </c>
      <c r="V318">
        <v>0</v>
      </c>
      <c r="X318">
        <v>0</v>
      </c>
    </row>
    <row r="319" spans="1:24">
      <c r="A319" s="80">
        <v>0</v>
      </c>
      <c r="B319" s="1" t="s">
        <v>318</v>
      </c>
      <c r="C319" s="1">
        <v>0</v>
      </c>
      <c r="D319" s="33">
        <v>1</v>
      </c>
      <c r="E319" s="37">
        <v>1</v>
      </c>
      <c r="F319" s="37">
        <v>1</v>
      </c>
      <c r="G319">
        <v>0.491326451</v>
      </c>
      <c r="H319">
        <f t="shared" si="46"/>
        <v>0</v>
      </c>
      <c r="I319">
        <v>0.88053864240646396</v>
      </c>
      <c r="J319">
        <f t="shared" si="47"/>
        <v>1</v>
      </c>
      <c r="K319">
        <v>0.96210896968841597</v>
      </c>
      <c r="L319">
        <f t="shared" si="52"/>
        <v>1</v>
      </c>
      <c r="M319">
        <v>0.69836032400000003</v>
      </c>
      <c r="N319">
        <f t="shared" si="53"/>
        <v>1</v>
      </c>
      <c r="O319">
        <v>0.89214199781417802</v>
      </c>
      <c r="P319">
        <f t="shared" si="54"/>
        <v>1</v>
      </c>
      <c r="Q319">
        <v>0.39577567600000002</v>
      </c>
      <c r="R319">
        <f t="shared" si="55"/>
        <v>0</v>
      </c>
      <c r="S319">
        <v>0.84177893400192305</v>
      </c>
      <c r="T319">
        <f t="shared" si="51"/>
        <v>1</v>
      </c>
      <c r="U319" s="1">
        <v>0.45097658000000002</v>
      </c>
      <c r="V319">
        <v>0</v>
      </c>
      <c r="X319">
        <v>0</v>
      </c>
    </row>
    <row r="320" spans="1:24">
      <c r="A320" s="1">
        <v>0</v>
      </c>
      <c r="B320" s="1" t="s">
        <v>319</v>
      </c>
      <c r="C320" s="1">
        <v>0</v>
      </c>
      <c r="D320" s="33">
        <v>1</v>
      </c>
      <c r="E320" s="36">
        <v>0</v>
      </c>
      <c r="F320" s="37">
        <v>1</v>
      </c>
      <c r="G320">
        <v>0.149054348</v>
      </c>
      <c r="H320">
        <f t="shared" si="46"/>
        <v>0</v>
      </c>
      <c r="I320">
        <v>2.6667905971408001E-2</v>
      </c>
      <c r="J320">
        <f t="shared" si="47"/>
        <v>0</v>
      </c>
      <c r="K320">
        <v>5.601137876511E-3</v>
      </c>
      <c r="L320">
        <f t="shared" si="52"/>
        <v>0</v>
      </c>
      <c r="M320">
        <v>0.15933196199999999</v>
      </c>
      <c r="N320">
        <f t="shared" si="53"/>
        <v>0</v>
      </c>
      <c r="O320">
        <v>3.6693610250949998E-2</v>
      </c>
      <c r="P320">
        <f t="shared" si="54"/>
        <v>0</v>
      </c>
      <c r="Q320">
        <v>0.57216936299999999</v>
      </c>
      <c r="R320">
        <f t="shared" si="55"/>
        <v>1</v>
      </c>
      <c r="S320">
        <v>6.7694564349950002E-3</v>
      </c>
      <c r="T320">
        <f t="shared" si="51"/>
        <v>0</v>
      </c>
      <c r="U320" s="1">
        <v>0.40275893000000001</v>
      </c>
      <c r="V320">
        <v>0</v>
      </c>
      <c r="X320">
        <v>0</v>
      </c>
    </row>
    <row r="321" spans="1:24">
      <c r="A321" s="1">
        <v>0</v>
      </c>
      <c r="B321" s="7" t="s">
        <v>320</v>
      </c>
      <c r="C321" s="1">
        <v>0</v>
      </c>
      <c r="D321" s="33">
        <v>0</v>
      </c>
      <c r="E321" s="37">
        <v>0</v>
      </c>
      <c r="F321" s="37">
        <v>1</v>
      </c>
      <c r="G321">
        <v>0.22559486300000001</v>
      </c>
      <c r="H321">
        <f t="shared" si="46"/>
        <v>0</v>
      </c>
      <c r="I321">
        <v>4.7598287463187998E-2</v>
      </c>
      <c r="J321">
        <f t="shared" si="47"/>
        <v>0</v>
      </c>
      <c r="K321">
        <v>0.14999139308929399</v>
      </c>
      <c r="L321">
        <f t="shared" si="52"/>
        <v>0</v>
      </c>
      <c r="M321">
        <v>7.3089175000000006E-2</v>
      </c>
      <c r="N321">
        <f t="shared" si="53"/>
        <v>0</v>
      </c>
      <c r="O321">
        <v>5.1696337759490002E-3</v>
      </c>
      <c r="P321">
        <f t="shared" si="54"/>
        <v>0</v>
      </c>
      <c r="Q321">
        <v>0.30043905999999998</v>
      </c>
      <c r="R321">
        <f t="shared" si="55"/>
        <v>0</v>
      </c>
      <c r="S321">
        <v>5.310552660376E-3</v>
      </c>
      <c r="T321">
        <f t="shared" si="51"/>
        <v>0</v>
      </c>
      <c r="U321" s="7">
        <v>0.28829159999999998</v>
      </c>
      <c r="V321">
        <v>0</v>
      </c>
      <c r="X321">
        <v>1</v>
      </c>
    </row>
    <row r="322" spans="1:24">
      <c r="A322" s="1">
        <v>0</v>
      </c>
      <c r="B322" s="1" t="s">
        <v>321</v>
      </c>
      <c r="C322" s="1">
        <v>0</v>
      </c>
      <c r="D322" s="33">
        <v>0</v>
      </c>
      <c r="E322" s="36">
        <v>0</v>
      </c>
      <c r="F322" s="37">
        <v>0</v>
      </c>
      <c r="G322">
        <v>4.1831166000000003E-2</v>
      </c>
      <c r="H322">
        <f t="shared" si="46"/>
        <v>0</v>
      </c>
      <c r="I322">
        <v>3.4246414899826001E-2</v>
      </c>
      <c r="J322">
        <f t="shared" si="47"/>
        <v>0</v>
      </c>
      <c r="K322">
        <v>0.20330069959163699</v>
      </c>
      <c r="L322">
        <f t="shared" si="52"/>
        <v>0</v>
      </c>
      <c r="M322" s="30">
        <v>1.8061622999999999E-2</v>
      </c>
      <c r="N322">
        <f t="shared" si="53"/>
        <v>0</v>
      </c>
      <c r="O322">
        <v>1.9037069752812E-2</v>
      </c>
      <c r="P322">
        <f t="shared" si="54"/>
        <v>0</v>
      </c>
      <c r="Q322">
        <v>0.75418728599999996</v>
      </c>
      <c r="R322">
        <f t="shared" si="55"/>
        <v>1</v>
      </c>
      <c r="S322">
        <v>2.7483603917060001E-3</v>
      </c>
      <c r="T322">
        <f t="shared" si="51"/>
        <v>0</v>
      </c>
      <c r="U322" s="1">
        <v>0.40584037000000001</v>
      </c>
      <c r="V322">
        <v>0</v>
      </c>
      <c r="X322">
        <v>0</v>
      </c>
    </row>
    <row r="323" spans="1:24">
      <c r="A323" s="1">
        <v>0</v>
      </c>
      <c r="B323" s="1" t="s">
        <v>322</v>
      </c>
      <c r="C323" s="1">
        <v>0</v>
      </c>
      <c r="D323" s="33">
        <v>0</v>
      </c>
      <c r="E323" s="36">
        <v>0</v>
      </c>
      <c r="F323" s="37">
        <v>0</v>
      </c>
      <c r="G323">
        <v>0.230163127</v>
      </c>
      <c r="H323">
        <f t="shared" si="46"/>
        <v>0</v>
      </c>
      <c r="I323">
        <v>4.2344890534877999E-2</v>
      </c>
      <c r="J323">
        <f t="shared" si="47"/>
        <v>0</v>
      </c>
      <c r="K323">
        <v>0.47128778696060197</v>
      </c>
      <c r="L323">
        <f t="shared" si="52"/>
        <v>0</v>
      </c>
      <c r="M323">
        <v>4.6335100000000004E-3</v>
      </c>
      <c r="N323">
        <f t="shared" si="53"/>
        <v>0</v>
      </c>
      <c r="O323">
        <v>0.18841636180877699</v>
      </c>
      <c r="P323">
        <f t="shared" si="54"/>
        <v>0</v>
      </c>
      <c r="Q323">
        <v>0.29644948199999999</v>
      </c>
      <c r="R323">
        <f t="shared" si="55"/>
        <v>0</v>
      </c>
      <c r="S323">
        <v>1.8908965284899999E-4</v>
      </c>
      <c r="T323">
        <f t="shared" si="51"/>
        <v>0</v>
      </c>
      <c r="U323" s="1">
        <v>0.21479537000000001</v>
      </c>
      <c r="V323">
        <v>0</v>
      </c>
      <c r="X323">
        <v>0</v>
      </c>
    </row>
    <row r="324" spans="1:24">
      <c r="A324" s="1">
        <v>0</v>
      </c>
      <c r="B324" s="1" t="s">
        <v>323</v>
      </c>
      <c r="C324" s="1">
        <v>0</v>
      </c>
      <c r="D324" s="33">
        <v>1</v>
      </c>
      <c r="E324" s="36">
        <v>1</v>
      </c>
      <c r="F324" s="37">
        <v>0</v>
      </c>
      <c r="G324">
        <v>0.65563488000000003</v>
      </c>
      <c r="H324">
        <f t="shared" si="46"/>
        <v>1</v>
      </c>
      <c r="I324">
        <v>4.5427184551953999E-2</v>
      </c>
      <c r="J324">
        <f t="shared" si="47"/>
        <v>0</v>
      </c>
      <c r="K324">
        <v>1.0087753646076E-2</v>
      </c>
      <c r="L324">
        <f t="shared" si="52"/>
        <v>0</v>
      </c>
      <c r="M324" s="30">
        <v>7.9374254000000005E-2</v>
      </c>
      <c r="N324">
        <f t="shared" si="53"/>
        <v>0</v>
      </c>
      <c r="O324">
        <v>8.8324144482612998E-2</v>
      </c>
      <c r="P324">
        <f t="shared" si="54"/>
        <v>0</v>
      </c>
      <c r="Q324">
        <v>0.32738038899999999</v>
      </c>
      <c r="R324">
        <f t="shared" si="55"/>
        <v>0</v>
      </c>
      <c r="S324">
        <v>8.0174319446086995E-2</v>
      </c>
      <c r="T324">
        <f t="shared" si="51"/>
        <v>0</v>
      </c>
      <c r="U324" s="1">
        <v>0.34892040000000002</v>
      </c>
      <c r="V324">
        <v>0</v>
      </c>
      <c r="X324">
        <v>0</v>
      </c>
    </row>
    <row r="325" spans="1:24">
      <c r="A325" s="1">
        <v>0</v>
      </c>
      <c r="B325" s="1" t="s">
        <v>324</v>
      </c>
      <c r="C325" s="1">
        <v>0</v>
      </c>
      <c r="D325" s="33">
        <v>0</v>
      </c>
      <c r="E325" s="36">
        <v>0</v>
      </c>
      <c r="F325" s="37">
        <v>0</v>
      </c>
      <c r="G325">
        <v>0.12838713800000001</v>
      </c>
      <c r="H325">
        <f t="shared" si="46"/>
        <v>0</v>
      </c>
      <c r="I325">
        <v>3.3340933732690001E-3</v>
      </c>
      <c r="J325">
        <f t="shared" si="47"/>
        <v>0</v>
      </c>
      <c r="K325">
        <v>0.118027456104755</v>
      </c>
      <c r="L325">
        <f t="shared" ref="L325:L356" si="56">IF(K325&gt;$A$2,1,0)</f>
        <v>0</v>
      </c>
      <c r="M325">
        <v>0.15917156599999999</v>
      </c>
      <c r="N325">
        <f t="shared" ref="N325:N356" si="57">IF(M325&gt;$A$2,1,0)</f>
        <v>0</v>
      </c>
      <c r="O325">
        <v>6.0252621769905E-2</v>
      </c>
      <c r="P325">
        <f t="shared" ref="P325:P356" si="58">IF(O325&gt;$A$2,1,0)</f>
        <v>0</v>
      </c>
      <c r="Q325">
        <v>0.516057074</v>
      </c>
      <c r="R325">
        <f t="shared" ref="R325:R356" si="59">IF(Q325&gt;$A$2,1,0)</f>
        <v>1</v>
      </c>
      <c r="S325">
        <v>1.1284567415714E-2</v>
      </c>
      <c r="T325">
        <f t="shared" si="51"/>
        <v>0</v>
      </c>
      <c r="U325" s="1">
        <v>0.54911100000000002</v>
      </c>
      <c r="V325">
        <v>0</v>
      </c>
      <c r="X325">
        <v>0</v>
      </c>
    </row>
    <row r="326" spans="1:24">
      <c r="A326" s="1">
        <v>0</v>
      </c>
      <c r="B326" s="1" t="s">
        <v>325</v>
      </c>
      <c r="C326" s="1">
        <v>0</v>
      </c>
      <c r="D326" s="33">
        <v>0</v>
      </c>
      <c r="E326" s="36">
        <v>0</v>
      </c>
      <c r="F326" s="37">
        <v>0</v>
      </c>
      <c r="G326">
        <v>0.62824696300000005</v>
      </c>
      <c r="H326">
        <f t="shared" si="46"/>
        <v>1</v>
      </c>
      <c r="I326">
        <v>0.22046966850757599</v>
      </c>
      <c r="J326">
        <f t="shared" si="47"/>
        <v>0</v>
      </c>
      <c r="K326">
        <v>0.30938774347305298</v>
      </c>
      <c r="L326">
        <f t="shared" si="56"/>
        <v>0</v>
      </c>
      <c r="M326">
        <v>0.20440124000000001</v>
      </c>
      <c r="N326">
        <f t="shared" si="57"/>
        <v>0</v>
      </c>
      <c r="O326">
        <v>0.10767351090908001</v>
      </c>
      <c r="P326">
        <f t="shared" si="58"/>
        <v>0</v>
      </c>
      <c r="Q326">
        <v>0.50214916499999995</v>
      </c>
      <c r="R326">
        <f t="shared" si="59"/>
        <v>1</v>
      </c>
      <c r="S326">
        <v>0.34419891238212602</v>
      </c>
      <c r="T326">
        <f t="shared" si="51"/>
        <v>0</v>
      </c>
      <c r="U326" s="1">
        <v>0.57264150000000003</v>
      </c>
      <c r="V326">
        <v>0</v>
      </c>
      <c r="X326">
        <v>0</v>
      </c>
    </row>
    <row r="327" spans="1:24">
      <c r="A327" s="1">
        <v>0</v>
      </c>
      <c r="B327" s="1" t="s">
        <v>326</v>
      </c>
      <c r="C327" s="1">
        <v>0</v>
      </c>
      <c r="D327" s="33">
        <v>0</v>
      </c>
      <c r="E327" s="36">
        <v>0</v>
      </c>
      <c r="F327" s="37">
        <v>0</v>
      </c>
      <c r="G327" s="30">
        <v>5.8002158999999998E-2</v>
      </c>
      <c r="H327">
        <f t="shared" si="46"/>
        <v>0</v>
      </c>
      <c r="I327">
        <v>2.5200394447889999E-3</v>
      </c>
      <c r="J327">
        <f t="shared" si="47"/>
        <v>0</v>
      </c>
      <c r="K327">
        <v>1.6282798722385999E-2</v>
      </c>
      <c r="L327">
        <f t="shared" si="56"/>
        <v>0</v>
      </c>
      <c r="M327">
        <v>2.2522204000000001E-2</v>
      </c>
      <c r="N327">
        <f t="shared" si="57"/>
        <v>0</v>
      </c>
      <c r="O327">
        <v>6.6157062537969998E-3</v>
      </c>
      <c r="P327">
        <f t="shared" si="58"/>
        <v>0</v>
      </c>
      <c r="Q327">
        <v>0.30537343</v>
      </c>
      <c r="R327">
        <f t="shared" si="59"/>
        <v>0</v>
      </c>
      <c r="S327">
        <v>6.0254689306019999E-3</v>
      </c>
      <c r="T327">
        <f t="shared" si="51"/>
        <v>0</v>
      </c>
      <c r="U327" s="1">
        <v>0.37642977</v>
      </c>
      <c r="V327">
        <v>0</v>
      </c>
      <c r="X327">
        <v>0</v>
      </c>
    </row>
    <row r="328" spans="1:24">
      <c r="A328" s="1">
        <v>0</v>
      </c>
      <c r="B328" s="1" t="s">
        <v>327</v>
      </c>
      <c r="C328" s="1">
        <v>0</v>
      </c>
      <c r="D328" s="33">
        <v>0</v>
      </c>
      <c r="E328" s="36">
        <v>0</v>
      </c>
      <c r="F328" s="37">
        <v>0</v>
      </c>
      <c r="G328">
        <v>0.65702647000000003</v>
      </c>
      <c r="H328">
        <f t="shared" si="46"/>
        <v>1</v>
      </c>
      <c r="I328">
        <v>0.90210068225860596</v>
      </c>
      <c r="J328">
        <f t="shared" si="47"/>
        <v>1</v>
      </c>
      <c r="K328">
        <v>0.89263892173767101</v>
      </c>
      <c r="L328">
        <f t="shared" si="56"/>
        <v>1</v>
      </c>
      <c r="M328">
        <v>0.55469703699999995</v>
      </c>
      <c r="N328">
        <f t="shared" si="57"/>
        <v>1</v>
      </c>
      <c r="O328">
        <v>0.28732305765152</v>
      </c>
      <c r="P328">
        <f t="shared" si="58"/>
        <v>0</v>
      </c>
      <c r="Q328">
        <v>0.67291033300000003</v>
      </c>
      <c r="R328">
        <f t="shared" si="59"/>
        <v>1</v>
      </c>
      <c r="S328">
        <v>4.676342010498E-3</v>
      </c>
      <c r="T328">
        <f t="shared" si="51"/>
        <v>0</v>
      </c>
      <c r="U328" s="1">
        <v>0.54409719999999995</v>
      </c>
      <c r="V328">
        <v>0</v>
      </c>
      <c r="X328">
        <v>0</v>
      </c>
    </row>
    <row r="329" spans="1:24">
      <c r="A329" s="1">
        <v>0</v>
      </c>
      <c r="B329" s="1" t="s">
        <v>328</v>
      </c>
      <c r="C329" s="1">
        <v>0</v>
      </c>
      <c r="D329" s="33">
        <v>0</v>
      </c>
      <c r="E329" s="36">
        <v>0</v>
      </c>
      <c r="F329" s="37">
        <v>0</v>
      </c>
      <c r="G329" s="30">
        <v>9.4568450000000002E-3</v>
      </c>
      <c r="H329">
        <f t="shared" si="46"/>
        <v>0</v>
      </c>
      <c r="I329" s="30">
        <v>5.3926988039199996E-4</v>
      </c>
      <c r="J329">
        <f t="shared" si="47"/>
        <v>0</v>
      </c>
      <c r="K329" s="30">
        <v>3.6688381806020002E-3</v>
      </c>
      <c r="L329">
        <f t="shared" si="56"/>
        <v>0</v>
      </c>
      <c r="M329">
        <v>5.4982700000000002E-4</v>
      </c>
      <c r="N329">
        <f t="shared" si="57"/>
        <v>0</v>
      </c>
      <c r="O329">
        <v>1.0086553171276999E-2</v>
      </c>
      <c r="P329">
        <f t="shared" si="58"/>
        <v>0</v>
      </c>
      <c r="Q329" s="30">
        <v>2.6062155E-2</v>
      </c>
      <c r="R329">
        <f t="shared" si="59"/>
        <v>0</v>
      </c>
      <c r="S329">
        <v>1.9900533370670001E-3</v>
      </c>
      <c r="T329">
        <f t="shared" si="51"/>
        <v>0</v>
      </c>
      <c r="U329" s="1">
        <v>0.20683446999999999</v>
      </c>
      <c r="V329">
        <v>0</v>
      </c>
      <c r="X329">
        <v>0</v>
      </c>
    </row>
    <row r="330" spans="1:24">
      <c r="A330" s="1">
        <v>0</v>
      </c>
      <c r="B330" s="1" t="s">
        <v>329</v>
      </c>
      <c r="C330" s="1">
        <v>0</v>
      </c>
      <c r="D330" s="33">
        <v>0</v>
      </c>
      <c r="E330" s="36">
        <v>0</v>
      </c>
      <c r="F330" s="37">
        <v>0</v>
      </c>
      <c r="G330" s="30">
        <v>3.6738615000000002E-2</v>
      </c>
      <c r="H330">
        <f t="shared" si="46"/>
        <v>0</v>
      </c>
      <c r="I330" s="30">
        <v>4.7920990735292997E-2</v>
      </c>
      <c r="J330">
        <f t="shared" si="47"/>
        <v>0</v>
      </c>
      <c r="K330">
        <v>1.7124623060226999E-2</v>
      </c>
      <c r="L330">
        <f t="shared" si="56"/>
        <v>0</v>
      </c>
      <c r="M330">
        <v>8.4048399999999996E-4</v>
      </c>
      <c r="N330">
        <f t="shared" si="57"/>
        <v>0</v>
      </c>
      <c r="O330">
        <v>1.3780056498945E-2</v>
      </c>
      <c r="P330">
        <f t="shared" si="58"/>
        <v>0</v>
      </c>
      <c r="Q330">
        <v>0.292303115</v>
      </c>
      <c r="R330">
        <f t="shared" si="59"/>
        <v>0</v>
      </c>
      <c r="S330">
        <v>5.0735096447169998E-3</v>
      </c>
      <c r="T330">
        <f t="shared" si="51"/>
        <v>0</v>
      </c>
      <c r="U330" s="1">
        <v>0.18477377</v>
      </c>
      <c r="V330">
        <v>0</v>
      </c>
      <c r="X330">
        <v>0</v>
      </c>
    </row>
    <row r="331" spans="1:24">
      <c r="A331" s="1">
        <v>0</v>
      </c>
      <c r="B331" s="5" t="s">
        <v>330</v>
      </c>
      <c r="C331" s="1">
        <v>0</v>
      </c>
      <c r="D331" s="33">
        <v>0</v>
      </c>
      <c r="E331" s="36">
        <v>0</v>
      </c>
      <c r="F331" s="37">
        <v>0</v>
      </c>
      <c r="G331" s="30">
        <v>1.4480791E-2</v>
      </c>
      <c r="H331">
        <f t="shared" si="46"/>
        <v>0</v>
      </c>
      <c r="I331" s="30">
        <v>1.5186987817288E-2</v>
      </c>
      <c r="J331">
        <f t="shared" si="47"/>
        <v>0</v>
      </c>
      <c r="K331">
        <v>3.839874640107E-3</v>
      </c>
      <c r="L331">
        <f t="shared" si="56"/>
        <v>0</v>
      </c>
      <c r="M331">
        <v>1.6686489999999999E-3</v>
      </c>
      <c r="N331">
        <f t="shared" si="57"/>
        <v>0</v>
      </c>
      <c r="O331">
        <v>9.1711003333329998E-3</v>
      </c>
      <c r="P331">
        <f t="shared" si="58"/>
        <v>0</v>
      </c>
      <c r="Q331">
        <v>0.21424607900000001</v>
      </c>
      <c r="R331">
        <f t="shared" si="59"/>
        <v>0</v>
      </c>
      <c r="S331">
        <v>6.4182733185589999E-3</v>
      </c>
      <c r="T331">
        <f t="shared" si="51"/>
        <v>0</v>
      </c>
      <c r="U331" s="5">
        <v>0.11076237</v>
      </c>
      <c r="V331">
        <v>0</v>
      </c>
      <c r="X331">
        <v>0</v>
      </c>
    </row>
    <row r="332" spans="1:24">
      <c r="A332" s="1">
        <v>0</v>
      </c>
      <c r="B332" s="1" t="s">
        <v>331</v>
      </c>
      <c r="C332" s="1">
        <v>0</v>
      </c>
      <c r="D332" s="33">
        <v>0</v>
      </c>
      <c r="E332" s="36">
        <v>0</v>
      </c>
      <c r="F332" s="37">
        <v>0</v>
      </c>
      <c r="G332" s="30">
        <v>1.6597085000000001E-2</v>
      </c>
      <c r="H332">
        <f t="shared" si="46"/>
        <v>0</v>
      </c>
      <c r="I332" s="30">
        <v>1.80073489901E-4</v>
      </c>
      <c r="J332">
        <f t="shared" si="47"/>
        <v>0</v>
      </c>
      <c r="K332" s="30">
        <v>2.0297695882620002E-3</v>
      </c>
      <c r="L332">
        <f t="shared" si="56"/>
        <v>0</v>
      </c>
      <c r="M332">
        <v>3.12744E-4</v>
      </c>
      <c r="N332">
        <f t="shared" si="57"/>
        <v>0</v>
      </c>
      <c r="O332">
        <v>2.8959268238400002E-3</v>
      </c>
      <c r="P332">
        <f t="shared" si="58"/>
        <v>0</v>
      </c>
      <c r="Q332" s="30">
        <v>4.5760694999999997E-2</v>
      </c>
      <c r="R332">
        <f t="shared" si="59"/>
        <v>0</v>
      </c>
      <c r="S332" s="30">
        <v>2.5112176444963599E-5</v>
      </c>
      <c r="T332">
        <f t="shared" si="51"/>
        <v>0</v>
      </c>
      <c r="U332" s="1">
        <v>8.8903919999999997E-2</v>
      </c>
      <c r="V332">
        <v>0</v>
      </c>
      <c r="X332">
        <v>0</v>
      </c>
    </row>
    <row r="333" spans="1:24">
      <c r="A333" s="1">
        <v>0</v>
      </c>
      <c r="B333" s="1" t="s">
        <v>332</v>
      </c>
      <c r="C333" s="1">
        <v>0</v>
      </c>
      <c r="D333" s="33">
        <v>0</v>
      </c>
      <c r="E333" s="36">
        <v>0</v>
      </c>
      <c r="F333" s="37">
        <v>0</v>
      </c>
      <c r="G333" s="30">
        <v>0.45814183400000003</v>
      </c>
      <c r="H333">
        <f t="shared" si="46"/>
        <v>0</v>
      </c>
      <c r="I333">
        <v>0.464567691087723</v>
      </c>
      <c r="J333">
        <f t="shared" si="47"/>
        <v>0</v>
      </c>
      <c r="K333">
        <v>0.21136303246021301</v>
      </c>
      <c r="L333">
        <f t="shared" si="56"/>
        <v>0</v>
      </c>
      <c r="M333">
        <v>7.6538987000000003E-2</v>
      </c>
      <c r="N333">
        <f t="shared" si="57"/>
        <v>0</v>
      </c>
      <c r="O333">
        <v>0.12536098062992099</v>
      </c>
      <c r="P333">
        <f t="shared" si="58"/>
        <v>0</v>
      </c>
      <c r="Q333">
        <v>0.23678342999999999</v>
      </c>
      <c r="R333">
        <f t="shared" si="59"/>
        <v>0</v>
      </c>
      <c r="S333">
        <v>7.0481598377228005E-2</v>
      </c>
      <c r="T333">
        <f t="shared" si="51"/>
        <v>0</v>
      </c>
      <c r="U333" s="1">
        <v>0.39298256999999998</v>
      </c>
      <c r="V333">
        <v>0</v>
      </c>
      <c r="X333">
        <v>0</v>
      </c>
    </row>
    <row r="334" spans="1:24">
      <c r="A334" s="1">
        <v>0</v>
      </c>
      <c r="B334" s="1" t="s">
        <v>333</v>
      </c>
      <c r="C334" s="1">
        <v>0</v>
      </c>
      <c r="D334" s="33">
        <v>0</v>
      </c>
      <c r="E334" s="36">
        <v>0</v>
      </c>
      <c r="F334" s="37">
        <v>0</v>
      </c>
      <c r="G334">
        <v>0.114071645</v>
      </c>
      <c r="H334">
        <f t="shared" si="46"/>
        <v>0</v>
      </c>
      <c r="I334">
        <v>5.4528206586837998E-2</v>
      </c>
      <c r="J334">
        <f t="shared" si="47"/>
        <v>0</v>
      </c>
      <c r="K334">
        <v>9.1824434697627993E-2</v>
      </c>
      <c r="L334">
        <f t="shared" si="56"/>
        <v>0</v>
      </c>
      <c r="M334">
        <v>0.102992773</v>
      </c>
      <c r="N334">
        <f t="shared" si="57"/>
        <v>0</v>
      </c>
      <c r="O334">
        <v>9.1134481132031001E-2</v>
      </c>
      <c r="P334">
        <f t="shared" si="58"/>
        <v>0</v>
      </c>
      <c r="Q334">
        <v>0.13901642</v>
      </c>
      <c r="R334">
        <f t="shared" si="59"/>
        <v>0</v>
      </c>
      <c r="S334">
        <v>3.0350530520081999E-2</v>
      </c>
      <c r="T334">
        <f t="shared" si="51"/>
        <v>0</v>
      </c>
      <c r="U334" s="1">
        <v>0.27867845000000002</v>
      </c>
      <c r="V334">
        <v>0</v>
      </c>
      <c r="X334">
        <v>0</v>
      </c>
    </row>
    <row r="335" spans="1:24">
      <c r="A335" s="1">
        <v>0</v>
      </c>
      <c r="B335" s="1" t="s">
        <v>334</v>
      </c>
      <c r="C335" s="1">
        <v>0</v>
      </c>
      <c r="D335" s="33">
        <v>0</v>
      </c>
      <c r="E335" s="36">
        <v>0</v>
      </c>
      <c r="F335" s="37">
        <v>0</v>
      </c>
      <c r="G335" s="30">
        <v>3.212313E-2</v>
      </c>
      <c r="H335">
        <f t="shared" si="46"/>
        <v>0</v>
      </c>
      <c r="I335" s="30">
        <v>1.3353684917090001E-3</v>
      </c>
      <c r="J335">
        <f t="shared" si="47"/>
        <v>0</v>
      </c>
      <c r="K335" s="30">
        <v>3.0298295314400001E-4</v>
      </c>
      <c r="L335">
        <f t="shared" si="56"/>
        <v>0</v>
      </c>
      <c r="M335" s="30">
        <v>7.2451899999999998E-6</v>
      </c>
      <c r="N335">
        <f t="shared" si="57"/>
        <v>0</v>
      </c>
      <c r="O335" s="30">
        <v>1.133112935349E-3</v>
      </c>
      <c r="P335">
        <f t="shared" si="58"/>
        <v>0</v>
      </c>
      <c r="Q335" s="30">
        <v>3.1341637999999998E-2</v>
      </c>
      <c r="R335">
        <f t="shared" si="59"/>
        <v>0</v>
      </c>
      <c r="S335">
        <v>1.68622194906E-4</v>
      </c>
      <c r="T335">
        <f t="shared" si="51"/>
        <v>0</v>
      </c>
      <c r="U335" s="1">
        <v>0.15052368999999999</v>
      </c>
      <c r="V335">
        <v>0</v>
      </c>
      <c r="X335">
        <v>0</v>
      </c>
    </row>
    <row r="336" spans="1:24">
      <c r="A336" s="1">
        <v>1</v>
      </c>
      <c r="B336" s="1" t="s">
        <v>335</v>
      </c>
      <c r="C336" s="1">
        <v>1</v>
      </c>
      <c r="D336" s="33">
        <v>1</v>
      </c>
      <c r="E336" s="37">
        <v>1</v>
      </c>
      <c r="F336" s="37">
        <v>1</v>
      </c>
      <c r="G336">
        <v>0.70241242599999998</v>
      </c>
      <c r="H336">
        <f t="shared" si="46"/>
        <v>1</v>
      </c>
      <c r="I336">
        <v>0.34927999973297102</v>
      </c>
      <c r="J336">
        <f t="shared" si="47"/>
        <v>0</v>
      </c>
      <c r="K336">
        <v>0.538882076740265</v>
      </c>
      <c r="L336">
        <f t="shared" si="56"/>
        <v>1</v>
      </c>
      <c r="M336">
        <v>0.19706963</v>
      </c>
      <c r="N336">
        <f t="shared" si="57"/>
        <v>0</v>
      </c>
      <c r="O336">
        <v>0.73868733644485496</v>
      </c>
      <c r="P336">
        <f t="shared" si="58"/>
        <v>1</v>
      </c>
      <c r="Q336">
        <v>0.20389041299999999</v>
      </c>
      <c r="R336">
        <f t="shared" si="59"/>
        <v>0</v>
      </c>
      <c r="S336">
        <v>0.95126980543136597</v>
      </c>
      <c r="T336">
        <f t="shared" si="51"/>
        <v>1</v>
      </c>
      <c r="U336" s="1">
        <v>0.43651180000000001</v>
      </c>
      <c r="V336">
        <v>0</v>
      </c>
      <c r="X336">
        <v>0</v>
      </c>
    </row>
    <row r="337" spans="1:24">
      <c r="A337" s="1">
        <v>1</v>
      </c>
      <c r="B337" s="1" t="s">
        <v>336</v>
      </c>
      <c r="C337" s="1">
        <v>1</v>
      </c>
      <c r="D337" s="33">
        <v>0</v>
      </c>
      <c r="E337" s="36">
        <v>1</v>
      </c>
      <c r="F337" s="37">
        <v>1</v>
      </c>
      <c r="G337">
        <v>0.774955273</v>
      </c>
      <c r="H337">
        <f t="shared" si="46"/>
        <v>1</v>
      </c>
      <c r="I337">
        <v>0.90629041194915805</v>
      </c>
      <c r="J337">
        <f t="shared" si="47"/>
        <v>1</v>
      </c>
      <c r="K337">
        <v>0.89125621318817105</v>
      </c>
      <c r="L337">
        <f t="shared" si="56"/>
        <v>1</v>
      </c>
      <c r="M337">
        <v>0.51636248799999995</v>
      </c>
      <c r="N337">
        <f t="shared" si="57"/>
        <v>1</v>
      </c>
      <c r="O337">
        <v>0.56338405609130904</v>
      </c>
      <c r="P337">
        <f t="shared" si="58"/>
        <v>1</v>
      </c>
      <c r="Q337">
        <v>0.351592511</v>
      </c>
      <c r="R337">
        <f t="shared" si="59"/>
        <v>0</v>
      </c>
      <c r="S337">
        <v>0.27327853441238398</v>
      </c>
      <c r="T337">
        <f t="shared" si="51"/>
        <v>0</v>
      </c>
      <c r="U337" s="1">
        <v>0.57475810000000005</v>
      </c>
      <c r="V337">
        <v>0</v>
      </c>
      <c r="X337">
        <v>0</v>
      </c>
    </row>
    <row r="338" spans="1:24">
      <c r="A338" s="1">
        <v>1</v>
      </c>
      <c r="B338" s="1" t="s">
        <v>337</v>
      </c>
      <c r="C338" s="1">
        <v>1</v>
      </c>
      <c r="D338" s="33">
        <v>1</v>
      </c>
      <c r="E338" s="37">
        <v>1</v>
      </c>
      <c r="F338" s="37">
        <v>1</v>
      </c>
      <c r="G338">
        <v>0.67010152300000003</v>
      </c>
      <c r="H338">
        <f t="shared" si="46"/>
        <v>1</v>
      </c>
      <c r="I338">
        <v>0.99095517396926902</v>
      </c>
      <c r="J338">
        <f t="shared" si="47"/>
        <v>1</v>
      </c>
      <c r="K338">
        <v>0.29239687323570301</v>
      </c>
      <c r="L338">
        <f t="shared" si="56"/>
        <v>0</v>
      </c>
      <c r="M338">
        <v>0.97831684399999996</v>
      </c>
      <c r="N338">
        <f t="shared" si="57"/>
        <v>1</v>
      </c>
      <c r="O338">
        <v>0.82400715351104703</v>
      </c>
      <c r="P338">
        <f t="shared" si="58"/>
        <v>1</v>
      </c>
      <c r="Q338">
        <v>0.58781588100000004</v>
      </c>
      <c r="R338">
        <f t="shared" si="59"/>
        <v>1</v>
      </c>
      <c r="S338">
        <v>0.96038913726806596</v>
      </c>
      <c r="T338">
        <f t="shared" si="51"/>
        <v>1</v>
      </c>
      <c r="U338" s="1">
        <v>0.6856392</v>
      </c>
      <c r="V338">
        <v>1</v>
      </c>
      <c r="X338">
        <v>0</v>
      </c>
    </row>
    <row r="339" spans="1:24">
      <c r="A339" s="1">
        <v>1</v>
      </c>
      <c r="B339" s="1" t="s">
        <v>338</v>
      </c>
      <c r="C339" s="1">
        <v>1</v>
      </c>
      <c r="D339" s="33">
        <v>1</v>
      </c>
      <c r="E339" s="37">
        <v>1</v>
      </c>
      <c r="F339" s="37">
        <v>1</v>
      </c>
      <c r="G339">
        <v>0.986368358</v>
      </c>
      <c r="H339">
        <f t="shared" si="46"/>
        <v>1</v>
      </c>
      <c r="I339">
        <v>0.99995243549346902</v>
      </c>
      <c r="J339">
        <f t="shared" si="47"/>
        <v>1</v>
      </c>
      <c r="K339">
        <v>0.99891972541809104</v>
      </c>
      <c r="L339">
        <f t="shared" si="56"/>
        <v>1</v>
      </c>
      <c r="M339">
        <v>0.99272102100000004</v>
      </c>
      <c r="N339">
        <f t="shared" si="57"/>
        <v>1</v>
      </c>
      <c r="O339">
        <v>0.99834454059600797</v>
      </c>
      <c r="P339">
        <f t="shared" si="58"/>
        <v>1</v>
      </c>
      <c r="Q339">
        <v>0.56269562200000001</v>
      </c>
      <c r="R339">
        <f t="shared" si="59"/>
        <v>1</v>
      </c>
      <c r="S339">
        <v>0.99950993061065696</v>
      </c>
      <c r="T339">
        <f t="shared" si="51"/>
        <v>1</v>
      </c>
      <c r="U339" s="1">
        <v>0.76083780000000001</v>
      </c>
      <c r="V339">
        <v>1</v>
      </c>
      <c r="X339">
        <v>0</v>
      </c>
    </row>
    <row r="340" spans="1:24">
      <c r="A340" s="1">
        <v>1</v>
      </c>
      <c r="B340" s="1" t="s">
        <v>339</v>
      </c>
      <c r="C340" s="1">
        <v>1</v>
      </c>
      <c r="D340" s="33">
        <v>1</v>
      </c>
      <c r="E340" s="37">
        <v>1</v>
      </c>
      <c r="F340" s="37">
        <v>1</v>
      </c>
      <c r="G340">
        <v>0.91896623399999999</v>
      </c>
      <c r="H340">
        <f t="shared" si="46"/>
        <v>1</v>
      </c>
      <c r="I340">
        <v>0.99970775842666604</v>
      </c>
      <c r="J340">
        <f t="shared" si="47"/>
        <v>1</v>
      </c>
      <c r="K340">
        <v>0.99607759714126598</v>
      </c>
      <c r="L340">
        <f t="shared" si="56"/>
        <v>1</v>
      </c>
      <c r="M340">
        <v>0.99626886800000003</v>
      </c>
      <c r="N340">
        <f t="shared" si="57"/>
        <v>1</v>
      </c>
      <c r="O340">
        <v>0.94686645269393899</v>
      </c>
      <c r="P340">
        <f t="shared" si="58"/>
        <v>1</v>
      </c>
      <c r="Q340">
        <v>0.63069075299999999</v>
      </c>
      <c r="R340">
        <f t="shared" si="59"/>
        <v>1</v>
      </c>
      <c r="S340">
        <v>0.99831092357635498</v>
      </c>
      <c r="T340">
        <f t="shared" si="51"/>
        <v>1</v>
      </c>
      <c r="U340" s="1">
        <v>0.71052059999999995</v>
      </c>
      <c r="V340">
        <v>1</v>
      </c>
      <c r="X340">
        <v>0</v>
      </c>
    </row>
    <row r="341" spans="1:24">
      <c r="A341" s="1">
        <v>1</v>
      </c>
      <c r="B341" s="1" t="s">
        <v>340</v>
      </c>
      <c r="C341" s="1">
        <v>1</v>
      </c>
      <c r="D341" s="33">
        <v>1</v>
      </c>
      <c r="E341" s="37">
        <v>1</v>
      </c>
      <c r="F341" s="37">
        <v>1</v>
      </c>
      <c r="G341">
        <v>0.98637574900000002</v>
      </c>
      <c r="H341">
        <f t="shared" si="46"/>
        <v>1</v>
      </c>
      <c r="I341">
        <v>0.99988210201263406</v>
      </c>
      <c r="J341">
        <f t="shared" si="47"/>
        <v>1</v>
      </c>
      <c r="K341">
        <v>0.99941396713256803</v>
      </c>
      <c r="L341">
        <f t="shared" si="56"/>
        <v>1</v>
      </c>
      <c r="M341">
        <v>0.99993634200000003</v>
      </c>
      <c r="N341">
        <f t="shared" si="57"/>
        <v>1</v>
      </c>
      <c r="O341">
        <v>0.97346693277358998</v>
      </c>
      <c r="P341">
        <f t="shared" si="58"/>
        <v>1</v>
      </c>
      <c r="Q341">
        <v>0.76697343600000001</v>
      </c>
      <c r="R341">
        <f t="shared" si="59"/>
        <v>1</v>
      </c>
      <c r="S341">
        <v>0.99984073638916005</v>
      </c>
      <c r="T341">
        <f t="shared" si="51"/>
        <v>1</v>
      </c>
      <c r="U341" s="1">
        <v>0.79116916999999998</v>
      </c>
      <c r="V341">
        <v>1</v>
      </c>
      <c r="X341">
        <v>0</v>
      </c>
    </row>
    <row r="342" spans="1:24">
      <c r="A342" s="1">
        <v>1</v>
      </c>
      <c r="B342" s="7" t="s">
        <v>341</v>
      </c>
      <c r="C342" s="1">
        <v>1</v>
      </c>
      <c r="D342" s="33">
        <v>0</v>
      </c>
      <c r="E342" s="37">
        <v>1</v>
      </c>
      <c r="F342" s="37">
        <v>1</v>
      </c>
      <c r="G342">
        <v>0.86125832800000002</v>
      </c>
      <c r="H342">
        <f t="shared" si="46"/>
        <v>1</v>
      </c>
      <c r="I342">
        <v>0.67039644718170199</v>
      </c>
      <c r="J342">
        <f t="shared" si="47"/>
        <v>1</v>
      </c>
      <c r="K342">
        <v>0.976118624210358</v>
      </c>
      <c r="L342">
        <f t="shared" si="56"/>
        <v>1</v>
      </c>
      <c r="M342">
        <v>0.84149819599999998</v>
      </c>
      <c r="N342">
        <f t="shared" si="57"/>
        <v>1</v>
      </c>
      <c r="O342">
        <v>0.91296088695526101</v>
      </c>
      <c r="P342">
        <f t="shared" si="58"/>
        <v>1</v>
      </c>
      <c r="Q342">
        <v>0.71025711300000005</v>
      </c>
      <c r="R342">
        <f t="shared" si="59"/>
        <v>1</v>
      </c>
      <c r="S342">
        <v>0.96801245212554898</v>
      </c>
      <c r="T342">
        <f t="shared" si="51"/>
        <v>1</v>
      </c>
      <c r="U342" s="7">
        <v>0.7155861</v>
      </c>
      <c r="V342">
        <v>1</v>
      </c>
      <c r="X342">
        <v>1</v>
      </c>
    </row>
    <row r="343" spans="1:24">
      <c r="A343" s="1">
        <v>1</v>
      </c>
      <c r="B343" s="1" t="s">
        <v>342</v>
      </c>
      <c r="C343" s="1">
        <v>1</v>
      </c>
      <c r="D343" s="33">
        <v>1</v>
      </c>
      <c r="E343" s="37">
        <v>1</v>
      </c>
      <c r="F343" s="37">
        <v>1</v>
      </c>
      <c r="G343">
        <v>0.91380065700000002</v>
      </c>
      <c r="H343">
        <f t="shared" si="46"/>
        <v>1</v>
      </c>
      <c r="I343">
        <v>0.99995183944702204</v>
      </c>
      <c r="J343">
        <f t="shared" si="47"/>
        <v>1</v>
      </c>
      <c r="K343">
        <v>0.99871242046356201</v>
      </c>
      <c r="L343">
        <f t="shared" si="56"/>
        <v>1</v>
      </c>
      <c r="M343">
        <v>0.99923825300000002</v>
      </c>
      <c r="N343">
        <f t="shared" si="57"/>
        <v>1</v>
      </c>
      <c r="O343">
        <v>0.93974477052688599</v>
      </c>
      <c r="P343">
        <f t="shared" si="58"/>
        <v>1</v>
      </c>
      <c r="Q343">
        <v>0.79283815599999996</v>
      </c>
      <c r="R343">
        <f t="shared" si="59"/>
        <v>1</v>
      </c>
      <c r="S343">
        <v>0.99748516082763705</v>
      </c>
      <c r="T343">
        <f t="shared" si="51"/>
        <v>1</v>
      </c>
      <c r="U343" s="1">
        <v>0.77523076999999996</v>
      </c>
      <c r="V343">
        <v>1</v>
      </c>
      <c r="X343">
        <v>0</v>
      </c>
    </row>
    <row r="344" spans="1:24">
      <c r="A344" s="1">
        <v>1</v>
      </c>
      <c r="B344" s="1" t="s">
        <v>343</v>
      </c>
      <c r="C344" s="1">
        <v>1</v>
      </c>
      <c r="D344" s="33">
        <v>0</v>
      </c>
      <c r="E344" s="37">
        <v>1</v>
      </c>
      <c r="F344" s="37">
        <v>1</v>
      </c>
      <c r="G344">
        <v>0.743887305</v>
      </c>
      <c r="H344">
        <f t="shared" ref="H344:H407" si="60">IF(G344&gt;$A$2,1,0)</f>
        <v>1</v>
      </c>
      <c r="I344">
        <v>0.99388712644577004</v>
      </c>
      <c r="J344">
        <f t="shared" ref="J344:J407" si="61">IF(I344&gt;$A$2,1,0)</f>
        <v>1</v>
      </c>
      <c r="K344">
        <v>0.82473355531692505</v>
      </c>
      <c r="L344">
        <f t="shared" si="56"/>
        <v>1</v>
      </c>
      <c r="M344">
        <v>0.727646291</v>
      </c>
      <c r="N344">
        <f t="shared" si="57"/>
        <v>1</v>
      </c>
      <c r="O344">
        <v>0.33796015381812999</v>
      </c>
      <c r="P344">
        <f t="shared" si="58"/>
        <v>0</v>
      </c>
      <c r="Q344">
        <v>0.62584763799999998</v>
      </c>
      <c r="R344">
        <f t="shared" si="59"/>
        <v>1</v>
      </c>
      <c r="S344">
        <v>0.92203539609909102</v>
      </c>
      <c r="T344">
        <f>IF(S344&gt;$A$2,1,0)</f>
        <v>1</v>
      </c>
      <c r="U344" s="1">
        <v>0.77214545000000001</v>
      </c>
      <c r="V344">
        <v>1</v>
      </c>
      <c r="X344">
        <v>0</v>
      </c>
    </row>
    <row r="345" spans="1:24">
      <c r="A345" s="1">
        <v>1</v>
      </c>
      <c r="B345" s="1" t="s">
        <v>344</v>
      </c>
      <c r="C345" s="1">
        <v>1</v>
      </c>
      <c r="D345" s="33">
        <v>1</v>
      </c>
      <c r="E345" s="37">
        <v>1</v>
      </c>
      <c r="F345" s="37">
        <v>1</v>
      </c>
      <c r="G345">
        <v>0.96750235600000001</v>
      </c>
      <c r="H345">
        <f t="shared" si="60"/>
        <v>1</v>
      </c>
      <c r="I345">
        <v>0.99628901481628396</v>
      </c>
      <c r="J345">
        <f t="shared" si="61"/>
        <v>1</v>
      </c>
      <c r="K345">
        <v>0.98649477958679199</v>
      </c>
      <c r="L345">
        <f t="shared" si="56"/>
        <v>1</v>
      </c>
      <c r="M345" s="30">
        <v>0.98700690300000005</v>
      </c>
      <c r="N345">
        <f t="shared" si="57"/>
        <v>1</v>
      </c>
      <c r="O345">
        <v>0.97959339618682895</v>
      </c>
      <c r="P345">
        <f t="shared" si="58"/>
        <v>1</v>
      </c>
      <c r="Q345">
        <v>0.88296097500000004</v>
      </c>
      <c r="R345">
        <f t="shared" si="59"/>
        <v>1</v>
      </c>
      <c r="S345">
        <v>0.99720793962478604</v>
      </c>
      <c r="T345">
        <f>IF(S345&gt;$A$2,1,0)</f>
        <v>1</v>
      </c>
      <c r="U345" s="1">
        <v>0.79403780000000002</v>
      </c>
      <c r="V345">
        <v>1</v>
      </c>
      <c r="X345">
        <v>0</v>
      </c>
    </row>
    <row r="346" spans="1:24">
      <c r="A346" s="1">
        <v>1</v>
      </c>
      <c r="B346" s="7" t="s">
        <v>345</v>
      </c>
      <c r="C346" s="1">
        <v>1</v>
      </c>
      <c r="D346" s="33">
        <v>1</v>
      </c>
      <c r="E346" s="37">
        <v>1</v>
      </c>
      <c r="F346" s="37">
        <v>1</v>
      </c>
      <c r="G346">
        <v>0.67472505599999999</v>
      </c>
      <c r="H346">
        <f t="shared" si="60"/>
        <v>1</v>
      </c>
      <c r="I346">
        <v>0.84751504659652699</v>
      </c>
      <c r="J346">
        <f t="shared" si="61"/>
        <v>1</v>
      </c>
      <c r="K346">
        <v>0.96423119306564298</v>
      </c>
      <c r="L346">
        <f t="shared" si="56"/>
        <v>1</v>
      </c>
      <c r="M346">
        <v>0.91872733799999995</v>
      </c>
      <c r="N346">
        <f t="shared" si="57"/>
        <v>1</v>
      </c>
      <c r="O346">
        <v>0.25332272052764898</v>
      </c>
      <c r="P346">
        <f t="shared" si="58"/>
        <v>0</v>
      </c>
      <c r="Q346">
        <v>0.554879487</v>
      </c>
      <c r="R346">
        <f t="shared" si="59"/>
        <v>1</v>
      </c>
      <c r="S346">
        <v>0.99284440279007002</v>
      </c>
      <c r="T346">
        <f t="shared" ref="T346:T407" si="62">IF(S346&gt;$A$2,1,0)</f>
        <v>1</v>
      </c>
      <c r="U346" s="7">
        <v>0.43695339999999999</v>
      </c>
      <c r="V346">
        <v>0</v>
      </c>
      <c r="X346">
        <v>1</v>
      </c>
    </row>
    <row r="347" spans="1:24">
      <c r="A347" s="1">
        <v>1</v>
      </c>
      <c r="B347" s="1" t="s">
        <v>346</v>
      </c>
      <c r="C347" s="1">
        <v>1</v>
      </c>
      <c r="D347" s="33">
        <v>1</v>
      </c>
      <c r="E347" s="37">
        <v>1</v>
      </c>
      <c r="F347" s="37">
        <v>1</v>
      </c>
      <c r="G347">
        <v>0.97811126699999995</v>
      </c>
      <c r="H347">
        <f t="shared" si="60"/>
        <v>1</v>
      </c>
      <c r="I347">
        <v>0.99750453233718905</v>
      </c>
      <c r="J347">
        <f t="shared" si="61"/>
        <v>1</v>
      </c>
      <c r="K347">
        <v>0.99952888488769498</v>
      </c>
      <c r="L347">
        <f t="shared" si="56"/>
        <v>1</v>
      </c>
      <c r="M347">
        <v>0.99416935399999995</v>
      </c>
      <c r="N347">
        <f t="shared" si="57"/>
        <v>1</v>
      </c>
      <c r="O347">
        <v>0.96178817749023404</v>
      </c>
      <c r="P347">
        <f t="shared" si="58"/>
        <v>1</v>
      </c>
      <c r="Q347">
        <v>0.67314922799999999</v>
      </c>
      <c r="R347">
        <f t="shared" si="59"/>
        <v>1</v>
      </c>
      <c r="S347">
        <v>0.99812489748001099</v>
      </c>
      <c r="T347">
        <f t="shared" si="62"/>
        <v>1</v>
      </c>
      <c r="U347" s="1">
        <v>0.75238996999999996</v>
      </c>
      <c r="V347">
        <v>1</v>
      </c>
      <c r="X347">
        <v>0</v>
      </c>
    </row>
    <row r="348" spans="1:24">
      <c r="A348" s="1">
        <v>1</v>
      </c>
      <c r="B348" s="1" t="s">
        <v>347</v>
      </c>
      <c r="C348" s="1">
        <v>1</v>
      </c>
      <c r="D348" s="33">
        <v>1</v>
      </c>
      <c r="E348" s="37">
        <v>1</v>
      </c>
      <c r="F348" s="37">
        <v>1</v>
      </c>
      <c r="G348">
        <v>0.78228569000000003</v>
      </c>
      <c r="H348">
        <f t="shared" si="60"/>
        <v>1</v>
      </c>
      <c r="I348">
        <v>0.96915441751480103</v>
      </c>
      <c r="J348">
        <f t="shared" si="61"/>
        <v>1</v>
      </c>
      <c r="K348">
        <v>0.94309651851653997</v>
      </c>
      <c r="L348">
        <f t="shared" si="56"/>
        <v>1</v>
      </c>
      <c r="M348">
        <v>0.99458545399999998</v>
      </c>
      <c r="N348">
        <f t="shared" si="57"/>
        <v>1</v>
      </c>
      <c r="O348">
        <v>0.96999645233154297</v>
      </c>
      <c r="P348">
        <f t="shared" si="58"/>
        <v>1</v>
      </c>
      <c r="Q348">
        <v>0.88813215499999998</v>
      </c>
      <c r="R348">
        <f t="shared" si="59"/>
        <v>1</v>
      </c>
      <c r="S348">
        <v>0.999791920185089</v>
      </c>
      <c r="T348">
        <f t="shared" si="62"/>
        <v>1</v>
      </c>
      <c r="U348" s="1">
        <v>0.70749574999999998</v>
      </c>
      <c r="V348">
        <v>1</v>
      </c>
      <c r="X348">
        <v>0</v>
      </c>
    </row>
    <row r="349" spans="1:24">
      <c r="A349" s="1">
        <v>1</v>
      </c>
      <c r="B349" s="1" t="s">
        <v>348</v>
      </c>
      <c r="C349" s="1">
        <v>1</v>
      </c>
      <c r="D349" s="33">
        <v>1</v>
      </c>
      <c r="E349" s="37">
        <v>1</v>
      </c>
      <c r="F349" s="37">
        <v>1</v>
      </c>
      <c r="G349">
        <v>0.90370351100000001</v>
      </c>
      <c r="H349">
        <f t="shared" si="60"/>
        <v>1</v>
      </c>
      <c r="I349">
        <v>0.94925928115844704</v>
      </c>
      <c r="J349">
        <f t="shared" si="61"/>
        <v>1</v>
      </c>
      <c r="K349">
        <v>0.81910479068756104</v>
      </c>
      <c r="L349">
        <f t="shared" si="56"/>
        <v>1</v>
      </c>
      <c r="M349">
        <v>0.98831903899999995</v>
      </c>
      <c r="N349">
        <f t="shared" si="57"/>
        <v>1</v>
      </c>
      <c r="O349">
        <v>0.70809680223464999</v>
      </c>
      <c r="P349">
        <f t="shared" si="58"/>
        <v>1</v>
      </c>
      <c r="Q349">
        <v>0.60055029400000004</v>
      </c>
      <c r="R349">
        <f t="shared" si="59"/>
        <v>1</v>
      </c>
      <c r="S349">
        <v>0.89924031496047996</v>
      </c>
      <c r="T349">
        <f t="shared" si="62"/>
        <v>1</v>
      </c>
      <c r="U349" s="1">
        <v>0.61547070000000004</v>
      </c>
      <c r="V349">
        <v>1</v>
      </c>
      <c r="X349">
        <v>0</v>
      </c>
    </row>
    <row r="350" spans="1:24">
      <c r="A350" s="80">
        <v>1</v>
      </c>
      <c r="B350" s="1" t="s">
        <v>349</v>
      </c>
      <c r="C350" s="1">
        <v>1</v>
      </c>
      <c r="D350" s="33">
        <v>0</v>
      </c>
      <c r="E350" s="36">
        <v>0</v>
      </c>
      <c r="F350" s="37">
        <v>0</v>
      </c>
      <c r="G350" s="30">
        <v>0.85117912299999998</v>
      </c>
      <c r="H350">
        <f t="shared" si="60"/>
        <v>1</v>
      </c>
      <c r="I350">
        <v>0.99502950906753496</v>
      </c>
      <c r="J350">
        <f t="shared" si="61"/>
        <v>1</v>
      </c>
      <c r="K350">
        <v>0.95593458414077803</v>
      </c>
      <c r="L350">
        <f t="shared" si="56"/>
        <v>1</v>
      </c>
      <c r="M350" s="30">
        <v>0.99839043599999999</v>
      </c>
      <c r="N350">
        <f t="shared" si="57"/>
        <v>1</v>
      </c>
      <c r="O350">
        <v>0.93509298563003496</v>
      </c>
      <c r="P350">
        <f t="shared" si="58"/>
        <v>1</v>
      </c>
      <c r="Q350">
        <v>0.55657726500000004</v>
      </c>
      <c r="R350">
        <f t="shared" si="59"/>
        <v>1</v>
      </c>
      <c r="S350">
        <v>0.99988281726837203</v>
      </c>
      <c r="T350">
        <f t="shared" si="62"/>
        <v>1</v>
      </c>
      <c r="U350" s="1">
        <v>0.75266</v>
      </c>
      <c r="V350">
        <v>1</v>
      </c>
      <c r="X350">
        <v>0</v>
      </c>
    </row>
    <row r="351" spans="1:24">
      <c r="A351" s="1">
        <v>1</v>
      </c>
      <c r="B351" s="1" t="s">
        <v>350</v>
      </c>
      <c r="C351" s="1">
        <v>1</v>
      </c>
      <c r="D351" s="33">
        <v>0</v>
      </c>
      <c r="E351" s="36">
        <v>0</v>
      </c>
      <c r="F351" s="37">
        <v>1</v>
      </c>
      <c r="G351">
        <v>0.52851360999999997</v>
      </c>
      <c r="H351">
        <f t="shared" si="60"/>
        <v>1</v>
      </c>
      <c r="I351">
        <v>0.28174996376037598</v>
      </c>
      <c r="J351">
        <f t="shared" si="61"/>
        <v>0</v>
      </c>
      <c r="K351">
        <v>0.20864833891391699</v>
      </c>
      <c r="L351">
        <f t="shared" si="56"/>
        <v>0</v>
      </c>
      <c r="M351">
        <v>0.635216534</v>
      </c>
      <c r="N351">
        <f t="shared" si="57"/>
        <v>1</v>
      </c>
      <c r="O351">
        <v>0.105904050171375</v>
      </c>
      <c r="P351">
        <f t="shared" si="58"/>
        <v>0</v>
      </c>
      <c r="Q351">
        <v>0.49474504600000002</v>
      </c>
      <c r="R351">
        <f t="shared" si="59"/>
        <v>0</v>
      </c>
      <c r="S351">
        <v>5.6659277528524003E-2</v>
      </c>
      <c r="T351">
        <f t="shared" si="62"/>
        <v>0</v>
      </c>
      <c r="U351" s="1">
        <v>0.74207115000000001</v>
      </c>
      <c r="V351">
        <v>1</v>
      </c>
      <c r="X351">
        <v>0</v>
      </c>
    </row>
    <row r="352" spans="1:24">
      <c r="A352" s="1">
        <v>1</v>
      </c>
      <c r="B352" s="1" t="s">
        <v>351</v>
      </c>
      <c r="C352" s="1">
        <v>1</v>
      </c>
      <c r="D352" s="33">
        <v>1</v>
      </c>
      <c r="E352" s="37">
        <v>1</v>
      </c>
      <c r="F352" s="37">
        <v>1</v>
      </c>
      <c r="G352">
        <v>0.45530211900000001</v>
      </c>
      <c r="H352">
        <f t="shared" si="60"/>
        <v>0</v>
      </c>
      <c r="I352">
        <v>5.8642597869040004E-3</v>
      </c>
      <c r="J352">
        <f t="shared" si="61"/>
        <v>0</v>
      </c>
      <c r="K352">
        <v>7.5203560292721003E-2</v>
      </c>
      <c r="L352">
        <f t="shared" si="56"/>
        <v>0</v>
      </c>
      <c r="M352">
        <v>0.31527957299999998</v>
      </c>
      <c r="N352">
        <f t="shared" si="57"/>
        <v>0</v>
      </c>
      <c r="O352">
        <v>1.7697753384709001E-2</v>
      </c>
      <c r="P352">
        <f t="shared" si="58"/>
        <v>0</v>
      </c>
      <c r="Q352">
        <v>0.61437898899999999</v>
      </c>
      <c r="R352">
        <f t="shared" si="59"/>
        <v>1</v>
      </c>
      <c r="S352">
        <v>9.3851715326308996E-2</v>
      </c>
      <c r="T352">
        <f t="shared" si="62"/>
        <v>0</v>
      </c>
      <c r="U352" s="1">
        <v>0.75344615999999998</v>
      </c>
      <c r="V352">
        <v>1</v>
      </c>
      <c r="X352">
        <v>0</v>
      </c>
    </row>
    <row r="353" spans="1:24">
      <c r="A353" s="1">
        <v>1</v>
      </c>
      <c r="B353" s="5" t="s">
        <v>352</v>
      </c>
      <c r="C353" s="1">
        <v>1</v>
      </c>
      <c r="D353" s="33">
        <v>1</v>
      </c>
      <c r="E353" s="36">
        <v>0</v>
      </c>
      <c r="F353" s="37">
        <v>1</v>
      </c>
      <c r="G353">
        <v>0.70959144799999996</v>
      </c>
      <c r="H353">
        <f t="shared" si="60"/>
        <v>1</v>
      </c>
      <c r="I353">
        <v>0.572154521942139</v>
      </c>
      <c r="J353">
        <f t="shared" si="61"/>
        <v>1</v>
      </c>
      <c r="K353">
        <v>0.60584092140197798</v>
      </c>
      <c r="L353">
        <f t="shared" si="56"/>
        <v>1</v>
      </c>
      <c r="M353">
        <v>0.50757229299999995</v>
      </c>
      <c r="N353">
        <f t="shared" si="57"/>
        <v>1</v>
      </c>
      <c r="O353">
        <v>1.8843758851289999E-2</v>
      </c>
      <c r="P353">
        <f t="shared" si="58"/>
        <v>0</v>
      </c>
      <c r="Q353">
        <v>0.41006717100000001</v>
      </c>
      <c r="R353">
        <f t="shared" si="59"/>
        <v>0</v>
      </c>
      <c r="S353">
        <v>0.32821705937385598</v>
      </c>
      <c r="T353">
        <f t="shared" si="62"/>
        <v>0</v>
      </c>
      <c r="U353" s="5">
        <v>0.7587545</v>
      </c>
      <c r="V353">
        <v>1</v>
      </c>
      <c r="X353">
        <v>0</v>
      </c>
    </row>
    <row r="354" spans="1:24">
      <c r="A354" s="1">
        <v>1</v>
      </c>
      <c r="B354" s="7" t="s">
        <v>353</v>
      </c>
      <c r="C354" s="1">
        <v>1</v>
      </c>
      <c r="D354" s="33">
        <v>1</v>
      </c>
      <c r="E354" s="37">
        <v>1</v>
      </c>
      <c r="F354" s="37">
        <v>1</v>
      </c>
      <c r="G354">
        <v>0.72925341099999996</v>
      </c>
      <c r="H354">
        <f t="shared" si="60"/>
        <v>1</v>
      </c>
      <c r="I354">
        <v>0.62297523021697998</v>
      </c>
      <c r="J354">
        <f t="shared" si="61"/>
        <v>1</v>
      </c>
      <c r="K354">
        <v>0.14650829136371599</v>
      </c>
      <c r="L354">
        <f t="shared" si="56"/>
        <v>0</v>
      </c>
      <c r="M354">
        <v>0.230290577</v>
      </c>
      <c r="N354">
        <f t="shared" si="57"/>
        <v>0</v>
      </c>
      <c r="O354">
        <v>0.31840077042579601</v>
      </c>
      <c r="P354">
        <f t="shared" si="58"/>
        <v>0</v>
      </c>
      <c r="Q354">
        <v>0.52003908200000004</v>
      </c>
      <c r="R354">
        <f t="shared" si="59"/>
        <v>1</v>
      </c>
      <c r="S354">
        <v>1.1594357201829999E-3</v>
      </c>
      <c r="T354">
        <f t="shared" si="62"/>
        <v>0</v>
      </c>
      <c r="U354" s="7">
        <v>0.63884909999999995</v>
      </c>
      <c r="V354">
        <v>1</v>
      </c>
      <c r="X354">
        <v>1</v>
      </c>
    </row>
    <row r="355" spans="1:24">
      <c r="A355" s="1">
        <v>1</v>
      </c>
      <c r="B355" s="1" t="s">
        <v>354</v>
      </c>
      <c r="C355" s="1">
        <v>1</v>
      </c>
      <c r="D355" s="33">
        <v>1</v>
      </c>
      <c r="E355" s="37">
        <v>1</v>
      </c>
      <c r="F355" s="37">
        <v>1</v>
      </c>
      <c r="G355">
        <v>0.921720922</v>
      </c>
      <c r="H355">
        <f t="shared" si="60"/>
        <v>1</v>
      </c>
      <c r="I355">
        <v>0.99829179048538197</v>
      </c>
      <c r="J355">
        <f t="shared" si="61"/>
        <v>1</v>
      </c>
      <c r="K355">
        <v>0.99788528680801403</v>
      </c>
      <c r="L355">
        <f t="shared" si="56"/>
        <v>1</v>
      </c>
      <c r="M355">
        <v>0.99721515199999999</v>
      </c>
      <c r="N355">
        <f t="shared" si="57"/>
        <v>1</v>
      </c>
      <c r="O355">
        <v>0.99887472391128496</v>
      </c>
      <c r="P355">
        <f t="shared" si="58"/>
        <v>1</v>
      </c>
      <c r="Q355">
        <v>0.87287598799999999</v>
      </c>
      <c r="R355">
        <f t="shared" si="59"/>
        <v>1</v>
      </c>
      <c r="S355">
        <v>0.99881100654601995</v>
      </c>
      <c r="T355">
        <f t="shared" si="62"/>
        <v>1</v>
      </c>
      <c r="U355" s="1">
        <v>0.77685004000000002</v>
      </c>
      <c r="V355">
        <v>1</v>
      </c>
      <c r="X355">
        <v>0</v>
      </c>
    </row>
    <row r="356" spans="1:24">
      <c r="A356" s="1">
        <v>1</v>
      </c>
      <c r="B356" s="1" t="s">
        <v>355</v>
      </c>
      <c r="C356" s="1">
        <v>1</v>
      </c>
      <c r="D356" s="33">
        <v>1</v>
      </c>
      <c r="E356" s="37">
        <v>1</v>
      </c>
      <c r="F356" s="37">
        <v>1</v>
      </c>
      <c r="G356">
        <v>0.95221990300000003</v>
      </c>
      <c r="H356">
        <f t="shared" si="60"/>
        <v>1</v>
      </c>
      <c r="I356">
        <v>0.98674124479293801</v>
      </c>
      <c r="J356">
        <f t="shared" si="61"/>
        <v>1</v>
      </c>
      <c r="K356">
        <v>0.97388702630996704</v>
      </c>
      <c r="L356">
        <f t="shared" si="56"/>
        <v>1</v>
      </c>
      <c r="M356">
        <v>0.99072229899999997</v>
      </c>
      <c r="N356">
        <f t="shared" si="57"/>
        <v>1</v>
      </c>
      <c r="O356">
        <v>0.99539631605148304</v>
      </c>
      <c r="P356">
        <f t="shared" si="58"/>
        <v>1</v>
      </c>
      <c r="Q356">
        <v>0.28434962000000003</v>
      </c>
      <c r="R356">
        <f t="shared" si="59"/>
        <v>0</v>
      </c>
      <c r="S356">
        <v>0.999822318553925</v>
      </c>
      <c r="T356">
        <f t="shared" si="62"/>
        <v>1</v>
      </c>
      <c r="U356" s="1">
        <v>0.60663164000000003</v>
      </c>
      <c r="V356">
        <v>1</v>
      </c>
      <c r="X356">
        <v>0</v>
      </c>
    </row>
    <row r="357" spans="1:24">
      <c r="A357" s="1">
        <v>1</v>
      </c>
      <c r="B357" s="1" t="s">
        <v>356</v>
      </c>
      <c r="C357" s="1">
        <v>1</v>
      </c>
      <c r="D357" s="33">
        <v>0</v>
      </c>
      <c r="E357" s="36">
        <v>1</v>
      </c>
      <c r="F357" s="37">
        <v>1</v>
      </c>
      <c r="G357">
        <v>0.89569753399999996</v>
      </c>
      <c r="H357">
        <f t="shared" si="60"/>
        <v>1</v>
      </c>
      <c r="I357">
        <v>0.90741109848022505</v>
      </c>
      <c r="J357">
        <f t="shared" si="61"/>
        <v>1</v>
      </c>
      <c r="K357">
        <v>0.93983918428420998</v>
      </c>
      <c r="L357">
        <f t="shared" ref="L357:L381" si="63">IF(K357&gt;$A$2,1,0)</f>
        <v>1</v>
      </c>
      <c r="M357">
        <v>0.92755633599999998</v>
      </c>
      <c r="N357">
        <f t="shared" ref="N357:N381" si="64">IF(M357&gt;$A$2,1,0)</f>
        <v>1</v>
      </c>
      <c r="O357">
        <v>0.88733500242233299</v>
      </c>
      <c r="P357">
        <f t="shared" ref="P357:P381" si="65">IF(O357&gt;$A$2,1,0)</f>
        <v>1</v>
      </c>
      <c r="Q357">
        <v>0.62789982600000005</v>
      </c>
      <c r="R357">
        <f t="shared" ref="R357:R381" si="66">IF(Q357&gt;$A$2,1,0)</f>
        <v>1</v>
      </c>
      <c r="S357">
        <v>0.99899345636367798</v>
      </c>
      <c r="T357">
        <f t="shared" si="62"/>
        <v>1</v>
      </c>
      <c r="U357" s="1">
        <v>0.79721934000000005</v>
      </c>
      <c r="V357">
        <v>1</v>
      </c>
      <c r="X357">
        <v>0</v>
      </c>
    </row>
    <row r="358" spans="1:24">
      <c r="A358" s="1">
        <v>1</v>
      </c>
      <c r="B358" s="7" t="s">
        <v>357</v>
      </c>
      <c r="C358" s="1">
        <v>1</v>
      </c>
      <c r="D358" s="33">
        <v>0</v>
      </c>
      <c r="E358" s="36">
        <v>0</v>
      </c>
      <c r="F358" s="37">
        <v>1</v>
      </c>
      <c r="G358">
        <v>0.93374228500000001</v>
      </c>
      <c r="H358">
        <f t="shared" si="60"/>
        <v>1</v>
      </c>
      <c r="I358">
        <v>0.33548301458358798</v>
      </c>
      <c r="J358">
        <f t="shared" si="61"/>
        <v>0</v>
      </c>
      <c r="K358">
        <v>0.72391337156295799</v>
      </c>
      <c r="L358">
        <f t="shared" si="63"/>
        <v>1</v>
      </c>
      <c r="M358">
        <v>0.86264658000000005</v>
      </c>
      <c r="N358">
        <f t="shared" si="64"/>
        <v>1</v>
      </c>
      <c r="O358">
        <v>0.523343205451965</v>
      </c>
      <c r="P358">
        <f t="shared" si="65"/>
        <v>1</v>
      </c>
      <c r="Q358">
        <v>0.62146288199999999</v>
      </c>
      <c r="R358">
        <f t="shared" si="66"/>
        <v>1</v>
      </c>
      <c r="S358">
        <v>0.95356994867324796</v>
      </c>
      <c r="T358">
        <f t="shared" si="62"/>
        <v>1</v>
      </c>
      <c r="U358" s="7">
        <v>0.78655980000000003</v>
      </c>
      <c r="V358">
        <v>1</v>
      </c>
      <c r="X358">
        <v>1</v>
      </c>
    </row>
    <row r="359" spans="1:24">
      <c r="A359" s="1">
        <v>1</v>
      </c>
      <c r="B359" s="1" t="s">
        <v>358</v>
      </c>
      <c r="C359" s="1">
        <v>1</v>
      </c>
      <c r="D359" s="33">
        <v>1</v>
      </c>
      <c r="E359" s="37">
        <v>1</v>
      </c>
      <c r="F359" s="37">
        <v>1</v>
      </c>
      <c r="G359" s="30">
        <v>4.0561384999999998E-2</v>
      </c>
      <c r="H359">
        <f t="shared" si="60"/>
        <v>0</v>
      </c>
      <c r="I359" s="30">
        <v>1.936094718985E-3</v>
      </c>
      <c r="J359">
        <f t="shared" si="61"/>
        <v>0</v>
      </c>
      <c r="K359" s="30">
        <v>4.8073953948920001E-3</v>
      </c>
      <c r="L359">
        <f t="shared" si="63"/>
        <v>0</v>
      </c>
      <c r="M359">
        <v>4.4857609999999996E-3</v>
      </c>
      <c r="N359">
        <f t="shared" si="64"/>
        <v>0</v>
      </c>
      <c r="O359">
        <v>1.1557817459107E-2</v>
      </c>
      <c r="P359">
        <f t="shared" si="65"/>
        <v>0</v>
      </c>
      <c r="Q359">
        <v>0.36039179599999999</v>
      </c>
      <c r="R359">
        <f t="shared" si="66"/>
        <v>0</v>
      </c>
      <c r="S359">
        <v>4.5668300241232002E-2</v>
      </c>
      <c r="T359">
        <f t="shared" si="62"/>
        <v>0</v>
      </c>
      <c r="U359" s="1">
        <v>0.54824823</v>
      </c>
      <c r="V359">
        <v>0</v>
      </c>
      <c r="X359">
        <v>0</v>
      </c>
    </row>
    <row r="360" spans="1:24">
      <c r="A360" s="1">
        <v>1</v>
      </c>
      <c r="B360" s="1" t="s">
        <v>359</v>
      </c>
      <c r="C360" s="1">
        <v>1</v>
      </c>
      <c r="D360" s="33">
        <v>1</v>
      </c>
      <c r="E360" s="37">
        <v>1</v>
      </c>
      <c r="F360" s="37">
        <v>1</v>
      </c>
      <c r="G360">
        <v>0.82455933100000001</v>
      </c>
      <c r="H360">
        <f t="shared" si="60"/>
        <v>1</v>
      </c>
      <c r="I360">
        <v>0.77369582653045599</v>
      </c>
      <c r="J360">
        <f t="shared" si="61"/>
        <v>1</v>
      </c>
      <c r="K360">
        <v>0.60009068250656095</v>
      </c>
      <c r="L360">
        <f t="shared" si="63"/>
        <v>1</v>
      </c>
      <c r="M360">
        <v>0.88057041199999997</v>
      </c>
      <c r="N360">
        <f t="shared" si="64"/>
        <v>1</v>
      </c>
      <c r="O360">
        <v>0.75883316993713401</v>
      </c>
      <c r="P360">
        <f t="shared" si="65"/>
        <v>1</v>
      </c>
      <c r="Q360">
        <v>0.63189375400000003</v>
      </c>
      <c r="R360">
        <f t="shared" si="66"/>
        <v>1</v>
      </c>
      <c r="S360">
        <v>0.97998112440109197</v>
      </c>
      <c r="T360">
        <f t="shared" si="62"/>
        <v>1</v>
      </c>
      <c r="U360" s="1">
        <v>0.70014732999999996</v>
      </c>
      <c r="V360">
        <v>1</v>
      </c>
      <c r="X360">
        <v>0</v>
      </c>
    </row>
    <row r="361" spans="1:24">
      <c r="A361" s="1">
        <v>1</v>
      </c>
      <c r="B361" s="1" t="s">
        <v>360</v>
      </c>
      <c r="C361" s="1">
        <v>1</v>
      </c>
      <c r="D361" s="33">
        <v>1</v>
      </c>
      <c r="E361" s="37">
        <v>1</v>
      </c>
      <c r="F361" s="37">
        <v>1</v>
      </c>
      <c r="G361">
        <v>0.95791542500000004</v>
      </c>
      <c r="H361">
        <f t="shared" si="60"/>
        <v>1</v>
      </c>
      <c r="I361">
        <v>0.99727123975753795</v>
      </c>
      <c r="J361">
        <f t="shared" si="61"/>
        <v>1</v>
      </c>
      <c r="K361">
        <v>0.99755173921585105</v>
      </c>
      <c r="L361">
        <f t="shared" si="63"/>
        <v>1</v>
      </c>
      <c r="M361">
        <v>0.96540194700000004</v>
      </c>
      <c r="N361">
        <f t="shared" si="64"/>
        <v>1</v>
      </c>
      <c r="O361">
        <v>0.97648513317108199</v>
      </c>
      <c r="P361">
        <f t="shared" si="65"/>
        <v>1</v>
      </c>
      <c r="Q361">
        <v>0.79304456700000003</v>
      </c>
      <c r="R361">
        <f t="shared" si="66"/>
        <v>1</v>
      </c>
      <c r="S361">
        <v>0.97551608085632302</v>
      </c>
      <c r="T361">
        <f t="shared" si="62"/>
        <v>1</v>
      </c>
      <c r="U361" s="1">
        <v>0.80765030000000004</v>
      </c>
      <c r="V361">
        <v>1</v>
      </c>
      <c r="X361">
        <v>0</v>
      </c>
    </row>
    <row r="362" spans="1:24">
      <c r="A362" s="1">
        <v>1</v>
      </c>
      <c r="B362" s="1" t="s">
        <v>361</v>
      </c>
      <c r="C362" s="1">
        <v>1</v>
      </c>
      <c r="D362" s="33">
        <v>1</v>
      </c>
      <c r="E362" s="37">
        <v>1</v>
      </c>
      <c r="F362" s="37">
        <v>1</v>
      </c>
      <c r="G362">
        <v>0.88535261200000004</v>
      </c>
      <c r="H362">
        <f t="shared" si="60"/>
        <v>1</v>
      </c>
      <c r="I362">
        <v>0.98773163557052601</v>
      </c>
      <c r="J362">
        <f t="shared" si="61"/>
        <v>1</v>
      </c>
      <c r="K362">
        <v>0.99925893545150801</v>
      </c>
      <c r="L362">
        <f t="shared" si="63"/>
        <v>1</v>
      </c>
      <c r="M362">
        <v>0.99226778699999996</v>
      </c>
      <c r="N362">
        <f t="shared" si="64"/>
        <v>1</v>
      </c>
      <c r="O362">
        <v>0.79088562726974498</v>
      </c>
      <c r="P362">
        <f t="shared" si="65"/>
        <v>1</v>
      </c>
      <c r="Q362">
        <v>0.69243180800000004</v>
      </c>
      <c r="R362">
        <f t="shared" si="66"/>
        <v>1</v>
      </c>
      <c r="S362">
        <v>0.95220184326171897</v>
      </c>
      <c r="T362">
        <f t="shared" si="62"/>
        <v>1</v>
      </c>
      <c r="U362" s="1">
        <v>0.74430065999999995</v>
      </c>
      <c r="V362">
        <v>1</v>
      </c>
      <c r="X362">
        <v>0</v>
      </c>
    </row>
    <row r="363" spans="1:24">
      <c r="A363" s="1">
        <v>1</v>
      </c>
      <c r="B363" s="1" t="s">
        <v>362</v>
      </c>
      <c r="C363" s="1">
        <v>1</v>
      </c>
      <c r="D363" s="33">
        <v>1</v>
      </c>
      <c r="E363" s="37">
        <v>1</v>
      </c>
      <c r="F363" s="37">
        <v>1</v>
      </c>
      <c r="G363">
        <v>0.92484861600000001</v>
      </c>
      <c r="H363">
        <f t="shared" si="60"/>
        <v>1</v>
      </c>
      <c r="I363">
        <v>0.60330975055694602</v>
      </c>
      <c r="J363">
        <f t="shared" si="61"/>
        <v>1</v>
      </c>
      <c r="K363">
        <v>0.99730253219604503</v>
      </c>
      <c r="L363">
        <f t="shared" si="63"/>
        <v>1</v>
      </c>
      <c r="M363">
        <v>0.99871039399999995</v>
      </c>
      <c r="N363">
        <f t="shared" si="64"/>
        <v>1</v>
      </c>
      <c r="O363">
        <v>0.95279085636138905</v>
      </c>
      <c r="P363">
        <f t="shared" si="65"/>
        <v>1</v>
      </c>
      <c r="Q363">
        <v>0.69650751399999999</v>
      </c>
      <c r="R363">
        <f t="shared" si="66"/>
        <v>1</v>
      </c>
      <c r="S363">
        <v>0.65254831314086903</v>
      </c>
      <c r="T363">
        <f t="shared" si="62"/>
        <v>1</v>
      </c>
      <c r="U363" s="1">
        <v>0.73397559999999995</v>
      </c>
      <c r="V363">
        <v>1</v>
      </c>
      <c r="X363">
        <v>0</v>
      </c>
    </row>
    <row r="364" spans="1:24">
      <c r="A364" s="1">
        <v>1</v>
      </c>
      <c r="B364" s="1" t="s">
        <v>363</v>
      </c>
      <c r="C364" s="1">
        <v>1</v>
      </c>
      <c r="D364" s="33">
        <v>0</v>
      </c>
      <c r="E364" s="36">
        <v>1</v>
      </c>
      <c r="F364" s="37">
        <v>1</v>
      </c>
      <c r="G364">
        <v>0.79372858999999996</v>
      </c>
      <c r="H364">
        <f t="shared" si="60"/>
        <v>1</v>
      </c>
      <c r="I364">
        <v>0.87115651369094904</v>
      </c>
      <c r="J364">
        <f t="shared" si="61"/>
        <v>1</v>
      </c>
      <c r="K364">
        <v>0.97150570154190097</v>
      </c>
      <c r="L364">
        <f t="shared" si="63"/>
        <v>1</v>
      </c>
      <c r="M364">
        <v>7.7494830000000001E-2</v>
      </c>
      <c r="N364">
        <f t="shared" si="64"/>
        <v>0</v>
      </c>
      <c r="O364">
        <v>0.44400262832641602</v>
      </c>
      <c r="P364">
        <f t="shared" si="65"/>
        <v>0</v>
      </c>
      <c r="Q364">
        <v>0.50254297299999995</v>
      </c>
      <c r="R364">
        <f t="shared" si="66"/>
        <v>1</v>
      </c>
      <c r="S364">
        <v>7.5280857272449998E-3</v>
      </c>
      <c r="T364">
        <f t="shared" si="62"/>
        <v>0</v>
      </c>
      <c r="U364" s="1">
        <v>0.56169440000000004</v>
      </c>
      <c r="V364">
        <v>0</v>
      </c>
      <c r="X364">
        <v>0</v>
      </c>
    </row>
    <row r="365" spans="1:24">
      <c r="A365" s="1">
        <v>1</v>
      </c>
      <c r="B365" s="1" t="s">
        <v>364</v>
      </c>
      <c r="C365" s="1">
        <v>1</v>
      </c>
      <c r="D365" s="33">
        <v>1</v>
      </c>
      <c r="E365" s="37">
        <v>1</v>
      </c>
      <c r="F365" s="37">
        <v>1</v>
      </c>
      <c r="G365">
        <v>0.61025285699999998</v>
      </c>
      <c r="H365">
        <f t="shared" si="60"/>
        <v>1</v>
      </c>
      <c r="I365">
        <v>0.57963532209396396</v>
      </c>
      <c r="J365">
        <f t="shared" si="61"/>
        <v>1</v>
      </c>
      <c r="K365">
        <v>0.86885607242584195</v>
      </c>
      <c r="L365">
        <f t="shared" si="63"/>
        <v>1</v>
      </c>
      <c r="M365">
        <v>0.87923711500000001</v>
      </c>
      <c r="N365">
        <f t="shared" si="64"/>
        <v>1</v>
      </c>
      <c r="O365">
        <v>0.581310033798218</v>
      </c>
      <c r="P365">
        <f t="shared" si="65"/>
        <v>1</v>
      </c>
      <c r="Q365">
        <v>0.55633574699999999</v>
      </c>
      <c r="R365">
        <f t="shared" si="66"/>
        <v>1</v>
      </c>
      <c r="S365">
        <v>0.65169805288314797</v>
      </c>
      <c r="T365">
        <f t="shared" si="62"/>
        <v>1</v>
      </c>
      <c r="U365" s="1">
        <v>0.71654724999999997</v>
      </c>
      <c r="V365">
        <v>1</v>
      </c>
      <c r="X365">
        <v>0</v>
      </c>
    </row>
    <row r="366" spans="1:24">
      <c r="A366" s="1">
        <v>1</v>
      </c>
      <c r="B366" s="1" t="s">
        <v>365</v>
      </c>
      <c r="C366" s="1">
        <v>1</v>
      </c>
      <c r="D366" s="33">
        <v>0</v>
      </c>
      <c r="E366" s="37">
        <v>1</v>
      </c>
      <c r="F366" s="37">
        <v>1</v>
      </c>
      <c r="G366">
        <v>5.0614252999999998E-2</v>
      </c>
      <c r="H366">
        <f t="shared" si="60"/>
        <v>0</v>
      </c>
      <c r="I366">
        <v>0.161603018641472</v>
      </c>
      <c r="J366">
        <f t="shared" si="61"/>
        <v>0</v>
      </c>
      <c r="K366">
        <v>2.8123175725340999E-2</v>
      </c>
      <c r="L366">
        <f t="shared" si="63"/>
        <v>0</v>
      </c>
      <c r="M366">
        <v>6.2535412999999998E-2</v>
      </c>
      <c r="N366">
        <f t="shared" si="64"/>
        <v>0</v>
      </c>
      <c r="O366">
        <v>6.8527966737746998E-2</v>
      </c>
      <c r="P366">
        <f t="shared" si="65"/>
        <v>0</v>
      </c>
      <c r="Q366">
        <v>0.26486021300000001</v>
      </c>
      <c r="R366">
        <f t="shared" si="66"/>
        <v>0</v>
      </c>
      <c r="S366">
        <v>3.2985117286444002E-2</v>
      </c>
      <c r="T366">
        <f t="shared" si="62"/>
        <v>0</v>
      </c>
      <c r="U366" s="1">
        <v>0.31931472</v>
      </c>
      <c r="V366">
        <v>0</v>
      </c>
      <c r="X366">
        <v>0</v>
      </c>
    </row>
    <row r="367" spans="1:24">
      <c r="A367" s="1">
        <v>1</v>
      </c>
      <c r="B367" s="1" t="s">
        <v>366</v>
      </c>
      <c r="C367" s="1">
        <v>1</v>
      </c>
      <c r="D367" s="33">
        <v>1</v>
      </c>
      <c r="E367" s="37">
        <v>1</v>
      </c>
      <c r="F367" s="37">
        <v>1</v>
      </c>
      <c r="G367">
        <v>0.66654580799999996</v>
      </c>
      <c r="H367">
        <f t="shared" si="60"/>
        <v>1</v>
      </c>
      <c r="I367">
        <v>0.96832209825515803</v>
      </c>
      <c r="J367">
        <f t="shared" si="61"/>
        <v>1</v>
      </c>
      <c r="K367">
        <v>0.88684010505676303</v>
      </c>
      <c r="L367">
        <f t="shared" si="63"/>
        <v>1</v>
      </c>
      <c r="M367">
        <v>0.95699065900000002</v>
      </c>
      <c r="N367">
        <f t="shared" si="64"/>
        <v>1</v>
      </c>
      <c r="O367">
        <v>0.81374365091323897</v>
      </c>
      <c r="P367">
        <f t="shared" si="65"/>
        <v>1</v>
      </c>
      <c r="Q367">
        <v>0.351434052</v>
      </c>
      <c r="R367">
        <f t="shared" si="66"/>
        <v>0</v>
      </c>
      <c r="S367">
        <v>0.41959571838378901</v>
      </c>
      <c r="T367">
        <f t="shared" si="62"/>
        <v>0</v>
      </c>
      <c r="U367" s="1">
        <v>0.65466535000000003</v>
      </c>
      <c r="V367">
        <v>1</v>
      </c>
      <c r="X367">
        <v>0</v>
      </c>
    </row>
    <row r="368" spans="1:24">
      <c r="A368" s="1">
        <v>1</v>
      </c>
      <c r="B368" s="1" t="s">
        <v>367</v>
      </c>
      <c r="C368" s="1">
        <v>1</v>
      </c>
      <c r="D368" s="33">
        <v>1</v>
      </c>
      <c r="E368" s="37">
        <v>1</v>
      </c>
      <c r="F368" s="37">
        <v>1</v>
      </c>
      <c r="G368">
        <v>0.97219014199999998</v>
      </c>
      <c r="H368">
        <f t="shared" si="60"/>
        <v>1</v>
      </c>
      <c r="I368">
        <v>0.99950563907623302</v>
      </c>
      <c r="J368">
        <f t="shared" si="61"/>
        <v>1</v>
      </c>
      <c r="K368">
        <v>0.99964952468872104</v>
      </c>
      <c r="L368">
        <f t="shared" si="63"/>
        <v>1</v>
      </c>
      <c r="M368">
        <v>0.99550408099999999</v>
      </c>
      <c r="N368">
        <f t="shared" si="64"/>
        <v>1</v>
      </c>
      <c r="O368">
        <v>0.99492478370666504</v>
      </c>
      <c r="P368">
        <f t="shared" si="65"/>
        <v>1</v>
      </c>
      <c r="Q368">
        <v>0.71940463799999999</v>
      </c>
      <c r="R368">
        <f t="shared" si="66"/>
        <v>1</v>
      </c>
      <c r="S368">
        <v>0.99997210502624501</v>
      </c>
      <c r="T368">
        <f t="shared" si="62"/>
        <v>1</v>
      </c>
      <c r="U368" s="1">
        <v>0.79813296</v>
      </c>
      <c r="V368">
        <v>1</v>
      </c>
      <c r="X368">
        <v>0</v>
      </c>
    </row>
    <row r="369" spans="1:24">
      <c r="A369" s="1">
        <v>1</v>
      </c>
      <c r="B369" s="1" t="s">
        <v>368</v>
      </c>
      <c r="C369" s="1">
        <v>1</v>
      </c>
      <c r="D369" s="33">
        <v>1</v>
      </c>
      <c r="E369" s="37">
        <v>1</v>
      </c>
      <c r="F369" s="37">
        <v>1</v>
      </c>
      <c r="G369">
        <v>0.784492195</v>
      </c>
      <c r="H369">
        <f t="shared" si="60"/>
        <v>1</v>
      </c>
      <c r="I369">
        <v>0.91990631818771396</v>
      </c>
      <c r="J369">
        <f t="shared" si="61"/>
        <v>1</v>
      </c>
      <c r="K369">
        <v>0.96577906608581499</v>
      </c>
      <c r="L369">
        <f t="shared" si="63"/>
        <v>1</v>
      </c>
      <c r="M369">
        <v>0.63078659800000003</v>
      </c>
      <c r="N369">
        <f t="shared" si="64"/>
        <v>1</v>
      </c>
      <c r="O369">
        <v>0.14964336156845101</v>
      </c>
      <c r="P369">
        <f t="shared" si="65"/>
        <v>0</v>
      </c>
      <c r="Q369">
        <v>0.65360355400000003</v>
      </c>
      <c r="R369">
        <f t="shared" si="66"/>
        <v>1</v>
      </c>
      <c r="S369">
        <v>0.991011142730713</v>
      </c>
      <c r="T369">
        <f t="shared" si="62"/>
        <v>1</v>
      </c>
      <c r="U369" s="1">
        <v>0.5859297</v>
      </c>
      <c r="V369">
        <v>0</v>
      </c>
      <c r="X369">
        <v>0</v>
      </c>
    </row>
    <row r="370" spans="1:24">
      <c r="A370" s="1">
        <v>1</v>
      </c>
      <c r="B370" s="1" t="s">
        <v>369</v>
      </c>
      <c r="C370" s="1">
        <v>1</v>
      </c>
      <c r="D370" s="33">
        <v>1</v>
      </c>
      <c r="E370" s="37">
        <v>1</v>
      </c>
      <c r="F370" s="37">
        <v>1</v>
      </c>
      <c r="G370">
        <v>0.94113719500000004</v>
      </c>
      <c r="H370">
        <f t="shared" si="60"/>
        <v>1</v>
      </c>
      <c r="I370">
        <v>0.999323010444641</v>
      </c>
      <c r="J370">
        <f t="shared" si="61"/>
        <v>1</v>
      </c>
      <c r="K370">
        <v>0.99967515468597401</v>
      </c>
      <c r="L370">
        <f t="shared" si="63"/>
        <v>1</v>
      </c>
      <c r="M370">
        <v>0.96157431599999998</v>
      </c>
      <c r="N370">
        <f t="shared" si="64"/>
        <v>1</v>
      </c>
      <c r="O370">
        <v>0.99206662178039595</v>
      </c>
      <c r="P370">
        <f t="shared" si="65"/>
        <v>1</v>
      </c>
      <c r="Q370">
        <v>0.79772037299999998</v>
      </c>
      <c r="R370">
        <f t="shared" si="66"/>
        <v>1</v>
      </c>
      <c r="S370">
        <v>0.98947656154632602</v>
      </c>
      <c r="T370">
        <f t="shared" si="62"/>
        <v>1</v>
      </c>
      <c r="U370" s="1">
        <v>0.71057650000000006</v>
      </c>
      <c r="V370">
        <v>1</v>
      </c>
      <c r="X370">
        <v>0</v>
      </c>
    </row>
    <row r="371" spans="1:24">
      <c r="A371" s="1">
        <v>1</v>
      </c>
      <c r="B371" s="1" t="s">
        <v>370</v>
      </c>
      <c r="C371" s="1">
        <v>1</v>
      </c>
      <c r="D371" s="33">
        <v>1</v>
      </c>
      <c r="E371" s="37">
        <v>1</v>
      </c>
      <c r="F371" s="37">
        <v>1</v>
      </c>
      <c r="G371">
        <v>0.98359644400000001</v>
      </c>
      <c r="H371">
        <f t="shared" si="60"/>
        <v>1</v>
      </c>
      <c r="I371">
        <v>0.99228477478027299</v>
      </c>
      <c r="J371">
        <f t="shared" si="61"/>
        <v>1</v>
      </c>
      <c r="K371">
        <v>0.986133992671967</v>
      </c>
      <c r="L371">
        <f t="shared" si="63"/>
        <v>1</v>
      </c>
      <c r="M371">
        <v>0.997678697</v>
      </c>
      <c r="N371">
        <f t="shared" si="64"/>
        <v>1</v>
      </c>
      <c r="O371">
        <v>0.98903602361679099</v>
      </c>
      <c r="P371">
        <f t="shared" si="65"/>
        <v>1</v>
      </c>
      <c r="Q371">
        <v>0.62355709100000001</v>
      </c>
      <c r="R371">
        <f t="shared" si="66"/>
        <v>1</v>
      </c>
      <c r="S371">
        <v>0.99977475404739402</v>
      </c>
      <c r="T371">
        <f t="shared" si="62"/>
        <v>1</v>
      </c>
      <c r="U371" s="1">
        <v>0.76600409999999997</v>
      </c>
      <c r="V371">
        <v>1</v>
      </c>
      <c r="X371">
        <v>0</v>
      </c>
    </row>
    <row r="372" spans="1:24">
      <c r="A372" s="1">
        <v>1</v>
      </c>
      <c r="B372" s="1" t="s">
        <v>371</v>
      </c>
      <c r="C372" s="1">
        <v>1</v>
      </c>
      <c r="D372" s="33">
        <v>1</v>
      </c>
      <c r="E372" s="37">
        <v>1</v>
      </c>
      <c r="F372" s="37">
        <v>1</v>
      </c>
      <c r="G372">
        <v>0.97527653000000003</v>
      </c>
      <c r="H372">
        <f t="shared" si="60"/>
        <v>1</v>
      </c>
      <c r="I372">
        <v>0.99998092651367199</v>
      </c>
      <c r="J372">
        <f t="shared" si="61"/>
        <v>1</v>
      </c>
      <c r="K372">
        <v>0.98672175407409701</v>
      </c>
      <c r="L372">
        <f t="shared" si="63"/>
        <v>1</v>
      </c>
      <c r="M372">
        <v>0.92713028200000003</v>
      </c>
      <c r="N372">
        <f t="shared" si="64"/>
        <v>1</v>
      </c>
      <c r="O372">
        <v>0.90882652997970603</v>
      </c>
      <c r="P372">
        <f t="shared" si="65"/>
        <v>1</v>
      </c>
      <c r="Q372">
        <v>0.84400272399999998</v>
      </c>
      <c r="R372">
        <f t="shared" si="66"/>
        <v>1</v>
      </c>
      <c r="S372">
        <v>0.98621910810470603</v>
      </c>
      <c r="T372">
        <f t="shared" si="62"/>
        <v>1</v>
      </c>
      <c r="U372" s="1">
        <v>0.80109249999999999</v>
      </c>
      <c r="V372">
        <v>1</v>
      </c>
      <c r="X372">
        <v>0</v>
      </c>
    </row>
    <row r="373" spans="1:24">
      <c r="A373" s="1">
        <v>1</v>
      </c>
      <c r="B373" s="1" t="s">
        <v>372</v>
      </c>
      <c r="C373" s="1">
        <v>1</v>
      </c>
      <c r="D373" s="33">
        <v>0</v>
      </c>
      <c r="E373" s="36">
        <v>0</v>
      </c>
      <c r="F373" s="37">
        <v>1</v>
      </c>
      <c r="G373">
        <v>0.96809899799999999</v>
      </c>
      <c r="H373">
        <f t="shared" si="60"/>
        <v>1</v>
      </c>
      <c r="I373">
        <v>0.99990403652191195</v>
      </c>
      <c r="J373">
        <f t="shared" si="61"/>
        <v>1</v>
      </c>
      <c r="K373">
        <v>0.99460184574127197</v>
      </c>
      <c r="L373">
        <f t="shared" si="63"/>
        <v>1</v>
      </c>
      <c r="M373">
        <v>0.99983859100000005</v>
      </c>
      <c r="N373">
        <f t="shared" si="64"/>
        <v>1</v>
      </c>
      <c r="O373">
        <v>0.96240979433059703</v>
      </c>
      <c r="P373">
        <f t="shared" si="65"/>
        <v>1</v>
      </c>
      <c r="Q373">
        <v>0.687233388</v>
      </c>
      <c r="R373">
        <f t="shared" si="66"/>
        <v>1</v>
      </c>
      <c r="S373">
        <v>0.98327893018722501</v>
      </c>
      <c r="T373">
        <f t="shared" si="62"/>
        <v>1</v>
      </c>
      <c r="U373" s="1">
        <v>0.80187297000000002</v>
      </c>
      <c r="V373">
        <v>1</v>
      </c>
      <c r="X373">
        <v>0</v>
      </c>
    </row>
    <row r="374" spans="1:24">
      <c r="A374" s="1">
        <v>1</v>
      </c>
      <c r="B374" s="1" t="s">
        <v>373</v>
      </c>
      <c r="C374" s="1">
        <v>1</v>
      </c>
      <c r="D374" s="33">
        <v>1</v>
      </c>
      <c r="E374" s="37">
        <v>1</v>
      </c>
      <c r="F374" s="37">
        <v>1</v>
      </c>
      <c r="G374">
        <v>0.89569371900000005</v>
      </c>
      <c r="H374">
        <f t="shared" si="60"/>
        <v>1</v>
      </c>
      <c r="I374">
        <v>0.99976903200149503</v>
      </c>
      <c r="J374">
        <f t="shared" si="61"/>
        <v>1</v>
      </c>
      <c r="K374">
        <v>0.99947243928909302</v>
      </c>
      <c r="L374">
        <f t="shared" si="63"/>
        <v>1</v>
      </c>
      <c r="M374">
        <v>0.99790048600000003</v>
      </c>
      <c r="N374">
        <f t="shared" si="64"/>
        <v>1</v>
      </c>
      <c r="O374">
        <v>0.995605409145355</v>
      </c>
      <c r="P374">
        <f t="shared" si="65"/>
        <v>1</v>
      </c>
      <c r="Q374">
        <v>0.90947604199999998</v>
      </c>
      <c r="R374">
        <f t="shared" si="66"/>
        <v>1</v>
      </c>
      <c r="S374">
        <v>0.99662774801254295</v>
      </c>
      <c r="T374">
        <f t="shared" si="62"/>
        <v>1</v>
      </c>
      <c r="U374" s="1">
        <v>0.80095594999999997</v>
      </c>
      <c r="V374">
        <v>1</v>
      </c>
      <c r="X374">
        <v>0</v>
      </c>
    </row>
    <row r="375" spans="1:24">
      <c r="A375" s="1">
        <v>1</v>
      </c>
      <c r="B375" s="1" t="s">
        <v>374</v>
      </c>
      <c r="C375" s="1">
        <v>1</v>
      </c>
      <c r="D375" s="33">
        <v>1</v>
      </c>
      <c r="E375" s="37">
        <v>1</v>
      </c>
      <c r="F375" s="37">
        <v>1</v>
      </c>
      <c r="G375">
        <v>0.80103123200000004</v>
      </c>
      <c r="H375">
        <f t="shared" si="60"/>
        <v>1</v>
      </c>
      <c r="I375">
        <v>0.994981348514557</v>
      </c>
      <c r="J375">
        <f t="shared" si="61"/>
        <v>1</v>
      </c>
      <c r="K375">
        <v>0.86103630065918002</v>
      </c>
      <c r="L375">
        <f t="shared" si="63"/>
        <v>1</v>
      </c>
      <c r="M375">
        <v>0.50121742499999999</v>
      </c>
      <c r="N375">
        <f t="shared" si="64"/>
        <v>1</v>
      </c>
      <c r="O375">
        <v>0.81283134222030595</v>
      </c>
      <c r="P375">
        <f t="shared" si="65"/>
        <v>1</v>
      </c>
      <c r="Q375">
        <v>0.51202958799999998</v>
      </c>
      <c r="R375">
        <f t="shared" si="66"/>
        <v>1</v>
      </c>
      <c r="S375">
        <v>6.9217845797538993E-2</v>
      </c>
      <c r="T375">
        <f t="shared" si="62"/>
        <v>0</v>
      </c>
      <c r="U375" s="1">
        <v>0.65700203000000001</v>
      </c>
      <c r="V375">
        <v>1</v>
      </c>
      <c r="X375">
        <v>0</v>
      </c>
    </row>
    <row r="376" spans="1:24">
      <c r="A376" s="1">
        <v>1</v>
      </c>
      <c r="B376" s="1" t="s">
        <v>375</v>
      </c>
      <c r="C376" s="1">
        <v>1</v>
      </c>
      <c r="D376" s="33">
        <v>1</v>
      </c>
      <c r="E376" s="36">
        <v>1</v>
      </c>
      <c r="F376" s="37">
        <v>1</v>
      </c>
      <c r="G376">
        <v>0.32075726999999998</v>
      </c>
      <c r="H376">
        <f t="shared" si="60"/>
        <v>0</v>
      </c>
      <c r="I376">
        <v>0.83821988105773904</v>
      </c>
      <c r="J376">
        <f t="shared" si="61"/>
        <v>1</v>
      </c>
      <c r="K376">
        <v>0.20898662507533999</v>
      </c>
      <c r="L376">
        <f t="shared" si="63"/>
        <v>0</v>
      </c>
      <c r="M376" s="30">
        <v>0.26947566899999997</v>
      </c>
      <c r="N376">
        <f t="shared" si="64"/>
        <v>0</v>
      </c>
      <c r="O376">
        <v>0.42015373706817599</v>
      </c>
      <c r="P376">
        <f t="shared" si="65"/>
        <v>0</v>
      </c>
      <c r="Q376">
        <v>0.64303439900000003</v>
      </c>
      <c r="R376">
        <f t="shared" si="66"/>
        <v>1</v>
      </c>
      <c r="S376">
        <v>0.64691436290741</v>
      </c>
      <c r="T376">
        <f t="shared" si="62"/>
        <v>1</v>
      </c>
      <c r="U376" s="1">
        <v>0.74670386</v>
      </c>
      <c r="V376">
        <v>1</v>
      </c>
      <c r="X376">
        <v>0</v>
      </c>
    </row>
    <row r="377" spans="1:24">
      <c r="A377" s="1">
        <v>1</v>
      </c>
      <c r="B377" s="1" t="s">
        <v>376</v>
      </c>
      <c r="C377" s="1">
        <v>1</v>
      </c>
      <c r="D377" s="33">
        <v>1</v>
      </c>
      <c r="E377" s="37">
        <v>1</v>
      </c>
      <c r="F377" s="37">
        <v>1</v>
      </c>
      <c r="G377">
        <v>0.96899902800000004</v>
      </c>
      <c r="H377">
        <f t="shared" si="60"/>
        <v>1</v>
      </c>
      <c r="I377">
        <v>0.99999988079071001</v>
      </c>
      <c r="J377">
        <f t="shared" si="61"/>
        <v>1</v>
      </c>
      <c r="K377">
        <v>0.99999201297759999</v>
      </c>
      <c r="L377">
        <f t="shared" si="63"/>
        <v>1</v>
      </c>
      <c r="M377">
        <v>0.99999249000000001</v>
      </c>
      <c r="N377">
        <f t="shared" si="64"/>
        <v>1</v>
      </c>
      <c r="O377">
        <v>0.99987447261810303</v>
      </c>
      <c r="P377">
        <f t="shared" si="65"/>
        <v>1</v>
      </c>
      <c r="Q377">
        <v>0.85334289100000005</v>
      </c>
      <c r="R377">
        <f t="shared" si="66"/>
        <v>1</v>
      </c>
      <c r="S377">
        <v>1</v>
      </c>
      <c r="T377">
        <f t="shared" si="62"/>
        <v>1</v>
      </c>
      <c r="U377" s="1">
        <v>0.804925</v>
      </c>
      <c r="V377">
        <v>1</v>
      </c>
      <c r="X377">
        <v>0</v>
      </c>
    </row>
    <row r="378" spans="1:24">
      <c r="A378" s="1">
        <v>1</v>
      </c>
      <c r="B378" s="1" t="s">
        <v>377</v>
      </c>
      <c r="C378" s="1">
        <v>1</v>
      </c>
      <c r="D378" s="33">
        <v>1</v>
      </c>
      <c r="E378" s="37">
        <v>1</v>
      </c>
      <c r="F378" s="37">
        <v>1</v>
      </c>
      <c r="G378">
        <v>0.72187316400000001</v>
      </c>
      <c r="H378">
        <f t="shared" si="60"/>
        <v>1</v>
      </c>
      <c r="I378">
        <v>0.99845147132873502</v>
      </c>
      <c r="J378">
        <f t="shared" si="61"/>
        <v>1</v>
      </c>
      <c r="K378">
        <v>0.97707110643386796</v>
      </c>
      <c r="L378">
        <f t="shared" si="63"/>
        <v>1</v>
      </c>
      <c r="M378" s="30">
        <v>0.96341460899999998</v>
      </c>
      <c r="N378">
        <f t="shared" si="64"/>
        <v>1</v>
      </c>
      <c r="O378">
        <v>0.88305246829986594</v>
      </c>
      <c r="P378">
        <f t="shared" si="65"/>
        <v>1</v>
      </c>
      <c r="Q378">
        <v>0.76981663700000003</v>
      </c>
      <c r="R378">
        <f t="shared" si="66"/>
        <v>1</v>
      </c>
      <c r="S378">
        <v>0.999012351036072</v>
      </c>
      <c r="T378">
        <f t="shared" si="62"/>
        <v>1</v>
      </c>
      <c r="U378" s="1">
        <v>0.78613805999999997</v>
      </c>
      <c r="V378">
        <v>1</v>
      </c>
      <c r="X378">
        <v>0</v>
      </c>
    </row>
    <row r="379" spans="1:24">
      <c r="A379" s="1">
        <v>1</v>
      </c>
      <c r="B379" s="1" t="s">
        <v>378</v>
      </c>
      <c r="C379" s="1">
        <v>1</v>
      </c>
      <c r="D379" s="33">
        <v>1</v>
      </c>
      <c r="E379" s="37">
        <v>1</v>
      </c>
      <c r="F379" s="37">
        <v>1</v>
      </c>
      <c r="G379">
        <v>0.97122353299999997</v>
      </c>
      <c r="H379">
        <f t="shared" si="60"/>
        <v>1</v>
      </c>
      <c r="I379">
        <v>0.99890255928039595</v>
      </c>
      <c r="J379">
        <f t="shared" si="61"/>
        <v>1</v>
      </c>
      <c r="K379">
        <v>0.99148339033126798</v>
      </c>
      <c r="L379">
        <f t="shared" si="63"/>
        <v>1</v>
      </c>
      <c r="M379">
        <v>0.99126607200000005</v>
      </c>
      <c r="N379">
        <f t="shared" si="64"/>
        <v>1</v>
      </c>
      <c r="O379">
        <v>0.98582839965820301</v>
      </c>
      <c r="P379">
        <f t="shared" si="65"/>
        <v>1</v>
      </c>
      <c r="Q379">
        <v>0.92622494700000002</v>
      </c>
      <c r="R379">
        <f t="shared" si="66"/>
        <v>1</v>
      </c>
      <c r="S379">
        <v>0.99726259708404497</v>
      </c>
      <c r="T379">
        <f t="shared" si="62"/>
        <v>1</v>
      </c>
      <c r="U379" s="1">
        <v>0.80718310000000004</v>
      </c>
      <c r="V379">
        <v>1</v>
      </c>
      <c r="X379">
        <v>0</v>
      </c>
    </row>
    <row r="380" spans="1:24">
      <c r="A380" s="1">
        <v>1</v>
      </c>
      <c r="B380" s="1" t="s">
        <v>379</v>
      </c>
      <c r="C380" s="1">
        <v>1</v>
      </c>
      <c r="D380" s="33">
        <v>1</v>
      </c>
      <c r="E380" s="36">
        <v>0</v>
      </c>
      <c r="F380" s="37">
        <v>1</v>
      </c>
      <c r="G380">
        <v>0.98111236099999999</v>
      </c>
      <c r="H380">
        <f t="shared" si="60"/>
        <v>1</v>
      </c>
      <c r="I380">
        <v>0.99961060285568204</v>
      </c>
      <c r="J380">
        <f t="shared" si="61"/>
        <v>1</v>
      </c>
      <c r="K380">
        <v>0.99974793195724498</v>
      </c>
      <c r="L380">
        <f t="shared" si="63"/>
        <v>1</v>
      </c>
      <c r="M380" s="30">
        <v>0.99976366800000005</v>
      </c>
      <c r="N380">
        <f t="shared" si="64"/>
        <v>1</v>
      </c>
      <c r="O380">
        <v>0.99793088436126698</v>
      </c>
      <c r="P380">
        <f t="shared" si="65"/>
        <v>1</v>
      </c>
      <c r="Q380">
        <v>0.58657145499999996</v>
      </c>
      <c r="R380">
        <f t="shared" si="66"/>
        <v>1</v>
      </c>
      <c r="S380">
        <v>0.999348104000092</v>
      </c>
      <c r="T380">
        <f t="shared" si="62"/>
        <v>1</v>
      </c>
      <c r="U380" s="1">
        <v>0.74719924000000004</v>
      </c>
      <c r="V380">
        <v>1</v>
      </c>
      <c r="X380">
        <v>0</v>
      </c>
    </row>
    <row r="381" spans="1:24">
      <c r="A381" s="1">
        <v>1</v>
      </c>
      <c r="B381" s="1" t="s">
        <v>380</v>
      </c>
      <c r="C381" s="1">
        <v>1</v>
      </c>
      <c r="D381" s="33">
        <v>1</v>
      </c>
      <c r="E381" s="37">
        <v>1</v>
      </c>
      <c r="F381" s="37">
        <v>1</v>
      </c>
      <c r="G381">
        <v>0.94390654600000001</v>
      </c>
      <c r="H381">
        <f t="shared" si="60"/>
        <v>1</v>
      </c>
      <c r="I381">
        <v>0.99986040592193604</v>
      </c>
      <c r="J381">
        <f t="shared" si="61"/>
        <v>1</v>
      </c>
      <c r="K381">
        <v>0.93570977449417103</v>
      </c>
      <c r="L381">
        <f t="shared" si="63"/>
        <v>1</v>
      </c>
      <c r="M381">
        <v>0.93874114799999997</v>
      </c>
      <c r="N381">
        <f t="shared" si="64"/>
        <v>1</v>
      </c>
      <c r="O381">
        <v>0.92406970262527499</v>
      </c>
      <c r="P381">
        <f t="shared" si="65"/>
        <v>1</v>
      </c>
      <c r="Q381">
        <v>0.73588901799999995</v>
      </c>
      <c r="R381">
        <f t="shared" si="66"/>
        <v>1</v>
      </c>
      <c r="S381">
        <v>0.98234564065933205</v>
      </c>
      <c r="T381">
        <f t="shared" si="62"/>
        <v>1</v>
      </c>
      <c r="U381" s="1">
        <v>0.68325806</v>
      </c>
      <c r="V381">
        <v>1</v>
      </c>
      <c r="X381">
        <v>0</v>
      </c>
    </row>
    <row r="382" spans="1:24">
      <c r="A382" s="1" t="s">
        <v>381</v>
      </c>
      <c r="B382" s="1"/>
      <c r="C382" s="1"/>
      <c r="D382" s="33"/>
      <c r="E382" s="38"/>
      <c r="F382" s="38"/>
      <c r="X382">
        <v>2</v>
      </c>
    </row>
    <row r="383" spans="1:24">
      <c r="A383" s="1">
        <v>0</v>
      </c>
      <c r="B383" s="1" t="s">
        <v>382</v>
      </c>
      <c r="C383" s="1">
        <v>0</v>
      </c>
      <c r="D383" s="33">
        <v>0</v>
      </c>
      <c r="E383" s="36">
        <v>0</v>
      </c>
      <c r="F383" s="37">
        <v>0</v>
      </c>
      <c r="G383">
        <v>5.8844610999999998E-2</v>
      </c>
      <c r="H383">
        <f t="shared" si="60"/>
        <v>0</v>
      </c>
      <c r="I383">
        <v>0.27192822098732</v>
      </c>
      <c r="J383">
        <f t="shared" si="61"/>
        <v>0</v>
      </c>
      <c r="K383">
        <v>0.128174468874931</v>
      </c>
      <c r="L383">
        <f t="shared" ref="L383:L414" si="67">IF(K383&gt;$A$2,1,0)</f>
        <v>0</v>
      </c>
      <c r="M383">
        <v>0.56108248199999999</v>
      </c>
      <c r="N383">
        <f t="shared" ref="N383:N414" si="68">IF(M383&gt;$A$2,1,0)</f>
        <v>1</v>
      </c>
      <c r="O383">
        <v>1.4362315414469999E-3</v>
      </c>
      <c r="P383">
        <f t="shared" ref="P383:P414" si="69">IF(O383&gt;$A$2,1,0)</f>
        <v>0</v>
      </c>
      <c r="Q383">
        <v>0.26986801599999999</v>
      </c>
      <c r="R383">
        <f t="shared" ref="R383:R414" si="70">IF(Q383&gt;$A$2,1,0)</f>
        <v>0</v>
      </c>
      <c r="S383">
        <v>3.1694166827950002E-3</v>
      </c>
      <c r="T383">
        <f t="shared" si="62"/>
        <v>0</v>
      </c>
      <c r="U383" s="1">
        <v>0.61328375000000002</v>
      </c>
      <c r="V383">
        <v>0</v>
      </c>
      <c r="X383">
        <v>0</v>
      </c>
    </row>
    <row r="384" spans="1:24">
      <c r="A384" s="1">
        <v>0</v>
      </c>
      <c r="B384" s="1" t="s">
        <v>383</v>
      </c>
      <c r="C384" s="1">
        <v>0</v>
      </c>
      <c r="D384" s="33">
        <v>0</v>
      </c>
      <c r="E384" s="36">
        <v>0</v>
      </c>
      <c r="F384" s="37">
        <v>0</v>
      </c>
      <c r="G384">
        <v>6.0383458000000001E-2</v>
      </c>
      <c r="H384">
        <f t="shared" si="60"/>
        <v>0</v>
      </c>
      <c r="I384">
        <v>3.1854569911957002E-2</v>
      </c>
      <c r="J384">
        <f t="shared" si="61"/>
        <v>0</v>
      </c>
      <c r="K384">
        <v>0.51702368259429898</v>
      </c>
      <c r="L384">
        <f t="shared" si="67"/>
        <v>1</v>
      </c>
      <c r="M384">
        <v>0.53613162000000003</v>
      </c>
      <c r="N384">
        <f t="shared" si="68"/>
        <v>1</v>
      </c>
      <c r="O384">
        <v>0.250396698713303</v>
      </c>
      <c r="P384">
        <f t="shared" si="69"/>
        <v>0</v>
      </c>
      <c r="Q384">
        <v>0.44913825400000001</v>
      </c>
      <c r="R384">
        <f t="shared" si="70"/>
        <v>0</v>
      </c>
      <c r="S384">
        <v>7.4100583791732996E-2</v>
      </c>
      <c r="T384">
        <f t="shared" si="62"/>
        <v>0</v>
      </c>
      <c r="U384" s="1">
        <v>0.70206630000000003</v>
      </c>
      <c r="V384">
        <v>1</v>
      </c>
      <c r="X384">
        <v>0</v>
      </c>
    </row>
    <row r="385" spans="1:24">
      <c r="A385" s="1">
        <v>0</v>
      </c>
      <c r="B385" s="1" t="s">
        <v>384</v>
      </c>
      <c r="C385" s="1">
        <v>0</v>
      </c>
      <c r="D385" s="33">
        <v>0</v>
      </c>
      <c r="E385" s="37">
        <v>1</v>
      </c>
      <c r="F385" s="37">
        <v>1</v>
      </c>
      <c r="G385">
        <v>0.41490834999999998</v>
      </c>
      <c r="H385">
        <f t="shared" si="60"/>
        <v>0</v>
      </c>
      <c r="I385">
        <v>0.77488702535629295</v>
      </c>
      <c r="J385">
        <f t="shared" si="61"/>
        <v>1</v>
      </c>
      <c r="K385">
        <v>0.71528190374374401</v>
      </c>
      <c r="L385">
        <f t="shared" si="67"/>
        <v>1</v>
      </c>
      <c r="M385">
        <v>0.91994363099999998</v>
      </c>
      <c r="N385">
        <f t="shared" si="68"/>
        <v>1</v>
      </c>
      <c r="O385">
        <v>0.88961917161941495</v>
      </c>
      <c r="P385">
        <f t="shared" si="69"/>
        <v>1</v>
      </c>
      <c r="Q385">
        <v>0.55119568100000005</v>
      </c>
      <c r="R385">
        <f t="shared" si="70"/>
        <v>1</v>
      </c>
      <c r="S385">
        <v>0.85984480381011996</v>
      </c>
      <c r="T385">
        <f t="shared" si="62"/>
        <v>1</v>
      </c>
      <c r="U385" s="1">
        <v>0.77831660000000003</v>
      </c>
      <c r="V385">
        <v>1</v>
      </c>
      <c r="X385">
        <v>0</v>
      </c>
    </row>
    <row r="386" spans="1:24">
      <c r="A386" s="1">
        <v>0</v>
      </c>
      <c r="B386" s="1" t="s">
        <v>385</v>
      </c>
      <c r="C386" s="1">
        <v>0</v>
      </c>
      <c r="D386" s="33">
        <v>0</v>
      </c>
      <c r="E386" s="36">
        <v>0</v>
      </c>
      <c r="F386" s="37">
        <v>0</v>
      </c>
      <c r="G386">
        <v>5.7221826000000003E-2</v>
      </c>
      <c r="H386">
        <f t="shared" si="60"/>
        <v>0</v>
      </c>
      <c r="I386">
        <v>3.569827182218E-3</v>
      </c>
      <c r="J386">
        <f t="shared" si="61"/>
        <v>0</v>
      </c>
      <c r="K386">
        <v>0.18251986801624301</v>
      </c>
      <c r="L386">
        <f t="shared" si="67"/>
        <v>0</v>
      </c>
      <c r="M386">
        <v>0.302335083</v>
      </c>
      <c r="N386">
        <f t="shared" si="68"/>
        <v>0</v>
      </c>
      <c r="O386">
        <v>1.0844892822206E-2</v>
      </c>
      <c r="P386">
        <f t="shared" si="69"/>
        <v>0</v>
      </c>
      <c r="Q386" s="30">
        <v>0.20654246200000001</v>
      </c>
      <c r="R386">
        <f t="shared" si="70"/>
        <v>0</v>
      </c>
      <c r="S386">
        <v>4.5301634818315999E-2</v>
      </c>
      <c r="T386">
        <f t="shared" si="62"/>
        <v>0</v>
      </c>
      <c r="U386" s="1">
        <v>0.26005193999999998</v>
      </c>
      <c r="V386">
        <v>0</v>
      </c>
      <c r="X386">
        <v>0</v>
      </c>
    </row>
    <row r="387" spans="1:24">
      <c r="A387" s="1">
        <v>0</v>
      </c>
      <c r="B387" s="1" t="s">
        <v>386</v>
      </c>
      <c r="C387" s="1">
        <v>0</v>
      </c>
      <c r="D387" s="33">
        <v>1</v>
      </c>
      <c r="E387" s="37">
        <v>1</v>
      </c>
      <c r="F387" s="37">
        <v>0</v>
      </c>
      <c r="G387">
        <v>0.17206184599999999</v>
      </c>
      <c r="H387">
        <f t="shared" si="60"/>
        <v>0</v>
      </c>
      <c r="I387">
        <v>0.890988409519196</v>
      </c>
      <c r="J387">
        <f t="shared" si="61"/>
        <v>1</v>
      </c>
      <c r="K387">
        <v>0.477448850870132</v>
      </c>
      <c r="L387">
        <f t="shared" si="67"/>
        <v>0</v>
      </c>
      <c r="M387" s="30">
        <v>0.48319825500000002</v>
      </c>
      <c r="N387">
        <f t="shared" si="68"/>
        <v>0</v>
      </c>
      <c r="O387">
        <v>9.7660399973393E-2</v>
      </c>
      <c r="P387">
        <f t="shared" si="69"/>
        <v>0</v>
      </c>
      <c r="Q387">
        <v>0.32603961199999998</v>
      </c>
      <c r="R387">
        <f t="shared" si="70"/>
        <v>0</v>
      </c>
      <c r="S387">
        <v>0.122360572218895</v>
      </c>
      <c r="T387">
        <f t="shared" si="62"/>
        <v>0</v>
      </c>
      <c r="U387" s="1">
        <v>0.53470189999999995</v>
      </c>
      <c r="V387">
        <v>0</v>
      </c>
      <c r="X387">
        <v>0</v>
      </c>
    </row>
    <row r="388" spans="1:24">
      <c r="A388" s="1">
        <v>0</v>
      </c>
      <c r="B388" s="1" t="s">
        <v>387</v>
      </c>
      <c r="C388" s="1">
        <v>0</v>
      </c>
      <c r="D388" s="33">
        <v>0</v>
      </c>
      <c r="E388" s="36">
        <v>0</v>
      </c>
      <c r="F388" s="37">
        <v>0</v>
      </c>
      <c r="G388">
        <v>3.6252614000000002E-2</v>
      </c>
      <c r="H388">
        <f t="shared" si="60"/>
        <v>0</v>
      </c>
      <c r="I388" s="30">
        <v>1.8250802531800001E-4</v>
      </c>
      <c r="J388">
        <f t="shared" si="61"/>
        <v>0</v>
      </c>
      <c r="K388" s="30">
        <v>1.8696777522564E-2</v>
      </c>
      <c r="L388">
        <f t="shared" si="67"/>
        <v>0</v>
      </c>
      <c r="M388">
        <v>6.3391268000000001E-2</v>
      </c>
      <c r="N388">
        <f t="shared" si="68"/>
        <v>0</v>
      </c>
      <c r="O388">
        <v>1.07974061393E-4</v>
      </c>
      <c r="P388">
        <f t="shared" si="69"/>
        <v>0</v>
      </c>
      <c r="Q388">
        <v>7.9141527000000003E-2</v>
      </c>
      <c r="R388">
        <f t="shared" si="70"/>
        <v>0</v>
      </c>
      <c r="S388">
        <v>3.69117944501E-4</v>
      </c>
      <c r="T388">
        <f t="shared" si="62"/>
        <v>0</v>
      </c>
      <c r="U388" s="1">
        <v>9.0633279999999997E-2</v>
      </c>
      <c r="V388">
        <v>0</v>
      </c>
      <c r="X388">
        <v>0</v>
      </c>
    </row>
    <row r="389" spans="1:24">
      <c r="A389" s="1">
        <v>0</v>
      </c>
      <c r="B389" s="1" t="s">
        <v>388</v>
      </c>
      <c r="C389" s="1">
        <v>0</v>
      </c>
      <c r="D389" s="33">
        <v>0</v>
      </c>
      <c r="E389" s="36">
        <v>0</v>
      </c>
      <c r="F389" s="37">
        <v>0</v>
      </c>
      <c r="G389">
        <v>4.8599536999999998E-2</v>
      </c>
      <c r="H389">
        <f t="shared" si="60"/>
        <v>0</v>
      </c>
      <c r="I389">
        <v>2.18806686462E-4</v>
      </c>
      <c r="J389">
        <f t="shared" si="61"/>
        <v>0</v>
      </c>
      <c r="K389">
        <v>5.2136767655610997E-2</v>
      </c>
      <c r="L389">
        <f t="shared" si="67"/>
        <v>0</v>
      </c>
      <c r="M389" s="30">
        <v>7.7980590000000004E-3</v>
      </c>
      <c r="N389">
        <f t="shared" si="68"/>
        <v>0</v>
      </c>
      <c r="O389" s="30">
        <v>1.4004099284648E-5</v>
      </c>
      <c r="P389">
        <f t="shared" si="69"/>
        <v>0</v>
      </c>
      <c r="Q389">
        <v>0.125578105</v>
      </c>
      <c r="R389">
        <f t="shared" si="70"/>
        <v>0</v>
      </c>
      <c r="S389">
        <v>3.3394865691662001E-2</v>
      </c>
      <c r="T389">
        <f t="shared" si="62"/>
        <v>0</v>
      </c>
      <c r="U389" s="1">
        <v>0.29233900000000002</v>
      </c>
      <c r="V389">
        <v>0</v>
      </c>
      <c r="X389">
        <v>0</v>
      </c>
    </row>
    <row r="390" spans="1:24">
      <c r="A390" s="1">
        <v>0</v>
      </c>
      <c r="B390" s="1" t="s">
        <v>389</v>
      </c>
      <c r="C390" s="1">
        <v>0</v>
      </c>
      <c r="D390" s="33">
        <v>0</v>
      </c>
      <c r="E390" s="36">
        <v>0</v>
      </c>
      <c r="F390" s="37">
        <v>0</v>
      </c>
      <c r="G390">
        <v>6.0110610000000002E-2</v>
      </c>
      <c r="H390">
        <f t="shared" si="60"/>
        <v>0</v>
      </c>
      <c r="I390">
        <v>0.21508124470710699</v>
      </c>
      <c r="J390">
        <f t="shared" si="61"/>
        <v>0</v>
      </c>
      <c r="K390">
        <v>5.7251431047916003E-2</v>
      </c>
      <c r="L390">
        <f t="shared" si="67"/>
        <v>0</v>
      </c>
      <c r="M390" s="30">
        <v>2.3590434E-2</v>
      </c>
      <c r="N390">
        <f t="shared" si="68"/>
        <v>0</v>
      </c>
      <c r="O390">
        <v>1.1417848989368E-2</v>
      </c>
      <c r="P390">
        <f t="shared" si="69"/>
        <v>0</v>
      </c>
      <c r="Q390" s="30">
        <v>0.107636668</v>
      </c>
      <c r="R390">
        <f t="shared" si="70"/>
        <v>0</v>
      </c>
      <c r="S390">
        <v>1.1095643974841E-2</v>
      </c>
      <c r="T390">
        <f t="shared" si="62"/>
        <v>0</v>
      </c>
      <c r="U390" s="1">
        <v>0.17135653000000001</v>
      </c>
      <c r="V390">
        <v>0</v>
      </c>
      <c r="X390">
        <v>0</v>
      </c>
    </row>
    <row r="391" spans="1:24">
      <c r="A391" s="1">
        <v>0</v>
      </c>
      <c r="B391" s="1" t="s">
        <v>390</v>
      </c>
      <c r="C391" s="1">
        <v>0</v>
      </c>
      <c r="D391" s="33">
        <v>0</v>
      </c>
      <c r="E391" s="36">
        <v>0</v>
      </c>
      <c r="F391" s="37">
        <v>0</v>
      </c>
      <c r="G391">
        <v>0.39254414999999998</v>
      </c>
      <c r="H391">
        <f t="shared" si="60"/>
        <v>0</v>
      </c>
      <c r="I391">
        <v>0.84228813648223899</v>
      </c>
      <c r="J391">
        <f t="shared" si="61"/>
        <v>1</v>
      </c>
      <c r="K391">
        <v>0.37329018115997298</v>
      </c>
      <c r="L391">
        <f t="shared" si="67"/>
        <v>0</v>
      </c>
      <c r="M391">
        <v>0.96296715700000002</v>
      </c>
      <c r="N391">
        <f t="shared" si="68"/>
        <v>1</v>
      </c>
      <c r="O391">
        <v>0.33323597908019997</v>
      </c>
      <c r="P391">
        <f t="shared" si="69"/>
        <v>0</v>
      </c>
      <c r="Q391">
        <v>0.63880139599999997</v>
      </c>
      <c r="R391">
        <f t="shared" si="70"/>
        <v>1</v>
      </c>
      <c r="S391">
        <v>0.96171629428863503</v>
      </c>
      <c r="T391">
        <f t="shared" si="62"/>
        <v>1</v>
      </c>
      <c r="U391" s="1">
        <v>0.6559161</v>
      </c>
      <c r="V391">
        <v>1</v>
      </c>
      <c r="X391">
        <v>0</v>
      </c>
    </row>
    <row r="392" spans="1:24">
      <c r="A392" s="1">
        <v>0</v>
      </c>
      <c r="B392" s="1" t="s">
        <v>391</v>
      </c>
      <c r="C392" s="1">
        <v>0</v>
      </c>
      <c r="D392" s="33">
        <v>0</v>
      </c>
      <c r="E392" s="36">
        <v>0</v>
      </c>
      <c r="F392" s="37">
        <v>0</v>
      </c>
      <c r="G392">
        <v>5.3192165E-2</v>
      </c>
      <c r="H392">
        <f t="shared" si="60"/>
        <v>0</v>
      </c>
      <c r="I392" s="30">
        <v>0.13519336283206901</v>
      </c>
      <c r="J392">
        <f t="shared" si="61"/>
        <v>0</v>
      </c>
      <c r="K392" s="30">
        <v>3.4592051059007999E-2</v>
      </c>
      <c r="L392">
        <f t="shared" si="67"/>
        <v>0</v>
      </c>
      <c r="M392">
        <v>8.0705024E-2</v>
      </c>
      <c r="N392">
        <f t="shared" si="68"/>
        <v>0</v>
      </c>
      <c r="O392" s="30">
        <v>4.1514693293699998E-4</v>
      </c>
      <c r="P392">
        <f t="shared" si="69"/>
        <v>0</v>
      </c>
      <c r="Q392" s="30">
        <v>6.2860294999999997E-2</v>
      </c>
      <c r="R392">
        <f t="shared" si="70"/>
        <v>0</v>
      </c>
      <c r="S392">
        <v>1.816198811866E-3</v>
      </c>
      <c r="T392">
        <f t="shared" si="62"/>
        <v>0</v>
      </c>
      <c r="U392" s="1">
        <v>0.21407846999999999</v>
      </c>
      <c r="V392">
        <v>0</v>
      </c>
      <c r="X392">
        <v>0</v>
      </c>
    </row>
    <row r="393" spans="1:24">
      <c r="A393" s="1">
        <v>0</v>
      </c>
      <c r="B393" s="1" t="s">
        <v>392</v>
      </c>
      <c r="C393" s="1">
        <v>0</v>
      </c>
      <c r="D393" s="33">
        <v>0</v>
      </c>
      <c r="E393" s="36">
        <v>0</v>
      </c>
      <c r="F393" s="37">
        <v>0</v>
      </c>
      <c r="G393" s="30">
        <v>3.1707365000000001E-2</v>
      </c>
      <c r="H393">
        <f t="shared" si="60"/>
        <v>0</v>
      </c>
      <c r="I393" s="30">
        <v>1.77435096703E-4</v>
      </c>
      <c r="J393">
        <f t="shared" si="61"/>
        <v>0</v>
      </c>
      <c r="K393" s="30">
        <v>4.0491484105586999E-2</v>
      </c>
      <c r="L393">
        <f t="shared" si="67"/>
        <v>0</v>
      </c>
      <c r="M393">
        <v>1.90772E-4</v>
      </c>
      <c r="N393">
        <f t="shared" si="68"/>
        <v>0</v>
      </c>
      <c r="O393" s="30">
        <v>1.05135477497242E-5</v>
      </c>
      <c r="P393">
        <f t="shared" si="69"/>
        <v>0</v>
      </c>
      <c r="Q393" s="30">
        <v>0.131463304</v>
      </c>
      <c r="R393">
        <f t="shared" si="70"/>
        <v>0</v>
      </c>
      <c r="S393">
        <v>1.1999622074700001E-4</v>
      </c>
      <c r="T393">
        <f t="shared" si="62"/>
        <v>0</v>
      </c>
      <c r="U393" s="1">
        <v>0.23676164</v>
      </c>
      <c r="V393">
        <v>0</v>
      </c>
      <c r="X393">
        <v>0</v>
      </c>
    </row>
    <row r="394" spans="1:24">
      <c r="A394" s="1">
        <v>0</v>
      </c>
      <c r="B394" s="1" t="s">
        <v>393</v>
      </c>
      <c r="C394" s="1">
        <v>0</v>
      </c>
      <c r="D394" s="33">
        <v>1</v>
      </c>
      <c r="E394" s="36">
        <v>0</v>
      </c>
      <c r="F394" s="37">
        <v>0</v>
      </c>
      <c r="G394">
        <v>0.11929029200000001</v>
      </c>
      <c r="H394">
        <f t="shared" si="60"/>
        <v>0</v>
      </c>
      <c r="I394">
        <v>0.40938034653663602</v>
      </c>
      <c r="J394">
        <f t="shared" si="61"/>
        <v>0</v>
      </c>
      <c r="K394">
        <v>0.493363708257675</v>
      </c>
      <c r="L394">
        <f t="shared" si="67"/>
        <v>0</v>
      </c>
      <c r="M394" s="30">
        <v>8.3337717000000006E-2</v>
      </c>
      <c r="N394">
        <f t="shared" si="68"/>
        <v>0</v>
      </c>
      <c r="O394">
        <v>0.56872314214706399</v>
      </c>
      <c r="P394">
        <f t="shared" si="69"/>
        <v>1</v>
      </c>
      <c r="Q394">
        <v>0.47823023799999997</v>
      </c>
      <c r="R394">
        <f t="shared" si="70"/>
        <v>0</v>
      </c>
      <c r="S394">
        <v>2.0778793841600002E-3</v>
      </c>
      <c r="T394">
        <f t="shared" si="62"/>
        <v>0</v>
      </c>
      <c r="U394" s="1">
        <v>0.216865</v>
      </c>
      <c r="V394">
        <v>0</v>
      </c>
      <c r="X394">
        <v>0</v>
      </c>
    </row>
    <row r="395" spans="1:24">
      <c r="A395" s="1">
        <v>0</v>
      </c>
      <c r="B395" s="7" t="s">
        <v>394</v>
      </c>
      <c r="C395" s="1">
        <v>0</v>
      </c>
      <c r="D395" s="33">
        <v>0</v>
      </c>
      <c r="E395" s="36">
        <v>0</v>
      </c>
      <c r="F395" s="37">
        <v>0</v>
      </c>
      <c r="G395" s="30">
        <v>2.9801641E-2</v>
      </c>
      <c r="H395">
        <f t="shared" si="60"/>
        <v>0</v>
      </c>
      <c r="I395" s="30">
        <v>1.13910151413E-4</v>
      </c>
      <c r="J395">
        <f t="shared" si="61"/>
        <v>0</v>
      </c>
      <c r="K395" s="30">
        <v>8.3273081108929999E-3</v>
      </c>
      <c r="L395">
        <f t="shared" si="67"/>
        <v>0</v>
      </c>
      <c r="M395">
        <v>4.2766159999999996E-3</v>
      </c>
      <c r="N395">
        <f t="shared" si="68"/>
        <v>0</v>
      </c>
      <c r="O395" s="30">
        <v>6.1155464209150496E-5</v>
      </c>
      <c r="P395">
        <f t="shared" si="69"/>
        <v>0</v>
      </c>
      <c r="Q395" s="30">
        <v>7.3684907999999993E-2</v>
      </c>
      <c r="R395">
        <f t="shared" si="70"/>
        <v>0</v>
      </c>
      <c r="S395">
        <v>4.5769556891200002E-4</v>
      </c>
      <c r="T395">
        <f t="shared" si="62"/>
        <v>0</v>
      </c>
      <c r="U395" s="7">
        <v>0.13119987</v>
      </c>
      <c r="V395">
        <v>0</v>
      </c>
      <c r="X395">
        <v>1</v>
      </c>
    </row>
    <row r="396" spans="1:24">
      <c r="A396" s="1">
        <v>0</v>
      </c>
      <c r="B396" s="1" t="s">
        <v>395</v>
      </c>
      <c r="C396" s="1">
        <v>0</v>
      </c>
      <c r="D396" s="33">
        <v>1</v>
      </c>
      <c r="E396" s="37">
        <v>1</v>
      </c>
      <c r="F396" s="37">
        <v>0</v>
      </c>
      <c r="G396">
        <v>7.8508235999999995E-2</v>
      </c>
      <c r="H396">
        <f t="shared" si="60"/>
        <v>0</v>
      </c>
      <c r="I396">
        <v>0.35322397947311401</v>
      </c>
      <c r="J396">
        <f t="shared" si="61"/>
        <v>0</v>
      </c>
      <c r="K396">
        <v>9.5432870090008004E-2</v>
      </c>
      <c r="L396">
        <f t="shared" si="67"/>
        <v>0</v>
      </c>
      <c r="M396">
        <v>0.53202438399999996</v>
      </c>
      <c r="N396">
        <f t="shared" si="68"/>
        <v>1</v>
      </c>
      <c r="O396">
        <v>0.17277476191520699</v>
      </c>
      <c r="P396">
        <f t="shared" si="69"/>
        <v>0</v>
      </c>
      <c r="Q396">
        <v>0.257920802</v>
      </c>
      <c r="R396">
        <f t="shared" si="70"/>
        <v>0</v>
      </c>
      <c r="S396">
        <v>0.26238125562667802</v>
      </c>
      <c r="T396">
        <f t="shared" si="62"/>
        <v>0</v>
      </c>
      <c r="U396" s="1">
        <v>0.67945440000000001</v>
      </c>
      <c r="V396">
        <v>1</v>
      </c>
      <c r="X396">
        <v>0</v>
      </c>
    </row>
    <row r="397" spans="1:24">
      <c r="A397" s="1">
        <v>0</v>
      </c>
      <c r="B397" s="1" t="s">
        <v>396</v>
      </c>
      <c r="C397" s="1">
        <v>0</v>
      </c>
      <c r="D397" s="33">
        <v>0</v>
      </c>
      <c r="E397" s="36">
        <v>0</v>
      </c>
      <c r="F397" s="37">
        <v>0</v>
      </c>
      <c r="G397">
        <v>3.7011537999999997E-2</v>
      </c>
      <c r="H397">
        <f t="shared" si="60"/>
        <v>0</v>
      </c>
      <c r="I397">
        <v>0.142367362976074</v>
      </c>
      <c r="J397">
        <f t="shared" si="61"/>
        <v>0</v>
      </c>
      <c r="K397">
        <v>0.24977774918079401</v>
      </c>
      <c r="L397">
        <f t="shared" si="67"/>
        <v>0</v>
      </c>
      <c r="M397" s="30">
        <v>0.1483334</v>
      </c>
      <c r="N397">
        <f t="shared" si="68"/>
        <v>0</v>
      </c>
      <c r="O397">
        <v>8.0675221979619998E-3</v>
      </c>
      <c r="P397">
        <f t="shared" si="69"/>
        <v>0</v>
      </c>
      <c r="Q397">
        <v>0.48280081200000002</v>
      </c>
      <c r="R397">
        <f t="shared" si="70"/>
        <v>0</v>
      </c>
      <c r="S397">
        <v>3.4562582150100001E-3</v>
      </c>
      <c r="T397">
        <f t="shared" si="62"/>
        <v>0</v>
      </c>
      <c r="U397" s="1">
        <v>0.28524905</v>
      </c>
      <c r="V397">
        <v>0</v>
      </c>
      <c r="X397">
        <v>0</v>
      </c>
    </row>
    <row r="398" spans="1:24">
      <c r="A398" s="1">
        <v>0</v>
      </c>
      <c r="B398" s="1" t="s">
        <v>397</v>
      </c>
      <c r="C398" s="1">
        <v>0</v>
      </c>
      <c r="D398" s="33">
        <v>0</v>
      </c>
      <c r="E398" s="36">
        <v>0</v>
      </c>
      <c r="F398" s="37">
        <v>0</v>
      </c>
      <c r="G398" s="30">
        <v>9.3067624000000002E-2</v>
      </c>
      <c r="H398">
        <f t="shared" si="60"/>
        <v>0</v>
      </c>
      <c r="I398">
        <v>2.6196641847491001E-2</v>
      </c>
      <c r="J398">
        <f t="shared" si="61"/>
        <v>0</v>
      </c>
      <c r="K398">
        <v>6.2752343714237005E-2</v>
      </c>
      <c r="L398">
        <f t="shared" si="67"/>
        <v>0</v>
      </c>
      <c r="M398">
        <v>8.8872629999999994E-3</v>
      </c>
      <c r="N398">
        <f t="shared" si="68"/>
        <v>0</v>
      </c>
      <c r="O398">
        <v>6.6804611124100001E-3</v>
      </c>
      <c r="P398">
        <f t="shared" si="69"/>
        <v>0</v>
      </c>
      <c r="Q398">
        <v>0.188740239</v>
      </c>
      <c r="R398">
        <f t="shared" si="70"/>
        <v>0</v>
      </c>
      <c r="S398">
        <v>0.167848855257034</v>
      </c>
      <c r="T398">
        <f t="shared" si="62"/>
        <v>0</v>
      </c>
      <c r="U398" s="1">
        <v>0.62726307000000003</v>
      </c>
      <c r="V398">
        <v>0</v>
      </c>
      <c r="X398">
        <v>0</v>
      </c>
    </row>
    <row r="399" spans="1:24">
      <c r="A399" s="1">
        <v>0</v>
      </c>
      <c r="B399" s="1" t="s">
        <v>398</v>
      </c>
      <c r="C399" s="1">
        <v>0</v>
      </c>
      <c r="D399" s="33">
        <v>0</v>
      </c>
      <c r="E399" s="36">
        <v>0</v>
      </c>
      <c r="F399" s="37">
        <v>0</v>
      </c>
      <c r="G399">
        <v>0.101211362</v>
      </c>
      <c r="H399">
        <f t="shared" si="60"/>
        <v>0</v>
      </c>
      <c r="I399" s="30">
        <v>6.7557312548160997E-2</v>
      </c>
      <c r="J399">
        <f t="shared" si="61"/>
        <v>0</v>
      </c>
      <c r="K399" s="30">
        <v>6.6539846360683996E-2</v>
      </c>
      <c r="L399">
        <f t="shared" si="67"/>
        <v>0</v>
      </c>
      <c r="M399">
        <v>2.1414929999999999E-2</v>
      </c>
      <c r="N399">
        <f t="shared" si="68"/>
        <v>0</v>
      </c>
      <c r="O399">
        <v>8.7372062262100003E-4</v>
      </c>
      <c r="P399">
        <f t="shared" si="69"/>
        <v>0</v>
      </c>
      <c r="Q399" s="30">
        <v>0.119553536</v>
      </c>
      <c r="R399">
        <f t="shared" si="70"/>
        <v>0</v>
      </c>
      <c r="S399">
        <v>4.0264910785499998E-4</v>
      </c>
      <c r="T399">
        <f t="shared" si="62"/>
        <v>0</v>
      </c>
      <c r="U399" s="1">
        <v>0.19451366</v>
      </c>
      <c r="V399">
        <v>0</v>
      </c>
      <c r="X399">
        <v>0</v>
      </c>
    </row>
    <row r="400" spans="1:24">
      <c r="A400" s="1">
        <v>0</v>
      </c>
      <c r="B400" s="1" t="s">
        <v>399</v>
      </c>
      <c r="C400" s="1">
        <v>0</v>
      </c>
      <c r="D400" s="33">
        <v>0</v>
      </c>
      <c r="E400" s="36">
        <v>0</v>
      </c>
      <c r="F400" s="37">
        <v>0</v>
      </c>
      <c r="G400" s="30">
        <v>4.4235226000000002E-2</v>
      </c>
      <c r="H400">
        <f t="shared" si="60"/>
        <v>0</v>
      </c>
      <c r="I400" s="30">
        <v>5.537086166441E-3</v>
      </c>
      <c r="J400">
        <f t="shared" si="61"/>
        <v>0</v>
      </c>
      <c r="K400" s="30">
        <v>9.6484767273070007E-3</v>
      </c>
      <c r="L400">
        <f t="shared" si="67"/>
        <v>0</v>
      </c>
      <c r="M400">
        <v>5.7570470000000004E-3</v>
      </c>
      <c r="N400">
        <f t="shared" si="68"/>
        <v>0</v>
      </c>
      <c r="O400">
        <v>1.35250462336E-4</v>
      </c>
      <c r="P400">
        <f t="shared" si="69"/>
        <v>0</v>
      </c>
      <c r="Q400">
        <v>0.11500439</v>
      </c>
      <c r="R400">
        <f t="shared" si="70"/>
        <v>0</v>
      </c>
      <c r="S400">
        <v>1.0631705634295999E-2</v>
      </c>
      <c r="T400">
        <f t="shared" si="62"/>
        <v>0</v>
      </c>
      <c r="U400" s="1">
        <v>0.18508753</v>
      </c>
      <c r="V400">
        <v>0</v>
      </c>
      <c r="X400">
        <v>0</v>
      </c>
    </row>
    <row r="401" spans="1:24">
      <c r="A401" s="1">
        <v>0</v>
      </c>
      <c r="B401" s="1" t="s">
        <v>400</v>
      </c>
      <c r="C401" s="1">
        <v>0</v>
      </c>
      <c r="D401" s="33">
        <v>0</v>
      </c>
      <c r="E401" s="36">
        <v>0</v>
      </c>
      <c r="F401" s="37">
        <v>0</v>
      </c>
      <c r="G401">
        <v>4.9604206999999997E-2</v>
      </c>
      <c r="H401">
        <f t="shared" si="60"/>
        <v>0</v>
      </c>
      <c r="I401" s="30">
        <v>3.5765257780399998E-4</v>
      </c>
      <c r="J401">
        <f t="shared" si="61"/>
        <v>0</v>
      </c>
      <c r="K401" s="30">
        <v>6.9194273091850002E-3</v>
      </c>
      <c r="L401">
        <f t="shared" si="67"/>
        <v>0</v>
      </c>
      <c r="M401" s="30">
        <v>1.2821577000000001E-2</v>
      </c>
      <c r="N401">
        <f t="shared" si="68"/>
        <v>0</v>
      </c>
      <c r="O401" s="30">
        <v>1.1191372095709099E-6</v>
      </c>
      <c r="P401">
        <f t="shared" si="69"/>
        <v>0</v>
      </c>
      <c r="Q401" s="30">
        <v>9.5412046E-2</v>
      </c>
      <c r="R401">
        <f t="shared" si="70"/>
        <v>0</v>
      </c>
      <c r="S401">
        <v>1.59224058734E-4</v>
      </c>
      <c r="T401">
        <f t="shared" si="62"/>
        <v>0</v>
      </c>
      <c r="U401" s="1">
        <v>8.5036379999999995E-2</v>
      </c>
      <c r="V401">
        <v>0</v>
      </c>
      <c r="X401">
        <v>0</v>
      </c>
    </row>
    <row r="402" spans="1:24">
      <c r="A402" s="1">
        <v>0</v>
      </c>
      <c r="B402" s="1" t="s">
        <v>401</v>
      </c>
      <c r="C402" s="1">
        <v>0</v>
      </c>
      <c r="D402" s="33">
        <v>0</v>
      </c>
      <c r="E402" s="36">
        <v>0</v>
      </c>
      <c r="F402" s="37">
        <v>0</v>
      </c>
      <c r="G402">
        <v>0.68050998399999996</v>
      </c>
      <c r="H402">
        <f t="shared" si="60"/>
        <v>1</v>
      </c>
      <c r="I402">
        <v>0.85226511955261197</v>
      </c>
      <c r="J402">
        <f t="shared" si="61"/>
        <v>1</v>
      </c>
      <c r="K402">
        <v>0.71944212913513195</v>
      </c>
      <c r="L402">
        <f t="shared" si="67"/>
        <v>1</v>
      </c>
      <c r="M402" s="30">
        <v>0.97634911499999999</v>
      </c>
      <c r="N402">
        <f t="shared" si="68"/>
        <v>1</v>
      </c>
      <c r="O402">
        <v>0.47871139645576499</v>
      </c>
      <c r="P402">
        <f t="shared" si="69"/>
        <v>0</v>
      </c>
      <c r="Q402">
        <v>0.453293324</v>
      </c>
      <c r="R402">
        <f t="shared" si="70"/>
        <v>0</v>
      </c>
      <c r="S402">
        <v>0.22313584387302399</v>
      </c>
      <c r="T402">
        <f t="shared" si="62"/>
        <v>0</v>
      </c>
      <c r="U402" s="1">
        <v>0.13663422</v>
      </c>
      <c r="V402">
        <v>0</v>
      </c>
      <c r="X402">
        <v>0</v>
      </c>
    </row>
    <row r="403" spans="1:24">
      <c r="A403" s="1">
        <v>0</v>
      </c>
      <c r="B403" s="1" t="s">
        <v>402</v>
      </c>
      <c r="C403" s="1">
        <v>0</v>
      </c>
      <c r="D403" s="33">
        <v>1</v>
      </c>
      <c r="E403" s="36">
        <v>0</v>
      </c>
      <c r="F403" s="37">
        <v>0</v>
      </c>
      <c r="G403">
        <v>2.7934806E-2</v>
      </c>
      <c r="H403">
        <f t="shared" si="60"/>
        <v>0</v>
      </c>
      <c r="I403" s="30">
        <v>1.4152013463900001E-3</v>
      </c>
      <c r="J403">
        <f t="shared" si="61"/>
        <v>0</v>
      </c>
      <c r="K403">
        <v>2.0418299362064001E-2</v>
      </c>
      <c r="L403">
        <f t="shared" si="67"/>
        <v>0</v>
      </c>
      <c r="M403">
        <v>0.13851302900000001</v>
      </c>
      <c r="N403">
        <f t="shared" si="68"/>
        <v>0</v>
      </c>
      <c r="O403" s="30">
        <v>4.8063440772239098E-5</v>
      </c>
      <c r="P403">
        <f t="shared" si="69"/>
        <v>0</v>
      </c>
      <c r="Q403">
        <v>0.18657966000000001</v>
      </c>
      <c r="R403">
        <f t="shared" si="70"/>
        <v>0</v>
      </c>
      <c r="S403">
        <v>2.547376789153E-3</v>
      </c>
      <c r="T403">
        <f t="shared" si="62"/>
        <v>0</v>
      </c>
      <c r="U403" s="1">
        <v>0.43223571999999999</v>
      </c>
      <c r="V403">
        <v>0</v>
      </c>
      <c r="X403">
        <v>0</v>
      </c>
    </row>
    <row r="404" spans="1:24">
      <c r="A404" s="1">
        <v>0</v>
      </c>
      <c r="B404" s="1" t="s">
        <v>403</v>
      </c>
      <c r="C404" s="1">
        <v>0</v>
      </c>
      <c r="D404" s="33">
        <v>0</v>
      </c>
      <c r="E404" s="36">
        <v>0</v>
      </c>
      <c r="F404" s="37">
        <v>0</v>
      </c>
      <c r="G404">
        <v>0.28491100699999999</v>
      </c>
      <c r="H404">
        <f t="shared" si="60"/>
        <v>0</v>
      </c>
      <c r="I404">
        <v>0.96739184856414795</v>
      </c>
      <c r="J404">
        <f t="shared" si="61"/>
        <v>1</v>
      </c>
      <c r="K404">
        <v>0.79405379295349099</v>
      </c>
      <c r="L404">
        <f t="shared" si="67"/>
        <v>1</v>
      </c>
      <c r="M404" s="30">
        <v>0.44521775800000002</v>
      </c>
      <c r="N404">
        <f t="shared" si="68"/>
        <v>0</v>
      </c>
      <c r="O404">
        <v>0.78557699918747004</v>
      </c>
      <c r="P404">
        <f t="shared" si="69"/>
        <v>1</v>
      </c>
      <c r="Q404">
        <v>0.61424630899999999</v>
      </c>
      <c r="R404">
        <f t="shared" si="70"/>
        <v>1</v>
      </c>
      <c r="S404">
        <v>0.97674471139907804</v>
      </c>
      <c r="T404">
        <f t="shared" si="62"/>
        <v>1</v>
      </c>
      <c r="U404" s="1">
        <v>0.5063917</v>
      </c>
      <c r="V404">
        <v>0</v>
      </c>
      <c r="X404">
        <v>0</v>
      </c>
    </row>
    <row r="405" spans="1:24">
      <c r="A405" s="1">
        <v>0</v>
      </c>
      <c r="B405" s="1" t="s">
        <v>404</v>
      </c>
      <c r="C405" s="1">
        <v>0</v>
      </c>
      <c r="D405" s="33">
        <v>0</v>
      </c>
      <c r="E405" s="36">
        <v>0</v>
      </c>
      <c r="F405" s="37">
        <v>0</v>
      </c>
      <c r="G405">
        <v>0.34789144999999999</v>
      </c>
      <c r="H405">
        <f t="shared" si="60"/>
        <v>0</v>
      </c>
      <c r="I405">
        <v>0.119718357920647</v>
      </c>
      <c r="J405">
        <f t="shared" si="61"/>
        <v>0</v>
      </c>
      <c r="K405">
        <v>0.15239830315113101</v>
      </c>
      <c r="L405">
        <f t="shared" si="67"/>
        <v>0</v>
      </c>
      <c r="M405">
        <v>0.34726720999999999</v>
      </c>
      <c r="N405">
        <f t="shared" si="68"/>
        <v>0</v>
      </c>
      <c r="O405">
        <v>0.30646243691444403</v>
      </c>
      <c r="P405">
        <f t="shared" si="69"/>
        <v>0</v>
      </c>
      <c r="Q405">
        <v>0.67179101699999999</v>
      </c>
      <c r="R405">
        <f t="shared" si="70"/>
        <v>1</v>
      </c>
      <c r="S405">
        <v>0.101554982364178</v>
      </c>
      <c r="T405">
        <f t="shared" si="62"/>
        <v>0</v>
      </c>
      <c r="U405" s="1">
        <v>0.73678440000000001</v>
      </c>
      <c r="V405">
        <v>1</v>
      </c>
      <c r="X405">
        <v>0</v>
      </c>
    </row>
    <row r="406" spans="1:24">
      <c r="A406" s="1">
        <v>0</v>
      </c>
      <c r="B406" s="1" t="s">
        <v>405</v>
      </c>
      <c r="C406" s="1">
        <v>0</v>
      </c>
      <c r="D406" s="33">
        <v>1</v>
      </c>
      <c r="E406" s="37">
        <v>1</v>
      </c>
      <c r="F406" s="37">
        <v>0</v>
      </c>
      <c r="G406">
        <v>0.23259289599999999</v>
      </c>
      <c r="H406">
        <f t="shared" si="60"/>
        <v>0</v>
      </c>
      <c r="I406">
        <v>0.36659893393516502</v>
      </c>
      <c r="J406">
        <f t="shared" si="61"/>
        <v>0</v>
      </c>
      <c r="K406">
        <v>0.342343509197235</v>
      </c>
      <c r="L406">
        <f t="shared" si="67"/>
        <v>0</v>
      </c>
      <c r="M406">
        <v>0.65620714400000002</v>
      </c>
      <c r="N406">
        <f t="shared" si="68"/>
        <v>1</v>
      </c>
      <c r="O406">
        <v>8.0473804846410008E-3</v>
      </c>
      <c r="P406">
        <f t="shared" si="69"/>
        <v>0</v>
      </c>
      <c r="Q406">
        <v>0.52383661299999995</v>
      </c>
      <c r="R406">
        <f t="shared" si="70"/>
        <v>1</v>
      </c>
      <c r="S406">
        <v>0.46712788939476002</v>
      </c>
      <c r="T406">
        <f t="shared" si="62"/>
        <v>0</v>
      </c>
      <c r="U406" s="1">
        <v>0.78459144000000003</v>
      </c>
      <c r="V406">
        <v>1</v>
      </c>
      <c r="X406">
        <v>0</v>
      </c>
    </row>
    <row r="407" spans="1:24">
      <c r="A407" s="1">
        <v>0</v>
      </c>
      <c r="B407" s="1" t="s">
        <v>406</v>
      </c>
      <c r="C407" s="1">
        <v>0</v>
      </c>
      <c r="D407" s="33">
        <v>0</v>
      </c>
      <c r="E407" s="36">
        <v>0</v>
      </c>
      <c r="F407" s="37">
        <v>0</v>
      </c>
      <c r="G407">
        <v>4.2770978000000001E-2</v>
      </c>
      <c r="H407">
        <f t="shared" si="60"/>
        <v>0</v>
      </c>
      <c r="I407" s="30">
        <v>7.8639923594900005E-4</v>
      </c>
      <c r="J407">
        <f t="shared" si="61"/>
        <v>0</v>
      </c>
      <c r="K407">
        <v>1.4141966588794999E-2</v>
      </c>
      <c r="L407">
        <f t="shared" si="67"/>
        <v>0</v>
      </c>
      <c r="M407" s="30">
        <v>1.6426800000000001E-3</v>
      </c>
      <c r="N407">
        <f t="shared" si="68"/>
        <v>0</v>
      </c>
      <c r="O407">
        <v>7.3261256329699997E-4</v>
      </c>
      <c r="P407">
        <f t="shared" si="69"/>
        <v>0</v>
      </c>
      <c r="Q407" s="30">
        <v>0.13602715700000001</v>
      </c>
      <c r="R407">
        <f t="shared" si="70"/>
        <v>0</v>
      </c>
      <c r="S407">
        <v>3.2467354089022002E-2</v>
      </c>
      <c r="T407">
        <f t="shared" si="62"/>
        <v>0</v>
      </c>
      <c r="U407" s="1">
        <v>0.26805996999999998</v>
      </c>
      <c r="V407">
        <v>0</v>
      </c>
      <c r="X407">
        <v>0</v>
      </c>
    </row>
    <row r="408" spans="1:24">
      <c r="A408" s="1">
        <v>0</v>
      </c>
      <c r="B408" s="1" t="s">
        <v>407</v>
      </c>
      <c r="C408" s="1">
        <v>0</v>
      </c>
      <c r="D408" s="33">
        <v>0</v>
      </c>
      <c r="E408" s="36">
        <v>0</v>
      </c>
      <c r="F408" s="37">
        <v>0</v>
      </c>
      <c r="G408" s="30">
        <v>6.5129474000000007E-2</v>
      </c>
      <c r="H408">
        <f t="shared" ref="H408:H470" si="71">IF(G408&gt;$A$2,1,0)</f>
        <v>0</v>
      </c>
      <c r="I408" s="30">
        <v>0.10630663484335</v>
      </c>
      <c r="J408">
        <f t="shared" ref="J408:J470" si="72">IF(I408&gt;$A$2,1,0)</f>
        <v>0</v>
      </c>
      <c r="K408">
        <v>8.1626512110233002E-2</v>
      </c>
      <c r="L408">
        <f t="shared" si="67"/>
        <v>0</v>
      </c>
      <c r="M408">
        <v>6.0292941000000003E-2</v>
      </c>
      <c r="N408">
        <f t="shared" si="68"/>
        <v>0</v>
      </c>
      <c r="O408">
        <v>4.9386015161870002E-3</v>
      </c>
      <c r="P408">
        <f t="shared" si="69"/>
        <v>0</v>
      </c>
      <c r="Q408">
        <v>0.16089014700000001</v>
      </c>
      <c r="R408">
        <f t="shared" si="70"/>
        <v>0</v>
      </c>
      <c r="S408">
        <v>2.8283005580306001E-2</v>
      </c>
      <c r="T408">
        <f>IF(S408&gt;$A$2,1,0)</f>
        <v>0</v>
      </c>
      <c r="U408" s="1">
        <v>0.42966944000000001</v>
      </c>
      <c r="V408">
        <v>0</v>
      </c>
      <c r="X408">
        <v>0</v>
      </c>
    </row>
    <row r="409" spans="1:24">
      <c r="A409" s="1">
        <v>0</v>
      </c>
      <c r="B409" s="1" t="s">
        <v>408</v>
      </c>
      <c r="C409" s="1">
        <v>0</v>
      </c>
      <c r="D409" s="33">
        <v>0</v>
      </c>
      <c r="E409" s="36">
        <v>0</v>
      </c>
      <c r="F409" s="37">
        <v>0</v>
      </c>
      <c r="G409">
        <v>4.3937734999999999E-2</v>
      </c>
      <c r="H409">
        <f t="shared" si="71"/>
        <v>0</v>
      </c>
      <c r="I409">
        <v>6.6882395185530004E-3</v>
      </c>
      <c r="J409">
        <f t="shared" si="72"/>
        <v>0</v>
      </c>
      <c r="K409">
        <v>6.1618410050869002E-2</v>
      </c>
      <c r="L409">
        <f t="shared" si="67"/>
        <v>0</v>
      </c>
      <c r="M409">
        <v>0.109442584</v>
      </c>
      <c r="N409">
        <f t="shared" si="68"/>
        <v>0</v>
      </c>
      <c r="O409">
        <v>3.39224789059E-4</v>
      </c>
      <c r="P409">
        <f t="shared" si="69"/>
        <v>0</v>
      </c>
      <c r="Q409">
        <v>0.15328404300000001</v>
      </c>
      <c r="R409">
        <f t="shared" si="70"/>
        <v>0</v>
      </c>
      <c r="S409">
        <v>3.5947263240809998E-3</v>
      </c>
      <c r="T409">
        <f>IF(S409&gt;$A$2,1,0)</f>
        <v>0</v>
      </c>
      <c r="U409" s="1">
        <v>0.44076110000000002</v>
      </c>
      <c r="V409">
        <v>0</v>
      </c>
      <c r="X409">
        <v>0</v>
      </c>
    </row>
    <row r="410" spans="1:24">
      <c r="A410" s="1">
        <v>0</v>
      </c>
      <c r="B410" s="1" t="s">
        <v>409</v>
      </c>
      <c r="C410" s="1">
        <v>0</v>
      </c>
      <c r="D410" s="33">
        <v>0</v>
      </c>
      <c r="E410" s="36">
        <v>0</v>
      </c>
      <c r="F410" s="37">
        <v>0</v>
      </c>
      <c r="G410">
        <v>6.8567313000000005E-2</v>
      </c>
      <c r="H410">
        <f t="shared" si="71"/>
        <v>0</v>
      </c>
      <c r="I410">
        <v>0.19576071202754999</v>
      </c>
      <c r="J410">
        <f t="shared" si="72"/>
        <v>0</v>
      </c>
      <c r="K410">
        <v>0.25476539134979198</v>
      </c>
      <c r="L410">
        <f t="shared" si="67"/>
        <v>0</v>
      </c>
      <c r="M410">
        <v>0.13965058299999999</v>
      </c>
      <c r="N410">
        <f t="shared" si="68"/>
        <v>0</v>
      </c>
      <c r="O410">
        <v>0.20472258329391499</v>
      </c>
      <c r="P410">
        <f t="shared" si="69"/>
        <v>0</v>
      </c>
      <c r="Q410">
        <v>0.33061617599999998</v>
      </c>
      <c r="R410">
        <f t="shared" si="70"/>
        <v>0</v>
      </c>
      <c r="S410">
        <v>4.1348490864039002E-2</v>
      </c>
      <c r="T410">
        <f>IF(S410&gt;$A$2,1,0)</f>
        <v>0</v>
      </c>
      <c r="U410" s="1">
        <v>0.45853939999999999</v>
      </c>
      <c r="V410">
        <v>0</v>
      </c>
      <c r="X410">
        <v>0</v>
      </c>
    </row>
    <row r="411" spans="1:24">
      <c r="A411" s="1">
        <v>0</v>
      </c>
      <c r="B411" s="1" t="s">
        <v>410</v>
      </c>
      <c r="C411" s="1">
        <v>0</v>
      </c>
      <c r="D411" s="33">
        <v>0</v>
      </c>
      <c r="E411" s="36">
        <v>0</v>
      </c>
      <c r="F411" s="37">
        <v>0</v>
      </c>
      <c r="G411">
        <v>5.0669144999999999E-2</v>
      </c>
      <c r="H411">
        <f t="shared" si="71"/>
        <v>0</v>
      </c>
      <c r="I411">
        <v>1.716168480925E-3</v>
      </c>
      <c r="J411">
        <f t="shared" si="72"/>
        <v>0</v>
      </c>
      <c r="K411">
        <v>7.7284745872020999E-2</v>
      </c>
      <c r="L411">
        <f t="shared" si="67"/>
        <v>0</v>
      </c>
      <c r="M411">
        <v>6.273666E-2</v>
      </c>
      <c r="N411">
        <f t="shared" si="68"/>
        <v>0</v>
      </c>
      <c r="O411" s="30">
        <v>8.2361642853356898E-5</v>
      </c>
      <c r="P411">
        <f t="shared" si="69"/>
        <v>0</v>
      </c>
      <c r="Q411" s="30">
        <v>6.7576638999999994E-2</v>
      </c>
      <c r="R411">
        <f t="shared" si="70"/>
        <v>0</v>
      </c>
      <c r="S411">
        <v>6.7057334817949999E-3</v>
      </c>
      <c r="T411">
        <f t="shared" ref="T411:T470" si="73">IF(S411&gt;$A$2,1,0)</f>
        <v>0</v>
      </c>
      <c r="U411" s="1">
        <v>0.41217014000000002</v>
      </c>
      <c r="V411">
        <v>0</v>
      </c>
      <c r="X411">
        <v>0</v>
      </c>
    </row>
    <row r="412" spans="1:24">
      <c r="A412" s="1">
        <v>0</v>
      </c>
      <c r="B412" s="1" t="s">
        <v>411</v>
      </c>
      <c r="C412" s="1">
        <v>0</v>
      </c>
      <c r="D412" s="33">
        <v>1</v>
      </c>
      <c r="E412" s="36">
        <v>0</v>
      </c>
      <c r="F412" s="37">
        <v>0</v>
      </c>
      <c r="G412">
        <v>0.36200633599999998</v>
      </c>
      <c r="H412">
        <f t="shared" si="71"/>
        <v>0</v>
      </c>
      <c r="I412">
        <v>0.48356974124908497</v>
      </c>
      <c r="J412">
        <f t="shared" si="72"/>
        <v>0</v>
      </c>
      <c r="K412">
        <v>0.46017757058143599</v>
      </c>
      <c r="L412">
        <f t="shared" si="67"/>
        <v>0</v>
      </c>
      <c r="M412" s="30">
        <v>0.65144145499999995</v>
      </c>
      <c r="N412">
        <f t="shared" si="68"/>
        <v>1</v>
      </c>
      <c r="O412">
        <v>0.64971578121185303</v>
      </c>
      <c r="P412">
        <f t="shared" si="69"/>
        <v>1</v>
      </c>
      <c r="Q412">
        <v>0.71271836799999999</v>
      </c>
      <c r="R412">
        <f t="shared" si="70"/>
        <v>1</v>
      </c>
      <c r="S412">
        <v>0.77002292871475198</v>
      </c>
      <c r="T412">
        <f t="shared" si="73"/>
        <v>1</v>
      </c>
      <c r="U412" s="1">
        <v>0.50611717000000001</v>
      </c>
      <c r="V412">
        <v>0</v>
      </c>
      <c r="X412">
        <v>0</v>
      </c>
    </row>
    <row r="413" spans="1:24">
      <c r="A413" s="1">
        <v>0</v>
      </c>
      <c r="B413" s="1" t="s">
        <v>412</v>
      </c>
      <c r="C413" s="1">
        <v>0</v>
      </c>
      <c r="D413" s="33">
        <v>0</v>
      </c>
      <c r="E413" s="37">
        <v>1</v>
      </c>
      <c r="F413" s="37">
        <v>1</v>
      </c>
      <c r="G413">
        <v>0.32521417699999999</v>
      </c>
      <c r="H413">
        <f t="shared" si="71"/>
        <v>0</v>
      </c>
      <c r="I413">
        <v>0.40548610687255898</v>
      </c>
      <c r="J413">
        <f t="shared" si="72"/>
        <v>0</v>
      </c>
      <c r="K413">
        <v>0.233589753508568</v>
      </c>
      <c r="L413">
        <f t="shared" si="67"/>
        <v>0</v>
      </c>
      <c r="M413" s="30">
        <v>0.32870727799999999</v>
      </c>
      <c r="N413">
        <f t="shared" si="68"/>
        <v>0</v>
      </c>
      <c r="O413">
        <v>0.33094748854637102</v>
      </c>
      <c r="P413">
        <f t="shared" si="69"/>
        <v>0</v>
      </c>
      <c r="Q413">
        <v>0.70361041999999996</v>
      </c>
      <c r="R413">
        <f t="shared" si="70"/>
        <v>1</v>
      </c>
      <c r="S413">
        <v>3.3049721270799998E-2</v>
      </c>
      <c r="T413">
        <f t="shared" si="73"/>
        <v>0</v>
      </c>
      <c r="U413" s="1">
        <v>0.38399909999999998</v>
      </c>
      <c r="V413">
        <v>0</v>
      </c>
      <c r="X413">
        <v>0</v>
      </c>
    </row>
    <row r="414" spans="1:24">
      <c r="A414" s="1">
        <v>0</v>
      </c>
      <c r="B414" s="1" t="s">
        <v>413</v>
      </c>
      <c r="C414" s="1">
        <v>0</v>
      </c>
      <c r="D414" s="33">
        <v>0</v>
      </c>
      <c r="E414" s="37">
        <v>1</v>
      </c>
      <c r="F414" s="37">
        <v>0</v>
      </c>
      <c r="G414">
        <v>4.4105124000000002E-2</v>
      </c>
      <c r="H414">
        <f t="shared" si="71"/>
        <v>0</v>
      </c>
      <c r="I414">
        <v>0.31226065754890397</v>
      </c>
      <c r="J414">
        <f t="shared" si="72"/>
        <v>0</v>
      </c>
      <c r="K414">
        <v>0.39479658007621798</v>
      </c>
      <c r="L414">
        <f t="shared" si="67"/>
        <v>0</v>
      </c>
      <c r="M414">
        <v>0.36169570699999998</v>
      </c>
      <c r="N414">
        <f t="shared" si="68"/>
        <v>0</v>
      </c>
      <c r="O414">
        <v>1.0277511319149999E-3</v>
      </c>
      <c r="P414">
        <f t="shared" si="69"/>
        <v>0</v>
      </c>
      <c r="Q414">
        <v>0.28475439499999999</v>
      </c>
      <c r="R414">
        <f t="shared" si="70"/>
        <v>0</v>
      </c>
      <c r="S414">
        <v>8.8305985555049999E-3</v>
      </c>
      <c r="T414">
        <f t="shared" si="73"/>
        <v>0</v>
      </c>
      <c r="U414" s="1">
        <v>0.32111810000000002</v>
      </c>
      <c r="V414">
        <v>0</v>
      </c>
      <c r="X414">
        <v>0</v>
      </c>
    </row>
    <row r="415" spans="1:24">
      <c r="A415" s="1">
        <v>0</v>
      </c>
      <c r="B415" s="1" t="s">
        <v>414</v>
      </c>
      <c r="C415" s="1">
        <v>0</v>
      </c>
      <c r="D415" s="33">
        <v>1</v>
      </c>
      <c r="E415" s="36">
        <v>0</v>
      </c>
      <c r="F415" s="37">
        <v>0</v>
      </c>
      <c r="G415">
        <v>0.13644741499999999</v>
      </c>
      <c r="H415">
        <f t="shared" si="71"/>
        <v>0</v>
      </c>
      <c r="I415">
        <v>1.9863514229654999E-2</v>
      </c>
      <c r="J415">
        <f t="shared" si="72"/>
        <v>0</v>
      </c>
      <c r="K415">
        <v>5.0644379109144003E-2</v>
      </c>
      <c r="L415">
        <f t="shared" ref="L415:L446" si="74">IF(K415&gt;$A$2,1,0)</f>
        <v>0</v>
      </c>
      <c r="M415">
        <v>0.85087257599999999</v>
      </c>
      <c r="N415">
        <f t="shared" ref="N415:N446" si="75">IF(M415&gt;$A$2,1,0)</f>
        <v>1</v>
      </c>
      <c r="O415">
        <v>9.951445972549999E-4</v>
      </c>
      <c r="P415">
        <f t="shared" ref="P415:P446" si="76">IF(O415&gt;$A$2,1,0)</f>
        <v>0</v>
      </c>
      <c r="Q415">
        <v>0.66070044000000006</v>
      </c>
      <c r="R415">
        <f t="shared" ref="R415:R446" si="77">IF(Q415&gt;$A$2,1,0)</f>
        <v>1</v>
      </c>
      <c r="S415">
        <v>0.12834961712360399</v>
      </c>
      <c r="T415">
        <f t="shared" si="73"/>
        <v>0</v>
      </c>
      <c r="U415" s="1">
        <v>0.72887939999999996</v>
      </c>
      <c r="V415">
        <v>1</v>
      </c>
      <c r="X415">
        <v>0</v>
      </c>
    </row>
    <row r="416" spans="1:24">
      <c r="A416" s="1">
        <v>0</v>
      </c>
      <c r="B416" s="1" t="s">
        <v>415</v>
      </c>
      <c r="C416" s="1">
        <v>0</v>
      </c>
      <c r="D416" s="33">
        <v>0</v>
      </c>
      <c r="E416" s="36">
        <v>0</v>
      </c>
      <c r="F416" s="37">
        <v>0</v>
      </c>
      <c r="G416" s="30">
        <v>3.3166248000000002E-2</v>
      </c>
      <c r="H416">
        <f t="shared" si="71"/>
        <v>0</v>
      </c>
      <c r="I416" s="30">
        <v>3.8296908314805498E-5</v>
      </c>
      <c r="J416">
        <f t="shared" si="72"/>
        <v>0</v>
      </c>
      <c r="K416">
        <v>4.6746414154767997E-2</v>
      </c>
      <c r="L416">
        <f t="shared" si="74"/>
        <v>0</v>
      </c>
      <c r="M416">
        <v>2.4895490999999999E-2</v>
      </c>
      <c r="N416">
        <f t="shared" si="75"/>
        <v>0</v>
      </c>
      <c r="O416" s="30">
        <v>9.5848721684888005E-5</v>
      </c>
      <c r="P416">
        <f t="shared" si="76"/>
        <v>0</v>
      </c>
      <c r="Q416" s="30">
        <v>7.9975218000000001E-2</v>
      </c>
      <c r="R416">
        <f t="shared" si="77"/>
        <v>0</v>
      </c>
      <c r="S416" s="30">
        <v>5.8256035117665299E-5</v>
      </c>
      <c r="T416">
        <f t="shared" si="73"/>
        <v>0</v>
      </c>
      <c r="U416" s="1">
        <v>0.17616232000000001</v>
      </c>
      <c r="V416">
        <v>0</v>
      </c>
      <c r="X416">
        <v>0</v>
      </c>
    </row>
    <row r="417" spans="1:24">
      <c r="A417" s="1">
        <v>0</v>
      </c>
      <c r="B417" s="1" t="s">
        <v>416</v>
      </c>
      <c r="C417" s="1">
        <v>0</v>
      </c>
      <c r="D417" s="33">
        <v>0</v>
      </c>
      <c r="E417" s="36">
        <v>0</v>
      </c>
      <c r="F417" s="37">
        <v>0</v>
      </c>
      <c r="G417">
        <v>5.9801839000000002E-2</v>
      </c>
      <c r="H417">
        <f t="shared" si="71"/>
        <v>0</v>
      </c>
      <c r="I417" s="30">
        <v>3.6246544914299999E-4</v>
      </c>
      <c r="J417">
        <f t="shared" si="72"/>
        <v>0</v>
      </c>
      <c r="K417">
        <v>1.5295504592359E-2</v>
      </c>
      <c r="L417">
        <f t="shared" si="74"/>
        <v>0</v>
      </c>
      <c r="M417">
        <v>1.2621215999999999E-2</v>
      </c>
      <c r="N417">
        <f t="shared" si="75"/>
        <v>0</v>
      </c>
      <c r="O417">
        <v>1.2468974455299999E-4</v>
      </c>
      <c r="P417">
        <f t="shared" si="76"/>
        <v>0</v>
      </c>
      <c r="Q417">
        <v>0.19179774799999999</v>
      </c>
      <c r="R417">
        <f t="shared" si="77"/>
        <v>0</v>
      </c>
      <c r="S417">
        <v>2.0473678596320002E-3</v>
      </c>
      <c r="T417">
        <f t="shared" si="73"/>
        <v>0</v>
      </c>
      <c r="U417" s="1">
        <v>0.33454507999999999</v>
      </c>
      <c r="V417">
        <v>0</v>
      </c>
      <c r="X417">
        <v>0</v>
      </c>
    </row>
    <row r="418" spans="1:24">
      <c r="A418" s="1">
        <v>0</v>
      </c>
      <c r="B418" s="1" t="s">
        <v>417</v>
      </c>
      <c r="C418" s="1">
        <v>0</v>
      </c>
      <c r="D418" s="33">
        <v>0</v>
      </c>
      <c r="E418" s="36">
        <v>0</v>
      </c>
      <c r="F418" s="37">
        <v>0</v>
      </c>
      <c r="G418">
        <v>0.15718643400000001</v>
      </c>
      <c r="H418">
        <f t="shared" si="71"/>
        <v>0</v>
      </c>
      <c r="I418">
        <v>0.95045119524002097</v>
      </c>
      <c r="J418">
        <f t="shared" si="72"/>
        <v>1</v>
      </c>
      <c r="K418">
        <v>0.66431957483291604</v>
      </c>
      <c r="L418">
        <f t="shared" si="74"/>
        <v>1</v>
      </c>
      <c r="M418">
        <v>0.27611786100000002</v>
      </c>
      <c r="N418">
        <f t="shared" si="75"/>
        <v>0</v>
      </c>
      <c r="O418">
        <v>7.3739379644394004E-2</v>
      </c>
      <c r="P418">
        <f t="shared" si="76"/>
        <v>0</v>
      </c>
      <c r="Q418">
        <v>0.37920764099999998</v>
      </c>
      <c r="R418">
        <f t="shared" si="77"/>
        <v>0</v>
      </c>
      <c r="S418">
        <v>0.64193195104598999</v>
      </c>
      <c r="T418">
        <f t="shared" si="73"/>
        <v>1</v>
      </c>
      <c r="U418" s="1">
        <v>0.62378602999999999</v>
      </c>
      <c r="V418">
        <v>1</v>
      </c>
      <c r="X418">
        <v>0</v>
      </c>
    </row>
    <row r="419" spans="1:24">
      <c r="A419" s="1">
        <v>0</v>
      </c>
      <c r="B419" s="1" t="s">
        <v>418</v>
      </c>
      <c r="C419" s="1">
        <v>0</v>
      </c>
      <c r="D419" s="33">
        <v>0</v>
      </c>
      <c r="E419" s="36">
        <v>0</v>
      </c>
      <c r="F419" s="37">
        <v>0</v>
      </c>
      <c r="G419">
        <v>7.7941581999999995E-2</v>
      </c>
      <c r="H419">
        <f t="shared" si="71"/>
        <v>0</v>
      </c>
      <c r="I419">
        <v>1.7403334379196E-2</v>
      </c>
      <c r="J419">
        <f t="shared" si="72"/>
        <v>0</v>
      </c>
      <c r="K419">
        <v>0.14299869537353499</v>
      </c>
      <c r="L419">
        <f t="shared" si="74"/>
        <v>0</v>
      </c>
      <c r="M419" s="30">
        <v>0.240924731</v>
      </c>
      <c r="N419">
        <f t="shared" si="75"/>
        <v>0</v>
      </c>
      <c r="O419">
        <v>2.1057692356410002E-3</v>
      </c>
      <c r="P419">
        <f t="shared" si="76"/>
        <v>0</v>
      </c>
      <c r="Q419">
        <v>0.34011739499999999</v>
      </c>
      <c r="R419">
        <f t="shared" si="77"/>
        <v>0</v>
      </c>
      <c r="S419">
        <v>1.653557177633E-3</v>
      </c>
      <c r="T419">
        <f t="shared" si="73"/>
        <v>0</v>
      </c>
      <c r="U419" s="1">
        <v>0.5010289</v>
      </c>
      <c r="V419">
        <v>0</v>
      </c>
      <c r="X419">
        <v>0</v>
      </c>
    </row>
    <row r="420" spans="1:24">
      <c r="A420" s="80">
        <v>0</v>
      </c>
      <c r="B420" s="1" t="s">
        <v>419</v>
      </c>
      <c r="C420" s="1">
        <v>0</v>
      </c>
      <c r="D420" s="33">
        <v>1</v>
      </c>
      <c r="E420" s="36">
        <v>1</v>
      </c>
      <c r="F420" s="37">
        <v>1</v>
      </c>
      <c r="G420">
        <v>8.4275290000000003E-2</v>
      </c>
      <c r="H420">
        <f t="shared" si="71"/>
        <v>0</v>
      </c>
      <c r="I420">
        <v>1.4533442445099E-2</v>
      </c>
      <c r="J420">
        <f t="shared" si="72"/>
        <v>0</v>
      </c>
      <c r="K420">
        <v>0.15464591979980499</v>
      </c>
      <c r="L420">
        <f t="shared" si="74"/>
        <v>0</v>
      </c>
      <c r="M420">
        <v>0.32562956199999998</v>
      </c>
      <c r="N420">
        <f t="shared" si="75"/>
        <v>0</v>
      </c>
      <c r="O420">
        <v>0.111499100923538</v>
      </c>
      <c r="P420">
        <f t="shared" si="76"/>
        <v>0</v>
      </c>
      <c r="Q420">
        <v>0.29505062100000001</v>
      </c>
      <c r="R420">
        <f t="shared" si="77"/>
        <v>0</v>
      </c>
      <c r="S420">
        <v>3.2744377851485998E-2</v>
      </c>
      <c r="T420">
        <f t="shared" si="73"/>
        <v>0</v>
      </c>
      <c r="U420" s="1">
        <v>0.28570973999999999</v>
      </c>
      <c r="V420">
        <v>0</v>
      </c>
      <c r="X420">
        <v>0</v>
      </c>
    </row>
    <row r="421" spans="1:24">
      <c r="A421" s="1">
        <v>0</v>
      </c>
      <c r="B421" s="1" t="s">
        <v>420</v>
      </c>
      <c r="C421" s="1">
        <v>0</v>
      </c>
      <c r="D421" s="33">
        <v>0</v>
      </c>
      <c r="E421" s="36">
        <v>0</v>
      </c>
      <c r="F421" s="37">
        <v>0</v>
      </c>
      <c r="G421" s="30">
        <v>3.4748017999999999E-2</v>
      </c>
      <c r="H421">
        <f t="shared" si="71"/>
        <v>0</v>
      </c>
      <c r="I421" s="30">
        <v>6.113639101386E-3</v>
      </c>
      <c r="J421">
        <f t="shared" si="72"/>
        <v>0</v>
      </c>
      <c r="K421">
        <v>9.5297284424305004E-2</v>
      </c>
      <c r="L421">
        <f t="shared" si="74"/>
        <v>0</v>
      </c>
      <c r="M421">
        <v>1.226509E-3</v>
      </c>
      <c r="N421">
        <f t="shared" si="75"/>
        <v>0</v>
      </c>
      <c r="O421">
        <v>8.3383545279499996E-4</v>
      </c>
      <c r="P421">
        <f t="shared" si="76"/>
        <v>0</v>
      </c>
      <c r="Q421">
        <v>0.13216799500000001</v>
      </c>
      <c r="R421">
        <f t="shared" si="77"/>
        <v>0</v>
      </c>
      <c r="S421">
        <v>7.09306623321E-4</v>
      </c>
      <c r="T421">
        <f t="shared" si="73"/>
        <v>0</v>
      </c>
      <c r="U421" s="1">
        <v>0.34954067999999999</v>
      </c>
      <c r="V421">
        <v>0</v>
      </c>
      <c r="X421">
        <v>0</v>
      </c>
    </row>
    <row r="422" spans="1:24">
      <c r="A422" s="1">
        <v>0</v>
      </c>
      <c r="B422" s="1" t="s">
        <v>421</v>
      </c>
      <c r="C422" s="1">
        <v>0</v>
      </c>
      <c r="D422" s="33">
        <v>0</v>
      </c>
      <c r="E422" s="36">
        <v>0</v>
      </c>
      <c r="F422" s="37">
        <v>0</v>
      </c>
      <c r="G422">
        <v>3.6599033000000003E-2</v>
      </c>
      <c r="H422">
        <f t="shared" si="71"/>
        <v>0</v>
      </c>
      <c r="I422">
        <v>2.3437274619936999E-2</v>
      </c>
      <c r="J422">
        <f t="shared" si="72"/>
        <v>0</v>
      </c>
      <c r="K422">
        <v>6.7871205508708995E-2</v>
      </c>
      <c r="L422">
        <f t="shared" si="74"/>
        <v>0</v>
      </c>
      <c r="M422">
        <v>5.1927734000000003E-2</v>
      </c>
      <c r="N422">
        <f t="shared" si="75"/>
        <v>0</v>
      </c>
      <c r="O422">
        <v>2.6710822712629999E-3</v>
      </c>
      <c r="P422">
        <f t="shared" si="76"/>
        <v>0</v>
      </c>
      <c r="Q422" s="30">
        <v>0.15705983300000001</v>
      </c>
      <c r="R422">
        <f t="shared" si="77"/>
        <v>0</v>
      </c>
      <c r="S422">
        <v>1.6139737563210001E-3</v>
      </c>
      <c r="T422">
        <f t="shared" si="73"/>
        <v>0</v>
      </c>
      <c r="U422" s="1">
        <v>0.18631990000000001</v>
      </c>
      <c r="V422">
        <v>0</v>
      </c>
      <c r="X422">
        <v>0</v>
      </c>
    </row>
    <row r="423" spans="1:24">
      <c r="A423" s="1">
        <v>0</v>
      </c>
      <c r="B423" s="1" t="s">
        <v>422</v>
      </c>
      <c r="C423" s="1">
        <v>0</v>
      </c>
      <c r="D423" s="33">
        <v>0</v>
      </c>
      <c r="E423" s="36">
        <v>0</v>
      </c>
      <c r="F423" s="37">
        <v>0</v>
      </c>
      <c r="G423" s="30">
        <v>2.9054783000000001E-2</v>
      </c>
      <c r="H423">
        <f t="shared" si="71"/>
        <v>0</v>
      </c>
      <c r="I423" s="30">
        <v>1.07915020635119E-5</v>
      </c>
      <c r="J423">
        <f t="shared" si="72"/>
        <v>0</v>
      </c>
      <c r="K423">
        <v>6.9991969503459999E-3</v>
      </c>
      <c r="L423">
        <f t="shared" si="74"/>
        <v>0</v>
      </c>
      <c r="M423">
        <v>4.1332899999999999E-4</v>
      </c>
      <c r="N423">
        <f t="shared" si="75"/>
        <v>0</v>
      </c>
      <c r="O423" s="30">
        <v>1.81444283953169E-6</v>
      </c>
      <c r="P423">
        <f t="shared" si="76"/>
        <v>0</v>
      </c>
      <c r="Q423" s="30">
        <v>5.7306092000000003E-2</v>
      </c>
      <c r="R423">
        <f t="shared" si="77"/>
        <v>0</v>
      </c>
      <c r="S423">
        <v>3.6016575177199998E-4</v>
      </c>
      <c r="T423">
        <f t="shared" si="73"/>
        <v>0</v>
      </c>
      <c r="U423" s="1">
        <v>0.16401679999999999</v>
      </c>
      <c r="V423">
        <v>0</v>
      </c>
      <c r="X423">
        <v>0</v>
      </c>
    </row>
    <row r="424" spans="1:24">
      <c r="A424" s="1">
        <v>0</v>
      </c>
      <c r="B424" s="1" t="s">
        <v>423</v>
      </c>
      <c r="C424" s="1">
        <v>0</v>
      </c>
      <c r="D424" s="33">
        <v>0</v>
      </c>
      <c r="E424" s="36">
        <v>0</v>
      </c>
      <c r="F424" s="37">
        <v>0</v>
      </c>
      <c r="G424">
        <v>4.6457548000000001E-2</v>
      </c>
      <c r="H424">
        <f t="shared" si="71"/>
        <v>0</v>
      </c>
      <c r="I424">
        <v>0.20076917111873599</v>
      </c>
      <c r="J424">
        <f t="shared" si="72"/>
        <v>0</v>
      </c>
      <c r="K424">
        <v>2.6404058560728999E-2</v>
      </c>
      <c r="L424">
        <f t="shared" si="74"/>
        <v>0</v>
      </c>
      <c r="M424">
        <v>4.5443349000000001E-2</v>
      </c>
      <c r="N424">
        <f t="shared" si="75"/>
        <v>0</v>
      </c>
      <c r="O424">
        <v>3.5399729385970002E-3</v>
      </c>
      <c r="P424">
        <f t="shared" si="76"/>
        <v>0</v>
      </c>
      <c r="Q424" s="30">
        <v>0.124096356</v>
      </c>
      <c r="R424">
        <f t="shared" si="77"/>
        <v>0</v>
      </c>
      <c r="S424">
        <v>9.7506055608389992E-3</v>
      </c>
      <c r="T424">
        <f t="shared" si="73"/>
        <v>0</v>
      </c>
      <c r="U424" s="1">
        <v>0.30561625999999997</v>
      </c>
      <c r="V424">
        <v>0</v>
      </c>
      <c r="X424">
        <v>0</v>
      </c>
    </row>
    <row r="425" spans="1:24">
      <c r="A425" s="1">
        <v>0</v>
      </c>
      <c r="B425" s="1" t="s">
        <v>424</v>
      </c>
      <c r="C425" s="1">
        <v>0</v>
      </c>
      <c r="D425" s="33">
        <v>0</v>
      </c>
      <c r="E425" s="36">
        <v>0</v>
      </c>
      <c r="F425" s="37">
        <v>0</v>
      </c>
      <c r="G425">
        <v>0.29502183199999998</v>
      </c>
      <c r="H425">
        <f t="shared" si="71"/>
        <v>0</v>
      </c>
      <c r="I425">
        <v>0.35777440667152399</v>
      </c>
      <c r="J425">
        <f t="shared" si="72"/>
        <v>0</v>
      </c>
      <c r="K425" s="30">
        <v>0.35738542675972002</v>
      </c>
      <c r="L425">
        <f t="shared" si="74"/>
        <v>0</v>
      </c>
      <c r="M425">
        <v>6.9886095999999995E-2</v>
      </c>
      <c r="N425">
        <f t="shared" si="75"/>
        <v>0</v>
      </c>
      <c r="O425">
        <v>2.8747455216939998E-3</v>
      </c>
      <c r="P425">
        <f t="shared" si="76"/>
        <v>0</v>
      </c>
      <c r="Q425">
        <v>0.1450959</v>
      </c>
      <c r="R425">
        <f t="shared" si="77"/>
        <v>0</v>
      </c>
      <c r="S425">
        <v>3.4956604242325003E-2</v>
      </c>
      <c r="T425">
        <f t="shared" si="73"/>
        <v>0</v>
      </c>
      <c r="U425" s="1">
        <v>0.11924184</v>
      </c>
      <c r="V425">
        <v>0</v>
      </c>
      <c r="X425">
        <v>0</v>
      </c>
    </row>
    <row r="426" spans="1:24">
      <c r="A426" s="1">
        <v>1</v>
      </c>
      <c r="B426" s="1" t="s">
        <v>425</v>
      </c>
      <c r="C426" s="1">
        <v>1</v>
      </c>
      <c r="D426" s="33">
        <v>1</v>
      </c>
      <c r="E426" s="37">
        <v>1</v>
      </c>
      <c r="F426" s="37">
        <v>1</v>
      </c>
      <c r="G426">
        <v>0.79381752000000005</v>
      </c>
      <c r="H426">
        <f t="shared" si="71"/>
        <v>1</v>
      </c>
      <c r="I426">
        <v>0.81683164834976196</v>
      </c>
      <c r="J426">
        <f t="shared" si="72"/>
        <v>1</v>
      </c>
      <c r="K426">
        <v>0.73079729080200195</v>
      </c>
      <c r="L426">
        <f t="shared" si="74"/>
        <v>1</v>
      </c>
      <c r="M426" s="30">
        <v>0.99405646299999995</v>
      </c>
      <c r="N426">
        <f t="shared" si="75"/>
        <v>1</v>
      </c>
      <c r="O426">
        <v>0.93828684091568004</v>
      </c>
      <c r="P426">
        <f t="shared" si="76"/>
        <v>1</v>
      </c>
      <c r="Q426">
        <v>0.66918408900000004</v>
      </c>
      <c r="R426">
        <f t="shared" si="77"/>
        <v>1</v>
      </c>
      <c r="S426">
        <v>0.90730261802673295</v>
      </c>
      <c r="T426">
        <f t="shared" si="73"/>
        <v>1</v>
      </c>
      <c r="U426" s="1">
        <v>0.66890717</v>
      </c>
      <c r="V426">
        <v>1</v>
      </c>
      <c r="X426">
        <v>0</v>
      </c>
    </row>
    <row r="427" spans="1:24">
      <c r="A427" s="1">
        <v>1</v>
      </c>
      <c r="B427" s="1" t="s">
        <v>426</v>
      </c>
      <c r="C427" s="1">
        <v>1</v>
      </c>
      <c r="D427" s="33">
        <v>1</v>
      </c>
      <c r="E427" s="37">
        <v>1</v>
      </c>
      <c r="F427" s="37">
        <v>1</v>
      </c>
      <c r="G427">
        <v>0.45062655200000001</v>
      </c>
      <c r="H427">
        <f t="shared" si="71"/>
        <v>0</v>
      </c>
      <c r="I427">
        <v>0.81445229053497303</v>
      </c>
      <c r="J427">
        <f t="shared" si="72"/>
        <v>1</v>
      </c>
      <c r="K427">
        <v>0.67597025632858299</v>
      </c>
      <c r="L427">
        <f t="shared" si="74"/>
        <v>1</v>
      </c>
      <c r="M427">
        <v>0.93877279800000002</v>
      </c>
      <c r="N427">
        <f t="shared" si="75"/>
        <v>1</v>
      </c>
      <c r="O427">
        <v>0.70192116498947099</v>
      </c>
      <c r="P427">
        <f t="shared" si="76"/>
        <v>1</v>
      </c>
      <c r="Q427">
        <v>0.66438251699999995</v>
      </c>
      <c r="R427">
        <f t="shared" si="77"/>
        <v>1</v>
      </c>
      <c r="S427">
        <v>8.4133602678775996E-2</v>
      </c>
      <c r="T427">
        <f t="shared" si="73"/>
        <v>0</v>
      </c>
      <c r="U427" s="1">
        <v>0.42073166000000001</v>
      </c>
      <c r="V427">
        <v>0</v>
      </c>
      <c r="X427">
        <v>0</v>
      </c>
    </row>
    <row r="428" spans="1:24">
      <c r="A428" s="1">
        <v>1</v>
      </c>
      <c r="B428" s="1" t="s">
        <v>427</v>
      </c>
      <c r="C428" s="1">
        <v>1</v>
      </c>
      <c r="D428" s="33">
        <v>1</v>
      </c>
      <c r="E428" s="37">
        <v>1</v>
      </c>
      <c r="F428" s="37">
        <v>1</v>
      </c>
      <c r="G428">
        <v>0.42401728</v>
      </c>
      <c r="H428">
        <f t="shared" si="71"/>
        <v>0</v>
      </c>
      <c r="I428">
        <v>0.93416827917098999</v>
      </c>
      <c r="J428">
        <f t="shared" si="72"/>
        <v>1</v>
      </c>
      <c r="K428">
        <v>0.58704864978790305</v>
      </c>
      <c r="L428">
        <f t="shared" si="74"/>
        <v>1</v>
      </c>
      <c r="M428">
        <v>0.52282071100000005</v>
      </c>
      <c r="N428">
        <f t="shared" si="75"/>
        <v>1</v>
      </c>
      <c r="O428">
        <v>6.0467746108770003E-2</v>
      </c>
      <c r="P428">
        <f t="shared" si="76"/>
        <v>0</v>
      </c>
      <c r="Q428">
        <v>0.60873323700000004</v>
      </c>
      <c r="R428">
        <f t="shared" si="77"/>
        <v>1</v>
      </c>
      <c r="S428">
        <v>4.1942898184061002E-2</v>
      </c>
      <c r="T428">
        <f t="shared" si="73"/>
        <v>0</v>
      </c>
      <c r="U428" s="1">
        <v>0.49549559999999998</v>
      </c>
      <c r="V428">
        <v>0</v>
      </c>
      <c r="X428">
        <v>0</v>
      </c>
    </row>
    <row r="429" spans="1:24">
      <c r="A429" s="1">
        <v>1</v>
      </c>
      <c r="B429" s="1" t="s">
        <v>428</v>
      </c>
      <c r="C429" s="1">
        <v>1</v>
      </c>
      <c r="D429" s="33">
        <v>0</v>
      </c>
      <c r="E429" s="37">
        <v>1</v>
      </c>
      <c r="F429" s="37">
        <v>1</v>
      </c>
      <c r="G429">
        <v>0.89847439500000004</v>
      </c>
      <c r="H429">
        <f t="shared" si="71"/>
        <v>1</v>
      </c>
      <c r="I429">
        <v>0.80072253942489602</v>
      </c>
      <c r="J429">
        <f t="shared" si="72"/>
        <v>1</v>
      </c>
      <c r="K429">
        <v>0.75683516263961803</v>
      </c>
      <c r="L429">
        <f t="shared" si="74"/>
        <v>1</v>
      </c>
      <c r="M429">
        <v>0.99999928500000002</v>
      </c>
      <c r="N429">
        <f t="shared" si="75"/>
        <v>1</v>
      </c>
      <c r="O429">
        <v>0.99136120080947898</v>
      </c>
      <c r="P429">
        <f t="shared" si="76"/>
        <v>1</v>
      </c>
      <c r="Q429">
        <v>0.682048082</v>
      </c>
      <c r="R429">
        <f t="shared" si="77"/>
        <v>1</v>
      </c>
      <c r="S429">
        <v>0.98681879043579102</v>
      </c>
      <c r="T429">
        <f t="shared" si="73"/>
        <v>1</v>
      </c>
      <c r="U429" s="1">
        <v>0.76417420000000003</v>
      </c>
      <c r="V429">
        <v>1</v>
      </c>
      <c r="X429">
        <v>0</v>
      </c>
    </row>
    <row r="430" spans="1:24">
      <c r="A430" s="1">
        <v>1</v>
      </c>
      <c r="B430" s="1" t="s">
        <v>429</v>
      </c>
      <c r="C430" s="1">
        <v>1</v>
      </c>
      <c r="D430" s="33">
        <v>1</v>
      </c>
      <c r="E430" s="37">
        <v>1</v>
      </c>
      <c r="F430" s="37">
        <v>1</v>
      </c>
      <c r="G430">
        <v>0.94680648999999995</v>
      </c>
      <c r="H430">
        <f t="shared" si="71"/>
        <v>1</v>
      </c>
      <c r="I430">
        <v>0.98087602853775002</v>
      </c>
      <c r="J430">
        <f t="shared" si="72"/>
        <v>1</v>
      </c>
      <c r="K430">
        <v>0.94926708936691295</v>
      </c>
      <c r="L430">
        <f t="shared" si="74"/>
        <v>1</v>
      </c>
      <c r="M430">
        <v>0.99999618499999998</v>
      </c>
      <c r="N430">
        <f t="shared" si="75"/>
        <v>1</v>
      </c>
      <c r="O430">
        <v>0.98973000049590998</v>
      </c>
      <c r="P430">
        <f t="shared" si="76"/>
        <v>1</v>
      </c>
      <c r="Q430">
        <v>0.81412327299999998</v>
      </c>
      <c r="R430">
        <f t="shared" si="77"/>
        <v>1</v>
      </c>
      <c r="S430">
        <v>0.95480680465698198</v>
      </c>
      <c r="T430">
        <f t="shared" si="73"/>
        <v>1</v>
      </c>
      <c r="U430" s="1">
        <v>0.76842319999999997</v>
      </c>
      <c r="V430">
        <v>1</v>
      </c>
      <c r="X430">
        <v>0</v>
      </c>
    </row>
    <row r="431" spans="1:24">
      <c r="A431" s="1">
        <v>1</v>
      </c>
      <c r="B431" s="1" t="s">
        <v>430</v>
      </c>
      <c r="C431" s="1">
        <v>1</v>
      </c>
      <c r="D431" s="33">
        <v>1</v>
      </c>
      <c r="E431" s="37">
        <v>1</v>
      </c>
      <c r="F431" s="37">
        <v>1</v>
      </c>
      <c r="G431">
        <v>0.96998244499999997</v>
      </c>
      <c r="H431">
        <f t="shared" si="71"/>
        <v>1</v>
      </c>
      <c r="I431">
        <v>0.99870896339416504</v>
      </c>
      <c r="J431">
        <f t="shared" si="72"/>
        <v>1</v>
      </c>
      <c r="K431">
        <v>0.98643779754638705</v>
      </c>
      <c r="L431">
        <f t="shared" si="74"/>
        <v>1</v>
      </c>
      <c r="M431">
        <v>0.999931931</v>
      </c>
      <c r="N431">
        <f t="shared" si="75"/>
        <v>1</v>
      </c>
      <c r="O431">
        <v>0.99098867177963301</v>
      </c>
      <c r="P431">
        <f t="shared" si="76"/>
        <v>1</v>
      </c>
      <c r="Q431">
        <v>0.820414066</v>
      </c>
      <c r="R431">
        <f t="shared" si="77"/>
        <v>1</v>
      </c>
      <c r="S431">
        <v>0.99924135208129905</v>
      </c>
      <c r="T431">
        <f t="shared" si="73"/>
        <v>1</v>
      </c>
      <c r="U431" s="1">
        <v>0.80054164000000005</v>
      </c>
      <c r="V431">
        <v>1</v>
      </c>
      <c r="X431">
        <v>0</v>
      </c>
    </row>
    <row r="432" spans="1:24">
      <c r="A432" s="1">
        <v>1</v>
      </c>
      <c r="B432" s="1" t="s">
        <v>431</v>
      </c>
      <c r="C432" s="1">
        <v>1</v>
      </c>
      <c r="D432" s="33">
        <v>1</v>
      </c>
      <c r="E432" s="37">
        <v>1</v>
      </c>
      <c r="F432" s="37">
        <v>1</v>
      </c>
      <c r="G432">
        <v>0.95822584600000005</v>
      </c>
      <c r="H432">
        <f t="shared" si="71"/>
        <v>1</v>
      </c>
      <c r="I432">
        <v>0.98566079139709495</v>
      </c>
      <c r="J432">
        <f t="shared" si="72"/>
        <v>1</v>
      </c>
      <c r="K432">
        <v>0.79669082164764404</v>
      </c>
      <c r="L432">
        <f t="shared" si="74"/>
        <v>1</v>
      </c>
      <c r="M432">
        <v>0.99998748299999995</v>
      </c>
      <c r="N432">
        <f t="shared" si="75"/>
        <v>1</v>
      </c>
      <c r="O432">
        <v>0.99814224243164096</v>
      </c>
      <c r="P432">
        <f t="shared" si="76"/>
        <v>1</v>
      </c>
      <c r="Q432">
        <v>0.75031399700000001</v>
      </c>
      <c r="R432">
        <f t="shared" si="77"/>
        <v>1</v>
      </c>
      <c r="S432">
        <v>0.99906545877456698</v>
      </c>
      <c r="T432">
        <f t="shared" si="73"/>
        <v>1</v>
      </c>
      <c r="U432" s="1">
        <v>0.78140955999999995</v>
      </c>
      <c r="V432">
        <v>1</v>
      </c>
      <c r="X432">
        <v>0</v>
      </c>
    </row>
    <row r="433" spans="1:24">
      <c r="A433" s="1">
        <v>1</v>
      </c>
      <c r="B433" s="1" t="s">
        <v>432</v>
      </c>
      <c r="C433" s="1">
        <v>1</v>
      </c>
      <c r="D433" s="33">
        <v>1</v>
      </c>
      <c r="E433" s="37">
        <v>1</v>
      </c>
      <c r="F433" s="37">
        <v>1</v>
      </c>
      <c r="G433">
        <v>0.133418605</v>
      </c>
      <c r="H433">
        <f t="shared" si="71"/>
        <v>0</v>
      </c>
      <c r="I433">
        <v>7.5422815978527E-2</v>
      </c>
      <c r="J433">
        <f t="shared" si="72"/>
        <v>0</v>
      </c>
      <c r="K433">
        <v>0.46693822741508501</v>
      </c>
      <c r="L433">
        <f t="shared" si="74"/>
        <v>0</v>
      </c>
      <c r="M433">
        <v>0.83613091699999997</v>
      </c>
      <c r="N433">
        <f t="shared" si="75"/>
        <v>1</v>
      </c>
      <c r="O433">
        <v>6.2627241015434001E-2</v>
      </c>
      <c r="P433">
        <f t="shared" si="76"/>
        <v>0</v>
      </c>
      <c r="Q433">
        <v>0.63398504300000003</v>
      </c>
      <c r="R433">
        <f t="shared" si="77"/>
        <v>1</v>
      </c>
      <c r="S433">
        <v>0.78324967622757002</v>
      </c>
      <c r="T433">
        <f t="shared" si="73"/>
        <v>1</v>
      </c>
      <c r="U433" s="1">
        <v>0.45448378</v>
      </c>
      <c r="V433">
        <v>0</v>
      </c>
      <c r="X433">
        <v>0</v>
      </c>
    </row>
    <row r="434" spans="1:24">
      <c r="A434" s="1">
        <v>1</v>
      </c>
      <c r="B434" s="1" t="s">
        <v>433</v>
      </c>
      <c r="C434" s="1">
        <v>1</v>
      </c>
      <c r="D434" s="33">
        <v>1</v>
      </c>
      <c r="E434" s="37">
        <v>1</v>
      </c>
      <c r="F434" s="37">
        <v>1</v>
      </c>
      <c r="G434">
        <v>0.97556328800000003</v>
      </c>
      <c r="H434">
        <f t="shared" si="71"/>
        <v>1</v>
      </c>
      <c r="I434">
        <v>0.99999773502349798</v>
      </c>
      <c r="J434">
        <f t="shared" si="72"/>
        <v>1</v>
      </c>
      <c r="K434">
        <v>0.99986207485198897</v>
      </c>
      <c r="L434">
        <f t="shared" si="74"/>
        <v>1</v>
      </c>
      <c r="M434">
        <v>1</v>
      </c>
      <c r="N434">
        <f t="shared" si="75"/>
        <v>1</v>
      </c>
      <c r="O434">
        <v>0.99997949600219704</v>
      </c>
      <c r="P434">
        <f t="shared" si="76"/>
        <v>1</v>
      </c>
      <c r="Q434">
        <v>0.85933786599999995</v>
      </c>
      <c r="R434">
        <f t="shared" si="77"/>
        <v>1</v>
      </c>
      <c r="S434">
        <v>0.99992942810058605</v>
      </c>
      <c r="T434">
        <f t="shared" si="73"/>
        <v>1</v>
      </c>
      <c r="U434" s="1">
        <v>0.77920305999999995</v>
      </c>
      <c r="V434">
        <v>1</v>
      </c>
      <c r="X434">
        <v>0</v>
      </c>
    </row>
    <row r="435" spans="1:24">
      <c r="A435" s="1">
        <v>1</v>
      </c>
      <c r="B435" s="1" t="s">
        <v>434</v>
      </c>
      <c r="C435" s="1">
        <v>1</v>
      </c>
      <c r="D435" s="33">
        <v>0</v>
      </c>
      <c r="E435" s="37">
        <v>1</v>
      </c>
      <c r="F435" s="37">
        <v>1</v>
      </c>
      <c r="G435">
        <v>4.5790709999999998E-2</v>
      </c>
      <c r="H435">
        <f t="shared" si="71"/>
        <v>0</v>
      </c>
      <c r="I435">
        <v>2.2051006555557001E-2</v>
      </c>
      <c r="J435">
        <f t="shared" si="72"/>
        <v>0</v>
      </c>
      <c r="K435">
        <v>0.16013701260089899</v>
      </c>
      <c r="L435">
        <f t="shared" si="74"/>
        <v>0</v>
      </c>
      <c r="M435">
        <v>8.4236741000000004E-2</v>
      </c>
      <c r="N435">
        <f t="shared" si="75"/>
        <v>0</v>
      </c>
      <c r="O435">
        <v>9.0423598885539993E-3</v>
      </c>
      <c r="P435">
        <f t="shared" si="76"/>
        <v>0</v>
      </c>
      <c r="Q435">
        <v>0.22966447500000001</v>
      </c>
      <c r="R435">
        <f t="shared" si="77"/>
        <v>0</v>
      </c>
      <c r="S435">
        <v>6.9281953619799996E-4</v>
      </c>
      <c r="T435">
        <f t="shared" si="73"/>
        <v>0</v>
      </c>
      <c r="U435" s="1">
        <v>0.15289478000000001</v>
      </c>
      <c r="V435">
        <v>0</v>
      </c>
      <c r="X435">
        <v>0</v>
      </c>
    </row>
    <row r="436" spans="1:24">
      <c r="A436" s="1">
        <v>1</v>
      </c>
      <c r="B436" s="1" t="s">
        <v>435</v>
      </c>
      <c r="C436" s="1">
        <v>1</v>
      </c>
      <c r="D436" s="33">
        <v>1</v>
      </c>
      <c r="E436" s="37">
        <v>1</v>
      </c>
      <c r="F436" s="37">
        <v>1</v>
      </c>
      <c r="G436">
        <v>0.785999954</v>
      </c>
      <c r="H436">
        <f t="shared" si="71"/>
        <v>1</v>
      </c>
      <c r="I436">
        <v>0.58460444211959794</v>
      </c>
      <c r="J436">
        <f t="shared" si="72"/>
        <v>1</v>
      </c>
      <c r="K436">
        <v>0.1913201212883</v>
      </c>
      <c r="L436">
        <f t="shared" si="74"/>
        <v>0</v>
      </c>
      <c r="M436">
        <v>0.93107336799999996</v>
      </c>
      <c r="N436">
        <f t="shared" si="75"/>
        <v>1</v>
      </c>
      <c r="O436">
        <v>0.26783400774002097</v>
      </c>
      <c r="P436">
        <f t="shared" si="76"/>
        <v>0</v>
      </c>
      <c r="Q436">
        <v>0.42800614199999998</v>
      </c>
      <c r="R436">
        <f t="shared" si="77"/>
        <v>0</v>
      </c>
      <c r="S436">
        <v>0.78865021467208896</v>
      </c>
      <c r="T436">
        <f t="shared" si="73"/>
        <v>1</v>
      </c>
      <c r="U436" s="1">
        <v>0.76705520000000005</v>
      </c>
      <c r="V436">
        <v>1</v>
      </c>
      <c r="X436">
        <v>0</v>
      </c>
    </row>
    <row r="437" spans="1:24">
      <c r="A437" s="1">
        <v>1</v>
      </c>
      <c r="B437" s="1" t="s">
        <v>436</v>
      </c>
      <c r="C437" s="1">
        <v>1</v>
      </c>
      <c r="D437" s="33">
        <v>1</v>
      </c>
      <c r="E437" s="37">
        <v>1</v>
      </c>
      <c r="F437" s="37">
        <v>1</v>
      </c>
      <c r="G437">
        <v>0.84106093599999998</v>
      </c>
      <c r="H437">
        <f t="shared" si="71"/>
        <v>1</v>
      </c>
      <c r="I437">
        <v>0.99452400207519498</v>
      </c>
      <c r="J437">
        <f t="shared" si="72"/>
        <v>1</v>
      </c>
      <c r="K437">
        <v>0.98354291915893599</v>
      </c>
      <c r="L437">
        <f t="shared" si="74"/>
        <v>1</v>
      </c>
      <c r="M437">
        <v>0.99982017300000003</v>
      </c>
      <c r="N437">
        <f t="shared" si="75"/>
        <v>1</v>
      </c>
      <c r="O437">
        <v>0.94054162502288796</v>
      </c>
      <c r="P437">
        <f t="shared" si="76"/>
        <v>1</v>
      </c>
      <c r="Q437">
        <v>0.77240765099999997</v>
      </c>
      <c r="R437">
        <f t="shared" si="77"/>
        <v>1</v>
      </c>
      <c r="S437">
        <v>0.96520221233367898</v>
      </c>
      <c r="T437">
        <f t="shared" si="73"/>
        <v>1</v>
      </c>
      <c r="U437" s="1">
        <v>0.79208343999999997</v>
      </c>
      <c r="V437">
        <v>1</v>
      </c>
      <c r="X437">
        <v>0</v>
      </c>
    </row>
    <row r="438" spans="1:24">
      <c r="A438" s="82">
        <v>1</v>
      </c>
      <c r="B438" s="7" t="s">
        <v>437</v>
      </c>
      <c r="C438" s="1">
        <v>1</v>
      </c>
      <c r="D438" s="33">
        <v>1</v>
      </c>
      <c r="E438" s="37">
        <v>1</v>
      </c>
      <c r="F438" s="37">
        <v>1</v>
      </c>
      <c r="G438">
        <v>4.8533912999999998E-2</v>
      </c>
      <c r="H438">
        <f t="shared" si="71"/>
        <v>0</v>
      </c>
      <c r="I438">
        <v>7.7199995517731004E-2</v>
      </c>
      <c r="J438">
        <f t="shared" si="72"/>
        <v>0</v>
      </c>
      <c r="K438">
        <v>0.19776120781898501</v>
      </c>
      <c r="L438">
        <f t="shared" si="74"/>
        <v>0</v>
      </c>
      <c r="M438">
        <v>0.757458568</v>
      </c>
      <c r="N438">
        <f t="shared" si="75"/>
        <v>1</v>
      </c>
      <c r="O438">
        <v>0.134964600205421</v>
      </c>
      <c r="P438">
        <f t="shared" si="76"/>
        <v>0</v>
      </c>
      <c r="Q438">
        <v>0.71626812200000001</v>
      </c>
      <c r="R438">
        <f t="shared" si="77"/>
        <v>1</v>
      </c>
      <c r="S438">
        <v>5.6340705603360998E-2</v>
      </c>
      <c r="T438">
        <f t="shared" si="73"/>
        <v>0</v>
      </c>
      <c r="U438" s="7">
        <v>0.64904019999999996</v>
      </c>
      <c r="V438">
        <v>1</v>
      </c>
      <c r="X438">
        <v>1</v>
      </c>
    </row>
    <row r="439" spans="1:24">
      <c r="A439" s="1">
        <v>1</v>
      </c>
      <c r="B439" s="1" t="s">
        <v>438</v>
      </c>
      <c r="C439" s="1">
        <v>1</v>
      </c>
      <c r="D439" s="33">
        <v>1</v>
      </c>
      <c r="E439" s="37">
        <v>1</v>
      </c>
      <c r="F439" s="37">
        <v>1</v>
      </c>
      <c r="G439">
        <v>0.937303424</v>
      </c>
      <c r="H439">
        <f t="shared" si="71"/>
        <v>1</v>
      </c>
      <c r="I439">
        <v>0.99528670310974099</v>
      </c>
      <c r="J439">
        <f t="shared" si="72"/>
        <v>1</v>
      </c>
      <c r="K439">
        <v>0.99573695659637396</v>
      </c>
      <c r="L439">
        <f t="shared" si="74"/>
        <v>1</v>
      </c>
      <c r="M439">
        <v>0.99794524900000003</v>
      </c>
      <c r="N439">
        <f t="shared" si="75"/>
        <v>1</v>
      </c>
      <c r="O439">
        <v>0.99910211563110396</v>
      </c>
      <c r="P439">
        <f t="shared" si="76"/>
        <v>1</v>
      </c>
      <c r="Q439">
        <v>0.76539641599999997</v>
      </c>
      <c r="R439">
        <f t="shared" si="77"/>
        <v>1</v>
      </c>
      <c r="S439">
        <v>0.993388891220093</v>
      </c>
      <c r="T439">
        <f t="shared" si="73"/>
        <v>1</v>
      </c>
      <c r="U439" s="1">
        <v>0.78668890000000002</v>
      </c>
      <c r="V439">
        <v>1</v>
      </c>
      <c r="X439">
        <v>0</v>
      </c>
    </row>
    <row r="440" spans="1:24">
      <c r="A440" s="1">
        <v>1</v>
      </c>
      <c r="B440" s="7" t="s">
        <v>439</v>
      </c>
      <c r="C440" s="1">
        <v>1</v>
      </c>
      <c r="D440" s="33">
        <v>0</v>
      </c>
      <c r="E440" s="37">
        <v>1</v>
      </c>
      <c r="F440" s="37">
        <v>1</v>
      </c>
      <c r="G440">
        <v>0.93989509299999996</v>
      </c>
      <c r="H440">
        <f t="shared" si="71"/>
        <v>1</v>
      </c>
      <c r="I440">
        <v>0.94670540094375599</v>
      </c>
      <c r="J440">
        <f t="shared" si="72"/>
        <v>1</v>
      </c>
      <c r="K440">
        <v>0.96104753017425504</v>
      </c>
      <c r="L440">
        <f t="shared" si="74"/>
        <v>1</v>
      </c>
      <c r="M440">
        <v>0.999999046</v>
      </c>
      <c r="N440">
        <f t="shared" si="75"/>
        <v>1</v>
      </c>
      <c r="O440">
        <v>0.99998676776885997</v>
      </c>
      <c r="P440">
        <f t="shared" si="76"/>
        <v>1</v>
      </c>
      <c r="Q440">
        <v>0.88477188299999998</v>
      </c>
      <c r="R440">
        <f t="shared" si="77"/>
        <v>1</v>
      </c>
      <c r="S440">
        <v>0.92430502176284801</v>
      </c>
      <c r="T440">
        <f t="shared" si="73"/>
        <v>1</v>
      </c>
      <c r="U440" s="7">
        <v>0.77991730000000004</v>
      </c>
      <c r="V440">
        <v>1</v>
      </c>
      <c r="X440">
        <v>1</v>
      </c>
    </row>
    <row r="441" spans="1:24">
      <c r="A441" s="1">
        <v>1</v>
      </c>
      <c r="B441" s="1" t="s">
        <v>440</v>
      </c>
      <c r="C441" s="1">
        <v>1</v>
      </c>
      <c r="D441" s="33">
        <v>1</v>
      </c>
      <c r="E441" s="37">
        <v>1</v>
      </c>
      <c r="F441" s="37">
        <v>1</v>
      </c>
      <c r="G441">
        <v>0.97309744399999998</v>
      </c>
      <c r="H441">
        <f t="shared" si="71"/>
        <v>1</v>
      </c>
      <c r="I441">
        <v>0.99917262792587302</v>
      </c>
      <c r="J441">
        <f t="shared" si="72"/>
        <v>1</v>
      </c>
      <c r="K441">
        <v>0.99841415882110596</v>
      </c>
      <c r="L441">
        <f t="shared" si="74"/>
        <v>1</v>
      </c>
      <c r="M441">
        <v>1</v>
      </c>
      <c r="N441">
        <f t="shared" si="75"/>
        <v>1</v>
      </c>
      <c r="O441">
        <v>0.999558866024017</v>
      </c>
      <c r="P441">
        <f t="shared" si="76"/>
        <v>1</v>
      </c>
      <c r="Q441">
        <v>0.77491879500000005</v>
      </c>
      <c r="R441">
        <f t="shared" si="77"/>
        <v>1</v>
      </c>
      <c r="S441">
        <v>0.999908447265625</v>
      </c>
      <c r="T441">
        <f t="shared" si="73"/>
        <v>1</v>
      </c>
      <c r="U441" s="1">
        <v>0.79417760000000004</v>
      </c>
      <c r="V441">
        <v>1</v>
      </c>
      <c r="X441">
        <v>0</v>
      </c>
    </row>
    <row r="442" spans="1:24">
      <c r="A442" s="1">
        <v>1</v>
      </c>
      <c r="B442" s="1" t="s">
        <v>441</v>
      </c>
      <c r="C442" s="1">
        <v>1</v>
      </c>
      <c r="D442" s="33">
        <v>1</v>
      </c>
      <c r="E442" s="37">
        <v>1</v>
      </c>
      <c r="F442" s="37">
        <v>1</v>
      </c>
      <c r="G442">
        <v>0.96536546899999998</v>
      </c>
      <c r="H442">
        <f t="shared" si="71"/>
        <v>1</v>
      </c>
      <c r="I442">
        <v>0.99603492021560702</v>
      </c>
      <c r="J442">
        <f t="shared" si="72"/>
        <v>1</v>
      </c>
      <c r="K442">
        <v>0.99954247474670399</v>
      </c>
      <c r="L442">
        <f t="shared" si="74"/>
        <v>1</v>
      </c>
      <c r="M442">
        <v>0.99997866199999996</v>
      </c>
      <c r="N442">
        <f t="shared" si="75"/>
        <v>1</v>
      </c>
      <c r="O442">
        <v>0.97655540704727195</v>
      </c>
      <c r="P442">
        <f t="shared" si="76"/>
        <v>1</v>
      </c>
      <c r="Q442">
        <v>0.72904813300000004</v>
      </c>
      <c r="R442">
        <f t="shared" si="77"/>
        <v>1</v>
      </c>
      <c r="S442">
        <v>0.99986803531646695</v>
      </c>
      <c r="T442">
        <f t="shared" si="73"/>
        <v>1</v>
      </c>
      <c r="U442" s="1">
        <v>0.78332685999999996</v>
      </c>
      <c r="V442">
        <v>1</v>
      </c>
      <c r="X442">
        <v>0</v>
      </c>
    </row>
    <row r="443" spans="1:24">
      <c r="A443" s="1">
        <v>1</v>
      </c>
      <c r="B443" s="7" t="s">
        <v>442</v>
      </c>
      <c r="C443" s="1">
        <v>1</v>
      </c>
      <c r="D443" s="33">
        <v>0</v>
      </c>
      <c r="E443" s="34">
        <v>0</v>
      </c>
      <c r="F443" s="33">
        <v>1</v>
      </c>
      <c r="G443">
        <v>0.731013358</v>
      </c>
      <c r="H443">
        <f t="shared" si="71"/>
        <v>1</v>
      </c>
      <c r="I443">
        <v>0.85682237148284901</v>
      </c>
      <c r="J443">
        <f t="shared" si="72"/>
        <v>1</v>
      </c>
      <c r="K443">
        <v>0.91287589073181197</v>
      </c>
      <c r="L443">
        <f t="shared" si="74"/>
        <v>1</v>
      </c>
      <c r="M443">
        <v>0.99883240500000003</v>
      </c>
      <c r="N443">
        <f t="shared" si="75"/>
        <v>1</v>
      </c>
      <c r="O443">
        <v>0.796872198581696</v>
      </c>
      <c r="P443">
        <f t="shared" si="76"/>
        <v>1</v>
      </c>
      <c r="Q443">
        <v>0.53656494600000004</v>
      </c>
      <c r="R443">
        <f t="shared" si="77"/>
        <v>1</v>
      </c>
      <c r="S443">
        <v>0.73484021425247203</v>
      </c>
      <c r="T443">
        <f t="shared" si="73"/>
        <v>1</v>
      </c>
      <c r="U443" s="7">
        <v>0.64092979999999999</v>
      </c>
      <c r="V443">
        <v>1</v>
      </c>
      <c r="X443">
        <v>1</v>
      </c>
    </row>
    <row r="444" spans="1:24">
      <c r="A444" s="1">
        <v>1</v>
      </c>
      <c r="B444" s="1" t="s">
        <v>443</v>
      </c>
      <c r="C444" s="1">
        <v>1</v>
      </c>
      <c r="D444" s="33">
        <v>1</v>
      </c>
      <c r="E444" s="37">
        <v>1</v>
      </c>
      <c r="F444" s="37">
        <v>1</v>
      </c>
      <c r="G444">
        <v>6.6902891000000006E-2</v>
      </c>
      <c r="H444">
        <f t="shared" si="71"/>
        <v>0</v>
      </c>
      <c r="I444" s="30">
        <v>2.531913109124E-3</v>
      </c>
      <c r="J444">
        <f t="shared" si="72"/>
        <v>0</v>
      </c>
      <c r="K444">
        <v>2.3646520450711001E-2</v>
      </c>
      <c r="L444">
        <f t="shared" si="74"/>
        <v>0</v>
      </c>
      <c r="M444">
        <v>8.3040953000000001E-2</v>
      </c>
      <c r="N444">
        <f t="shared" si="75"/>
        <v>0</v>
      </c>
      <c r="O444">
        <v>2.629374619573E-3</v>
      </c>
      <c r="P444">
        <f t="shared" si="76"/>
        <v>0</v>
      </c>
      <c r="Q444">
        <v>0.52060520600000004</v>
      </c>
      <c r="R444">
        <f t="shared" si="77"/>
        <v>1</v>
      </c>
      <c r="S444">
        <v>3.4214958548545997E-2</v>
      </c>
      <c r="T444">
        <f t="shared" si="73"/>
        <v>0</v>
      </c>
      <c r="U444" s="1">
        <v>0.63719170000000003</v>
      </c>
      <c r="V444">
        <v>1</v>
      </c>
      <c r="X444">
        <v>0</v>
      </c>
    </row>
    <row r="445" spans="1:24">
      <c r="A445" s="1">
        <v>1</v>
      </c>
      <c r="B445" s="1" t="s">
        <v>444</v>
      </c>
      <c r="C445" s="1">
        <v>1</v>
      </c>
      <c r="D445" s="33">
        <v>1</v>
      </c>
      <c r="E445" s="37">
        <v>1</v>
      </c>
      <c r="F445" s="37">
        <v>1</v>
      </c>
      <c r="G445">
        <v>0.110729277</v>
      </c>
      <c r="H445">
        <f t="shared" si="71"/>
        <v>0</v>
      </c>
      <c r="I445">
        <v>0.115253388881683</v>
      </c>
      <c r="J445">
        <f t="shared" si="72"/>
        <v>0</v>
      </c>
      <c r="K445">
        <v>0.70638030767440796</v>
      </c>
      <c r="L445">
        <f t="shared" si="74"/>
        <v>1</v>
      </c>
      <c r="M445">
        <v>0.60822141200000002</v>
      </c>
      <c r="N445">
        <f t="shared" si="75"/>
        <v>1</v>
      </c>
      <c r="O445">
        <v>0.68664425611496005</v>
      </c>
      <c r="P445">
        <f t="shared" si="76"/>
        <v>1</v>
      </c>
      <c r="Q445">
        <v>0.53200238899999996</v>
      </c>
      <c r="R445">
        <f t="shared" si="77"/>
        <v>1</v>
      </c>
      <c r="S445">
        <v>0.21065336465835599</v>
      </c>
      <c r="T445">
        <f t="shared" si="73"/>
        <v>0</v>
      </c>
      <c r="U445" s="1">
        <v>0.7628315</v>
      </c>
      <c r="V445">
        <v>1</v>
      </c>
      <c r="X445">
        <v>0</v>
      </c>
    </row>
    <row r="446" spans="1:24">
      <c r="A446" s="1">
        <v>1</v>
      </c>
      <c r="B446" s="1" t="s">
        <v>445</v>
      </c>
      <c r="C446" s="1">
        <v>1</v>
      </c>
      <c r="D446" s="33">
        <v>1</v>
      </c>
      <c r="E446" s="36">
        <v>0</v>
      </c>
      <c r="F446" s="37">
        <v>1</v>
      </c>
      <c r="G446">
        <v>0.93996471199999998</v>
      </c>
      <c r="H446">
        <f t="shared" si="71"/>
        <v>1</v>
      </c>
      <c r="I446">
        <v>0.99934870004653897</v>
      </c>
      <c r="J446">
        <f t="shared" si="72"/>
        <v>1</v>
      </c>
      <c r="K446">
        <v>0.99763846397399902</v>
      </c>
      <c r="L446">
        <f t="shared" si="74"/>
        <v>1</v>
      </c>
      <c r="M446">
        <v>0.99811315499999997</v>
      </c>
      <c r="N446">
        <f t="shared" si="75"/>
        <v>1</v>
      </c>
      <c r="O446">
        <v>0.99907565116882302</v>
      </c>
      <c r="P446">
        <f t="shared" si="76"/>
        <v>1</v>
      </c>
      <c r="Q446">
        <v>0.87196368000000002</v>
      </c>
      <c r="R446">
        <f t="shared" si="77"/>
        <v>1</v>
      </c>
      <c r="S446">
        <v>0.98474228382110596</v>
      </c>
      <c r="T446">
        <f t="shared" si="73"/>
        <v>1</v>
      </c>
      <c r="U446" s="1">
        <v>0.75719449999999999</v>
      </c>
      <c r="V446">
        <v>1</v>
      </c>
      <c r="X446">
        <v>0</v>
      </c>
    </row>
    <row r="447" spans="1:24">
      <c r="A447" s="1">
        <v>1</v>
      </c>
      <c r="B447" s="1" t="s">
        <v>446</v>
      </c>
      <c r="C447" s="1">
        <v>1</v>
      </c>
      <c r="D447" s="33">
        <v>1</v>
      </c>
      <c r="E447" s="37">
        <v>1</v>
      </c>
      <c r="F447" s="37">
        <v>1</v>
      </c>
      <c r="G447">
        <v>0.217428699</v>
      </c>
      <c r="H447">
        <f t="shared" si="71"/>
        <v>0</v>
      </c>
      <c r="I447">
        <v>0.80085080862045299</v>
      </c>
      <c r="J447">
        <f t="shared" si="72"/>
        <v>1</v>
      </c>
      <c r="K447">
        <v>0.96903067827224698</v>
      </c>
      <c r="L447">
        <f t="shared" ref="L447:L470" si="78">IF(K447&gt;$A$2,1,0)</f>
        <v>1</v>
      </c>
      <c r="M447">
        <v>0.95080959799999998</v>
      </c>
      <c r="N447">
        <f t="shared" ref="N447:N470" si="79">IF(M447&gt;$A$2,1,0)</f>
        <v>1</v>
      </c>
      <c r="O447">
        <v>0.94091051816940297</v>
      </c>
      <c r="P447">
        <f t="shared" ref="P447:P470" si="80">IF(O447&gt;$A$2,1,0)</f>
        <v>1</v>
      </c>
      <c r="Q447">
        <v>0.73536366200000003</v>
      </c>
      <c r="R447">
        <f t="shared" ref="R447:R470" si="81">IF(Q447&gt;$A$2,1,0)</f>
        <v>1</v>
      </c>
      <c r="S447">
        <v>0.34013611078262301</v>
      </c>
      <c r="T447">
        <f t="shared" si="73"/>
        <v>0</v>
      </c>
      <c r="U447" s="1">
        <v>0.68098645999999996</v>
      </c>
      <c r="V447">
        <v>1</v>
      </c>
      <c r="X447">
        <v>0</v>
      </c>
    </row>
    <row r="448" spans="1:24">
      <c r="A448" s="1">
        <v>1</v>
      </c>
      <c r="B448" s="7" t="s">
        <v>447</v>
      </c>
      <c r="C448" s="1">
        <v>1</v>
      </c>
      <c r="D448" s="33">
        <v>1</v>
      </c>
      <c r="E448" s="37">
        <v>1</v>
      </c>
      <c r="F448" s="37">
        <v>1</v>
      </c>
      <c r="G448">
        <v>0.95346003800000001</v>
      </c>
      <c r="H448">
        <f t="shared" si="71"/>
        <v>1</v>
      </c>
      <c r="I448">
        <v>0.99979597330093395</v>
      </c>
      <c r="J448">
        <f t="shared" si="72"/>
        <v>1</v>
      </c>
      <c r="K448">
        <v>0.99469381570815996</v>
      </c>
      <c r="L448">
        <f t="shared" si="78"/>
        <v>1</v>
      </c>
      <c r="M448">
        <v>0.99977821099999997</v>
      </c>
      <c r="N448">
        <f t="shared" si="79"/>
        <v>1</v>
      </c>
      <c r="O448">
        <v>0.99970740079879805</v>
      </c>
      <c r="P448">
        <f t="shared" si="80"/>
        <v>1</v>
      </c>
      <c r="Q448">
        <v>0.71700328599999996</v>
      </c>
      <c r="R448">
        <f t="shared" si="81"/>
        <v>1</v>
      </c>
      <c r="S448">
        <v>0.953202605247498</v>
      </c>
      <c r="T448">
        <f t="shared" si="73"/>
        <v>1</v>
      </c>
      <c r="U448" s="7">
        <v>0.70542099999999996</v>
      </c>
      <c r="V448">
        <v>1</v>
      </c>
      <c r="X448">
        <v>1</v>
      </c>
    </row>
    <row r="449" spans="1:24">
      <c r="A449" s="1">
        <v>1</v>
      </c>
      <c r="B449" s="1" t="s">
        <v>448</v>
      </c>
      <c r="C449" s="1">
        <v>1</v>
      </c>
      <c r="D449" s="33">
        <v>1</v>
      </c>
      <c r="E449" s="36">
        <v>0</v>
      </c>
      <c r="F449" s="37">
        <v>1</v>
      </c>
      <c r="G449">
        <v>0.84084230699999996</v>
      </c>
      <c r="H449">
        <f t="shared" si="71"/>
        <v>1</v>
      </c>
      <c r="I449">
        <v>0.99519711732864402</v>
      </c>
      <c r="J449">
        <f t="shared" si="72"/>
        <v>1</v>
      </c>
      <c r="K449">
        <v>0.95766168832778897</v>
      </c>
      <c r="L449">
        <f t="shared" si="78"/>
        <v>1</v>
      </c>
      <c r="M449">
        <v>0.95098119999999997</v>
      </c>
      <c r="N449">
        <f t="shared" si="79"/>
        <v>1</v>
      </c>
      <c r="O449">
        <v>0.99763929843902599</v>
      </c>
      <c r="P449">
        <f t="shared" si="80"/>
        <v>1</v>
      </c>
      <c r="Q449">
        <v>0.67425352299999997</v>
      </c>
      <c r="R449">
        <f t="shared" si="81"/>
        <v>1</v>
      </c>
      <c r="S449">
        <v>0.87389659881591797</v>
      </c>
      <c r="T449">
        <f t="shared" si="73"/>
        <v>1</v>
      </c>
      <c r="U449" s="1">
        <v>0.63049639999999996</v>
      </c>
      <c r="V449">
        <v>1</v>
      </c>
      <c r="X449">
        <v>0</v>
      </c>
    </row>
    <row r="450" spans="1:24">
      <c r="A450" s="1">
        <v>1</v>
      </c>
      <c r="B450" s="1" t="s">
        <v>449</v>
      </c>
      <c r="C450" s="1">
        <v>1</v>
      </c>
      <c r="D450" s="33">
        <v>0</v>
      </c>
      <c r="E450" s="36">
        <v>1</v>
      </c>
      <c r="F450" s="37">
        <v>1</v>
      </c>
      <c r="G450">
        <v>0.84974998199999996</v>
      </c>
      <c r="H450">
        <f t="shared" si="71"/>
        <v>1</v>
      </c>
      <c r="I450">
        <v>0.95919352769851696</v>
      </c>
      <c r="J450">
        <f t="shared" si="72"/>
        <v>1</v>
      </c>
      <c r="K450">
        <v>0.92898416519164995</v>
      </c>
      <c r="L450">
        <f t="shared" si="78"/>
        <v>1</v>
      </c>
      <c r="M450">
        <v>0.97713029399999995</v>
      </c>
      <c r="N450">
        <f t="shared" si="79"/>
        <v>1</v>
      </c>
      <c r="O450">
        <v>0.89096146821975697</v>
      </c>
      <c r="P450">
        <f t="shared" si="80"/>
        <v>1</v>
      </c>
      <c r="Q450">
        <v>0.81418305599999996</v>
      </c>
      <c r="R450">
        <f t="shared" si="81"/>
        <v>1</v>
      </c>
      <c r="S450">
        <v>0.87737721204757702</v>
      </c>
      <c r="T450">
        <f t="shared" si="73"/>
        <v>1</v>
      </c>
      <c r="U450" s="1">
        <v>0.76938002999999999</v>
      </c>
      <c r="V450">
        <v>1</v>
      </c>
      <c r="X450">
        <v>0</v>
      </c>
    </row>
    <row r="451" spans="1:24">
      <c r="A451" s="1">
        <v>1</v>
      </c>
      <c r="B451" s="1" t="s">
        <v>450</v>
      </c>
      <c r="C451" s="1">
        <v>1</v>
      </c>
      <c r="D451" s="33">
        <v>1</v>
      </c>
      <c r="E451" s="37">
        <v>1</v>
      </c>
      <c r="F451" s="37">
        <v>1</v>
      </c>
      <c r="G451">
        <v>0.77043265100000002</v>
      </c>
      <c r="H451">
        <f t="shared" si="71"/>
        <v>1</v>
      </c>
      <c r="I451">
        <v>0.97450816631317105</v>
      </c>
      <c r="J451">
        <f t="shared" si="72"/>
        <v>1</v>
      </c>
      <c r="K451">
        <v>0.77949291467666604</v>
      </c>
      <c r="L451">
        <f t="shared" si="78"/>
        <v>1</v>
      </c>
      <c r="M451">
        <v>0.84739124799999999</v>
      </c>
      <c r="N451">
        <f t="shared" si="79"/>
        <v>1</v>
      </c>
      <c r="O451">
        <v>0.65595752000808705</v>
      </c>
      <c r="P451">
        <f t="shared" si="80"/>
        <v>1</v>
      </c>
      <c r="Q451">
        <v>0.42822057000000002</v>
      </c>
      <c r="R451">
        <f t="shared" si="81"/>
        <v>0</v>
      </c>
      <c r="S451">
        <v>0.70028930902481101</v>
      </c>
      <c r="T451">
        <f t="shared" si="73"/>
        <v>1</v>
      </c>
      <c r="U451" s="1">
        <v>0.65905119999999995</v>
      </c>
      <c r="V451">
        <v>1</v>
      </c>
      <c r="X451">
        <v>0</v>
      </c>
    </row>
    <row r="452" spans="1:24">
      <c r="A452" s="1">
        <v>1</v>
      </c>
      <c r="B452" s="1" t="s">
        <v>451</v>
      </c>
      <c r="C452" s="1">
        <v>1</v>
      </c>
      <c r="D452" s="33">
        <v>1</v>
      </c>
      <c r="E452" s="37">
        <v>1</v>
      </c>
      <c r="F452" s="37">
        <v>1</v>
      </c>
      <c r="G452">
        <v>0.91839027399999995</v>
      </c>
      <c r="H452">
        <f t="shared" si="71"/>
        <v>1</v>
      </c>
      <c r="I452">
        <v>0.99959725141525302</v>
      </c>
      <c r="J452">
        <f t="shared" si="72"/>
        <v>1</v>
      </c>
      <c r="K452">
        <v>0.95472270250320401</v>
      </c>
      <c r="L452">
        <f t="shared" si="78"/>
        <v>1</v>
      </c>
      <c r="M452">
        <v>0.99971312300000004</v>
      </c>
      <c r="N452">
        <f t="shared" si="79"/>
        <v>1</v>
      </c>
      <c r="O452">
        <v>0.98049885034561202</v>
      </c>
      <c r="P452">
        <f t="shared" si="80"/>
        <v>1</v>
      </c>
      <c r="Q452">
        <v>0.79679215000000003</v>
      </c>
      <c r="R452">
        <f t="shared" si="81"/>
        <v>1</v>
      </c>
      <c r="S452">
        <v>0.60770964622497603</v>
      </c>
      <c r="T452">
        <f t="shared" si="73"/>
        <v>1</v>
      </c>
      <c r="U452" s="1">
        <v>0.72356929999999997</v>
      </c>
      <c r="V452">
        <v>1</v>
      </c>
      <c r="X452">
        <v>0</v>
      </c>
    </row>
    <row r="453" spans="1:24">
      <c r="A453" s="1">
        <v>1</v>
      </c>
      <c r="B453" s="1" t="s">
        <v>452</v>
      </c>
      <c r="C453" s="1">
        <v>1</v>
      </c>
      <c r="D453" s="33">
        <v>1</v>
      </c>
      <c r="E453" s="37">
        <v>1</v>
      </c>
      <c r="F453" s="37">
        <v>1</v>
      </c>
      <c r="G453">
        <v>0.95431119200000003</v>
      </c>
      <c r="H453">
        <f t="shared" si="71"/>
        <v>1</v>
      </c>
      <c r="I453">
        <v>0.99872535467147805</v>
      </c>
      <c r="J453">
        <f t="shared" si="72"/>
        <v>1</v>
      </c>
      <c r="K453">
        <v>0.99592089653015103</v>
      </c>
      <c r="L453">
        <f t="shared" si="78"/>
        <v>1</v>
      </c>
      <c r="M453">
        <v>0.99999463600000005</v>
      </c>
      <c r="N453">
        <f t="shared" si="79"/>
        <v>1</v>
      </c>
      <c r="O453">
        <v>0.99402773380279497</v>
      </c>
      <c r="P453">
        <f t="shared" si="80"/>
        <v>1</v>
      </c>
      <c r="Q453">
        <v>0.80609840200000005</v>
      </c>
      <c r="R453">
        <f t="shared" si="81"/>
        <v>1</v>
      </c>
      <c r="S453">
        <v>0.99976605176925704</v>
      </c>
      <c r="T453">
        <f t="shared" si="73"/>
        <v>1</v>
      </c>
      <c r="U453" s="1">
        <v>0.77403120000000003</v>
      </c>
      <c r="V453">
        <v>1</v>
      </c>
      <c r="X453">
        <v>0</v>
      </c>
    </row>
    <row r="454" spans="1:24">
      <c r="A454" s="1">
        <v>1</v>
      </c>
      <c r="B454" s="1" t="s">
        <v>453</v>
      </c>
      <c r="C454" s="1">
        <v>1</v>
      </c>
      <c r="D454" s="33">
        <v>1</v>
      </c>
      <c r="E454" s="37">
        <v>1</v>
      </c>
      <c r="F454" s="37">
        <v>1</v>
      </c>
      <c r="G454">
        <v>0.96034908299999999</v>
      </c>
      <c r="H454">
        <f t="shared" si="71"/>
        <v>1</v>
      </c>
      <c r="I454">
        <v>0.99973064661026001</v>
      </c>
      <c r="J454">
        <f t="shared" si="72"/>
        <v>1</v>
      </c>
      <c r="K454">
        <v>0.85090589523315396</v>
      </c>
      <c r="L454">
        <f t="shared" si="78"/>
        <v>1</v>
      </c>
      <c r="M454">
        <v>0.99995684600000001</v>
      </c>
      <c r="N454">
        <f t="shared" si="79"/>
        <v>1</v>
      </c>
      <c r="O454">
        <v>0.99720001220703103</v>
      </c>
      <c r="P454">
        <f t="shared" si="80"/>
        <v>1</v>
      </c>
      <c r="Q454">
        <v>0.79041218800000002</v>
      </c>
      <c r="R454">
        <f t="shared" si="81"/>
        <v>1</v>
      </c>
      <c r="S454">
        <v>0.978068947792053</v>
      </c>
      <c r="T454">
        <f t="shared" si="73"/>
        <v>1</v>
      </c>
      <c r="U454" s="1">
        <v>0.73879760000000005</v>
      </c>
      <c r="V454">
        <v>1</v>
      </c>
      <c r="X454">
        <v>0</v>
      </c>
    </row>
    <row r="455" spans="1:24">
      <c r="A455" s="1">
        <v>1</v>
      </c>
      <c r="B455" s="1" t="s">
        <v>454</v>
      </c>
      <c r="C455" s="1">
        <v>1</v>
      </c>
      <c r="D455" s="33">
        <v>1</v>
      </c>
      <c r="E455" s="37">
        <v>1</v>
      </c>
      <c r="F455" s="37">
        <v>1</v>
      </c>
      <c r="G455">
        <v>0.109890737</v>
      </c>
      <c r="H455">
        <f t="shared" si="71"/>
        <v>0</v>
      </c>
      <c r="I455">
        <v>0.53950858116149902</v>
      </c>
      <c r="J455">
        <f t="shared" si="72"/>
        <v>1</v>
      </c>
      <c r="K455">
        <v>0.734977126121521</v>
      </c>
      <c r="L455">
        <f t="shared" si="78"/>
        <v>1</v>
      </c>
      <c r="M455">
        <v>0.78700476900000005</v>
      </c>
      <c r="N455">
        <f t="shared" si="79"/>
        <v>1</v>
      </c>
      <c r="O455">
        <v>2.1654095500708001E-2</v>
      </c>
      <c r="P455">
        <f t="shared" si="80"/>
        <v>0</v>
      </c>
      <c r="Q455">
        <v>0.21616271100000001</v>
      </c>
      <c r="R455">
        <f t="shared" si="81"/>
        <v>0</v>
      </c>
      <c r="S455">
        <v>0.18056298792362199</v>
      </c>
      <c r="T455">
        <f t="shared" si="73"/>
        <v>0</v>
      </c>
      <c r="U455" s="1">
        <v>0.25493395000000002</v>
      </c>
      <c r="V455">
        <v>0</v>
      </c>
      <c r="X455">
        <v>0</v>
      </c>
    </row>
    <row r="456" spans="1:24">
      <c r="A456" s="1">
        <v>1</v>
      </c>
      <c r="B456" s="1" t="s">
        <v>455</v>
      </c>
      <c r="C456" s="1">
        <v>1</v>
      </c>
      <c r="D456" s="33">
        <v>1</v>
      </c>
      <c r="E456" s="37">
        <v>1</v>
      </c>
      <c r="F456" s="37">
        <v>1</v>
      </c>
      <c r="G456">
        <v>0.97056448500000003</v>
      </c>
      <c r="H456">
        <f t="shared" si="71"/>
        <v>1</v>
      </c>
      <c r="I456">
        <v>0.96619963645935103</v>
      </c>
      <c r="J456">
        <f t="shared" si="72"/>
        <v>1</v>
      </c>
      <c r="K456">
        <v>0.98791933059692405</v>
      </c>
      <c r="L456">
        <f t="shared" si="78"/>
        <v>1</v>
      </c>
      <c r="M456">
        <v>0.99997639699999996</v>
      </c>
      <c r="N456">
        <f t="shared" si="79"/>
        <v>1</v>
      </c>
      <c r="O456">
        <v>0.98676145076751698</v>
      </c>
      <c r="P456">
        <f t="shared" si="80"/>
        <v>1</v>
      </c>
      <c r="Q456">
        <v>0.66803276499999997</v>
      </c>
      <c r="R456">
        <f t="shared" si="81"/>
        <v>1</v>
      </c>
      <c r="S456">
        <v>0.99737501144409202</v>
      </c>
      <c r="T456">
        <f t="shared" si="73"/>
        <v>1</v>
      </c>
      <c r="U456" s="1">
        <v>0.7421316</v>
      </c>
      <c r="V456">
        <v>1</v>
      </c>
      <c r="X456">
        <v>0</v>
      </c>
    </row>
    <row r="457" spans="1:24">
      <c r="A457" s="1">
        <v>1</v>
      </c>
      <c r="B457" s="1" t="s">
        <v>456</v>
      </c>
      <c r="C457" s="1">
        <v>1</v>
      </c>
      <c r="D457" s="33">
        <v>1</v>
      </c>
      <c r="E457" s="37">
        <v>1</v>
      </c>
      <c r="F457" s="37">
        <v>1</v>
      </c>
      <c r="G457">
        <v>0.72443091900000001</v>
      </c>
      <c r="H457">
        <f t="shared" si="71"/>
        <v>1</v>
      </c>
      <c r="I457">
        <v>0.99882751703262296</v>
      </c>
      <c r="J457">
        <f t="shared" si="72"/>
        <v>1</v>
      </c>
      <c r="K457">
        <v>0.99469107389450095</v>
      </c>
      <c r="L457">
        <f t="shared" si="78"/>
        <v>1</v>
      </c>
      <c r="M457">
        <v>0.99454379100000001</v>
      </c>
      <c r="N457">
        <f t="shared" si="79"/>
        <v>1</v>
      </c>
      <c r="O457">
        <v>0.98855108022689797</v>
      </c>
      <c r="P457">
        <f t="shared" si="80"/>
        <v>1</v>
      </c>
      <c r="Q457">
        <v>0.60929095700000002</v>
      </c>
      <c r="R457">
        <f t="shared" si="81"/>
        <v>1</v>
      </c>
      <c r="S457">
        <v>0.97021150588989302</v>
      </c>
      <c r="T457">
        <f t="shared" si="73"/>
        <v>1</v>
      </c>
      <c r="U457" s="1">
        <v>0.78823142999999996</v>
      </c>
      <c r="V457">
        <v>1</v>
      </c>
      <c r="X457">
        <v>0</v>
      </c>
    </row>
    <row r="458" spans="1:24">
      <c r="A458" s="1">
        <v>1</v>
      </c>
      <c r="B458" s="1" t="s">
        <v>457</v>
      </c>
      <c r="C458" s="1">
        <v>1</v>
      </c>
      <c r="D458" s="33">
        <v>0</v>
      </c>
      <c r="E458" s="37">
        <v>1</v>
      </c>
      <c r="F458" s="37">
        <v>1</v>
      </c>
      <c r="G458">
        <v>0.57718056399999995</v>
      </c>
      <c r="H458">
        <f t="shared" si="71"/>
        <v>1</v>
      </c>
      <c r="I458">
        <v>0.90672588348388705</v>
      </c>
      <c r="J458">
        <f t="shared" si="72"/>
        <v>1</v>
      </c>
      <c r="K458">
        <v>0.65034747123718295</v>
      </c>
      <c r="L458">
        <f t="shared" si="78"/>
        <v>1</v>
      </c>
      <c r="M458">
        <v>0.835966706</v>
      </c>
      <c r="N458">
        <f t="shared" si="79"/>
        <v>1</v>
      </c>
      <c r="O458">
        <v>0.94899326562881503</v>
      </c>
      <c r="P458">
        <f t="shared" si="80"/>
        <v>1</v>
      </c>
      <c r="Q458">
        <v>0.692655146</v>
      </c>
      <c r="R458">
        <f t="shared" si="81"/>
        <v>1</v>
      </c>
      <c r="S458">
        <v>0.90630882978439298</v>
      </c>
      <c r="T458">
        <f t="shared" si="73"/>
        <v>1</v>
      </c>
      <c r="U458" s="1">
        <v>0.7608511</v>
      </c>
      <c r="V458">
        <v>1</v>
      </c>
      <c r="X458">
        <v>0</v>
      </c>
    </row>
    <row r="459" spans="1:24">
      <c r="A459" s="1">
        <v>1</v>
      </c>
      <c r="B459" s="1" t="s">
        <v>458</v>
      </c>
      <c r="C459" s="1">
        <v>1</v>
      </c>
      <c r="D459" s="33">
        <v>1</v>
      </c>
      <c r="E459" s="36">
        <v>1</v>
      </c>
      <c r="F459" s="37">
        <v>1</v>
      </c>
      <c r="G459">
        <v>0.80665767200000005</v>
      </c>
      <c r="H459">
        <f t="shared" si="71"/>
        <v>1</v>
      </c>
      <c r="I459">
        <v>0.93599581718444802</v>
      </c>
      <c r="J459">
        <f t="shared" si="72"/>
        <v>1</v>
      </c>
      <c r="K459">
        <v>0.71873503923416104</v>
      </c>
      <c r="L459">
        <f t="shared" si="78"/>
        <v>1</v>
      </c>
      <c r="M459">
        <v>0.99983429899999998</v>
      </c>
      <c r="N459">
        <f t="shared" si="79"/>
        <v>1</v>
      </c>
      <c r="O459">
        <v>0.98140519857406605</v>
      </c>
      <c r="P459">
        <f t="shared" si="80"/>
        <v>1</v>
      </c>
      <c r="Q459">
        <v>0.74738746899999997</v>
      </c>
      <c r="R459">
        <f t="shared" si="81"/>
        <v>1</v>
      </c>
      <c r="S459">
        <v>0.92323750257492099</v>
      </c>
      <c r="T459">
        <f t="shared" si="73"/>
        <v>1</v>
      </c>
      <c r="U459" s="1">
        <v>0.78235909999999997</v>
      </c>
      <c r="V459">
        <v>1</v>
      </c>
      <c r="X459">
        <v>0</v>
      </c>
    </row>
    <row r="460" spans="1:24">
      <c r="A460" s="1">
        <v>1</v>
      </c>
      <c r="B460" s="1" t="s">
        <v>459</v>
      </c>
      <c r="C460" s="1">
        <v>1</v>
      </c>
      <c r="D460" s="33">
        <v>1</v>
      </c>
      <c r="E460" s="37">
        <v>1</v>
      </c>
      <c r="F460" s="37">
        <v>1</v>
      </c>
      <c r="G460">
        <v>0.96242547000000001</v>
      </c>
      <c r="H460">
        <f t="shared" si="71"/>
        <v>1</v>
      </c>
      <c r="I460">
        <v>0.99959021806716897</v>
      </c>
      <c r="J460">
        <f t="shared" si="72"/>
        <v>1</v>
      </c>
      <c r="K460">
        <v>0.99993026256561302</v>
      </c>
      <c r="L460">
        <f t="shared" si="78"/>
        <v>1</v>
      </c>
      <c r="M460">
        <v>1</v>
      </c>
      <c r="N460">
        <f t="shared" si="79"/>
        <v>1</v>
      </c>
      <c r="O460">
        <v>0.99970942735671997</v>
      </c>
      <c r="P460">
        <f t="shared" si="80"/>
        <v>1</v>
      </c>
      <c r="Q460">
        <v>0.73170036100000002</v>
      </c>
      <c r="R460">
        <f t="shared" si="81"/>
        <v>1</v>
      </c>
      <c r="S460">
        <v>0.99995815753936801</v>
      </c>
      <c r="T460">
        <f t="shared" si="73"/>
        <v>1</v>
      </c>
      <c r="U460" s="1">
        <v>0.75759659999999995</v>
      </c>
      <c r="V460">
        <v>1</v>
      </c>
      <c r="X460">
        <v>0</v>
      </c>
    </row>
    <row r="461" spans="1:24">
      <c r="A461" s="80">
        <v>1</v>
      </c>
      <c r="B461" s="1" t="s">
        <v>460</v>
      </c>
      <c r="C461" s="1">
        <v>1</v>
      </c>
      <c r="D461" s="33">
        <v>0</v>
      </c>
      <c r="E461" s="36">
        <v>0</v>
      </c>
      <c r="F461" s="37">
        <v>0</v>
      </c>
      <c r="G461">
        <v>0.744488657</v>
      </c>
      <c r="H461">
        <f t="shared" si="71"/>
        <v>1</v>
      </c>
      <c r="I461">
        <v>0.53974825143814098</v>
      </c>
      <c r="J461">
        <f t="shared" si="72"/>
        <v>1</v>
      </c>
      <c r="K461">
        <v>0.80813944339752197</v>
      </c>
      <c r="L461">
        <f t="shared" si="78"/>
        <v>1</v>
      </c>
      <c r="M461">
        <v>0.98561263099999996</v>
      </c>
      <c r="N461">
        <f t="shared" si="79"/>
        <v>1</v>
      </c>
      <c r="O461">
        <v>0.43657240271568298</v>
      </c>
      <c r="P461">
        <f t="shared" si="80"/>
        <v>0</v>
      </c>
      <c r="Q461">
        <v>0.74707627300000001</v>
      </c>
      <c r="R461">
        <f t="shared" si="81"/>
        <v>1</v>
      </c>
      <c r="S461">
        <v>0.79170465469360396</v>
      </c>
      <c r="T461">
        <f t="shared" si="73"/>
        <v>1</v>
      </c>
      <c r="U461" s="1">
        <v>0.74526959999999998</v>
      </c>
      <c r="V461">
        <v>1</v>
      </c>
      <c r="X461">
        <v>0</v>
      </c>
    </row>
    <row r="462" spans="1:24">
      <c r="A462" s="1">
        <v>1</v>
      </c>
      <c r="B462" s="1" t="s">
        <v>461</v>
      </c>
      <c r="C462" s="1">
        <v>1</v>
      </c>
      <c r="D462" s="33">
        <v>1</v>
      </c>
      <c r="E462" s="37">
        <v>1</v>
      </c>
      <c r="F462" s="37">
        <v>1</v>
      </c>
      <c r="G462">
        <v>0.65198183099999996</v>
      </c>
      <c r="H462">
        <f t="shared" si="71"/>
        <v>1</v>
      </c>
      <c r="I462">
        <v>0.950106501579285</v>
      </c>
      <c r="J462">
        <f t="shared" si="72"/>
        <v>1</v>
      </c>
      <c r="K462">
        <v>0.95241594314575195</v>
      </c>
      <c r="L462">
        <f t="shared" si="78"/>
        <v>1</v>
      </c>
      <c r="M462">
        <v>0.99858993299999999</v>
      </c>
      <c r="N462">
        <f t="shared" si="79"/>
        <v>1</v>
      </c>
      <c r="O462">
        <v>0.97542619705200195</v>
      </c>
      <c r="P462">
        <f t="shared" si="80"/>
        <v>1</v>
      </c>
      <c r="Q462">
        <v>0.54060053799999996</v>
      </c>
      <c r="R462">
        <f t="shared" si="81"/>
        <v>1</v>
      </c>
      <c r="S462">
        <v>0.92324036359786998</v>
      </c>
      <c r="T462">
        <f t="shared" si="73"/>
        <v>1</v>
      </c>
      <c r="U462" s="1">
        <v>0.74483067000000003</v>
      </c>
      <c r="V462">
        <v>1</v>
      </c>
      <c r="X462">
        <v>0</v>
      </c>
    </row>
    <row r="463" spans="1:24">
      <c r="A463" s="1">
        <v>1</v>
      </c>
      <c r="B463" s="1" t="s">
        <v>462</v>
      </c>
      <c r="C463" s="1">
        <v>1</v>
      </c>
      <c r="D463" s="33">
        <v>1</v>
      </c>
      <c r="E463" s="37">
        <v>1</v>
      </c>
      <c r="F463" s="37">
        <v>1</v>
      </c>
      <c r="G463">
        <v>0.94139033599999999</v>
      </c>
      <c r="H463">
        <f t="shared" si="71"/>
        <v>1</v>
      </c>
      <c r="I463">
        <v>0.99851125478744496</v>
      </c>
      <c r="J463">
        <f t="shared" si="72"/>
        <v>1</v>
      </c>
      <c r="K463">
        <v>0.93341022729873702</v>
      </c>
      <c r="L463">
        <f t="shared" si="78"/>
        <v>1</v>
      </c>
      <c r="M463">
        <v>0.99882286799999997</v>
      </c>
      <c r="N463">
        <f t="shared" si="79"/>
        <v>1</v>
      </c>
      <c r="O463">
        <v>0.99872547388076804</v>
      </c>
      <c r="P463">
        <f t="shared" si="80"/>
        <v>1</v>
      </c>
      <c r="Q463">
        <v>0.74733859300000005</v>
      </c>
      <c r="R463">
        <f t="shared" si="81"/>
        <v>1</v>
      </c>
      <c r="S463">
        <v>0.99770480394363403</v>
      </c>
      <c r="T463">
        <f t="shared" si="73"/>
        <v>1</v>
      </c>
      <c r="U463" s="1">
        <v>0.64226925000000001</v>
      </c>
      <c r="V463">
        <v>1</v>
      </c>
      <c r="X463">
        <v>0</v>
      </c>
    </row>
    <row r="464" spans="1:24">
      <c r="A464" s="1">
        <v>1</v>
      </c>
      <c r="B464" s="1" t="s">
        <v>463</v>
      </c>
      <c r="C464" s="1">
        <v>1</v>
      </c>
      <c r="D464" s="33">
        <v>1</v>
      </c>
      <c r="E464" s="37">
        <v>1</v>
      </c>
      <c r="F464" s="37">
        <v>1</v>
      </c>
      <c r="G464">
        <v>0.56213438500000001</v>
      </c>
      <c r="H464">
        <f t="shared" si="71"/>
        <v>1</v>
      </c>
      <c r="I464">
        <v>9.5457687973975996E-2</v>
      </c>
      <c r="J464">
        <f t="shared" si="72"/>
        <v>0</v>
      </c>
      <c r="K464">
        <v>0.59606420993804898</v>
      </c>
      <c r="L464">
        <f t="shared" si="78"/>
        <v>1</v>
      </c>
      <c r="M464">
        <v>0.96408903599999995</v>
      </c>
      <c r="N464">
        <f t="shared" si="79"/>
        <v>1</v>
      </c>
      <c r="O464">
        <v>6.2126763164996997E-2</v>
      </c>
      <c r="P464">
        <f t="shared" si="80"/>
        <v>0</v>
      </c>
      <c r="Q464">
        <v>0.19486938400000001</v>
      </c>
      <c r="R464">
        <f t="shared" si="81"/>
        <v>0</v>
      </c>
      <c r="S464">
        <v>0.234895974397659</v>
      </c>
      <c r="T464">
        <f t="shared" si="73"/>
        <v>0</v>
      </c>
      <c r="U464" s="1">
        <v>0.29717719999999997</v>
      </c>
      <c r="V464">
        <v>0</v>
      </c>
      <c r="X464">
        <v>0</v>
      </c>
    </row>
    <row r="465" spans="1:24">
      <c r="A465" s="1">
        <v>1</v>
      </c>
      <c r="B465" s="1" t="s">
        <v>464</v>
      </c>
      <c r="C465" s="1">
        <v>1</v>
      </c>
      <c r="D465" s="33">
        <v>1</v>
      </c>
      <c r="E465" s="37">
        <v>1</v>
      </c>
      <c r="F465" s="37">
        <v>1</v>
      </c>
      <c r="G465">
        <v>0.959917307</v>
      </c>
      <c r="H465">
        <f t="shared" si="71"/>
        <v>1</v>
      </c>
      <c r="I465">
        <v>0.99980372190475397</v>
      </c>
      <c r="J465">
        <f t="shared" si="72"/>
        <v>1</v>
      </c>
      <c r="K465">
        <v>0.99966478347778298</v>
      </c>
      <c r="L465">
        <f t="shared" si="78"/>
        <v>1</v>
      </c>
      <c r="M465">
        <v>0.99998116500000001</v>
      </c>
      <c r="N465">
        <f t="shared" si="79"/>
        <v>1</v>
      </c>
      <c r="O465">
        <v>0.99946564435958896</v>
      </c>
      <c r="P465">
        <f t="shared" si="80"/>
        <v>1</v>
      </c>
      <c r="Q465">
        <v>0.83251339199999996</v>
      </c>
      <c r="R465">
        <f t="shared" si="81"/>
        <v>1</v>
      </c>
      <c r="S465">
        <v>0.99989366531372104</v>
      </c>
      <c r="T465">
        <f t="shared" si="73"/>
        <v>1</v>
      </c>
      <c r="U465" s="1">
        <v>0.7903791</v>
      </c>
      <c r="V465">
        <v>1</v>
      </c>
      <c r="X465">
        <v>0</v>
      </c>
    </row>
    <row r="466" spans="1:24">
      <c r="A466" s="1">
        <v>1</v>
      </c>
      <c r="B466" s="1" t="s">
        <v>465</v>
      </c>
      <c r="C466" s="1">
        <v>1</v>
      </c>
      <c r="D466" s="33">
        <v>1</v>
      </c>
      <c r="E466" s="37">
        <v>1</v>
      </c>
      <c r="F466" s="37">
        <v>1</v>
      </c>
      <c r="G466">
        <v>0.97804093400000003</v>
      </c>
      <c r="H466">
        <f t="shared" si="71"/>
        <v>1</v>
      </c>
      <c r="I466">
        <v>0.99999737739562999</v>
      </c>
      <c r="J466">
        <f t="shared" si="72"/>
        <v>1</v>
      </c>
      <c r="K466">
        <v>0.99979513883590698</v>
      </c>
      <c r="L466">
        <f t="shared" si="78"/>
        <v>1</v>
      </c>
      <c r="M466">
        <v>0.999889731</v>
      </c>
      <c r="N466">
        <f t="shared" si="79"/>
        <v>1</v>
      </c>
      <c r="O466">
        <v>0.99998962879180897</v>
      </c>
      <c r="P466">
        <f t="shared" si="80"/>
        <v>1</v>
      </c>
      <c r="Q466">
        <v>0.67876082699999996</v>
      </c>
      <c r="R466">
        <f t="shared" si="81"/>
        <v>1</v>
      </c>
      <c r="S466">
        <v>0.99976760149002097</v>
      </c>
      <c r="T466">
        <f t="shared" si="73"/>
        <v>1</v>
      </c>
      <c r="U466" s="1">
        <v>0.77117705000000003</v>
      </c>
      <c r="V466">
        <v>1</v>
      </c>
      <c r="X466">
        <v>0</v>
      </c>
    </row>
    <row r="467" spans="1:24">
      <c r="A467" s="1">
        <v>1</v>
      </c>
      <c r="B467" s="1" t="s">
        <v>466</v>
      </c>
      <c r="C467" s="1">
        <v>1</v>
      </c>
      <c r="D467" s="33">
        <v>1</v>
      </c>
      <c r="E467" s="37">
        <v>1</v>
      </c>
      <c r="F467" s="37">
        <v>1</v>
      </c>
      <c r="G467">
        <v>0.91463643299999997</v>
      </c>
      <c r="H467">
        <f t="shared" si="71"/>
        <v>1</v>
      </c>
      <c r="I467">
        <v>0.98009353876113903</v>
      </c>
      <c r="J467">
        <f t="shared" si="72"/>
        <v>1</v>
      </c>
      <c r="K467">
        <v>0.94772267341613803</v>
      </c>
      <c r="L467">
        <f t="shared" si="78"/>
        <v>1</v>
      </c>
      <c r="M467">
        <v>0.93720352600000001</v>
      </c>
      <c r="N467">
        <f t="shared" si="79"/>
        <v>1</v>
      </c>
      <c r="O467">
        <v>0.95251446962356601</v>
      </c>
      <c r="P467">
        <f t="shared" si="80"/>
        <v>1</v>
      </c>
      <c r="Q467">
        <v>0.77925771499999996</v>
      </c>
      <c r="R467">
        <f t="shared" si="81"/>
        <v>1</v>
      </c>
      <c r="S467">
        <v>0.98190695047378496</v>
      </c>
      <c r="T467">
        <f t="shared" si="73"/>
        <v>1</v>
      </c>
      <c r="U467" s="1">
        <v>0.7132695</v>
      </c>
      <c r="V467">
        <v>1</v>
      </c>
      <c r="X467">
        <v>0</v>
      </c>
    </row>
    <row r="468" spans="1:24">
      <c r="A468" s="1">
        <v>1</v>
      </c>
      <c r="B468" s="1" t="s">
        <v>467</v>
      </c>
      <c r="C468" s="1">
        <v>1</v>
      </c>
      <c r="D468" s="33">
        <v>1</v>
      </c>
      <c r="E468" s="37">
        <v>1</v>
      </c>
      <c r="F468" s="37">
        <v>1</v>
      </c>
      <c r="G468">
        <v>0.121307001</v>
      </c>
      <c r="H468">
        <f t="shared" si="71"/>
        <v>0</v>
      </c>
      <c r="I468">
        <v>0.71020996570587203</v>
      </c>
      <c r="J468">
        <f t="shared" si="72"/>
        <v>1</v>
      </c>
      <c r="K468">
        <v>3.1651224941015001E-2</v>
      </c>
      <c r="L468">
        <f t="shared" si="78"/>
        <v>0</v>
      </c>
      <c r="M468">
        <v>0.83049046999999998</v>
      </c>
      <c r="N468">
        <f t="shared" si="79"/>
        <v>1</v>
      </c>
      <c r="O468">
        <v>0.42280769348144498</v>
      </c>
      <c r="P468">
        <f t="shared" si="80"/>
        <v>0</v>
      </c>
      <c r="Q468">
        <v>0.64223992799999996</v>
      </c>
      <c r="R468">
        <f t="shared" si="81"/>
        <v>1</v>
      </c>
      <c r="S468">
        <v>1.4183835126459999E-2</v>
      </c>
      <c r="T468">
        <f t="shared" si="73"/>
        <v>0</v>
      </c>
      <c r="U468" s="1">
        <v>0.74091225999999999</v>
      </c>
      <c r="V468">
        <v>1</v>
      </c>
      <c r="X468">
        <v>0</v>
      </c>
    </row>
    <row r="469" spans="1:24">
      <c r="A469" s="1">
        <v>1</v>
      </c>
      <c r="B469" s="1" t="s">
        <v>468</v>
      </c>
      <c r="C469" s="1">
        <v>1</v>
      </c>
      <c r="D469" s="33">
        <v>1</v>
      </c>
      <c r="E469" s="37">
        <v>1</v>
      </c>
      <c r="F469" s="37">
        <v>1</v>
      </c>
      <c r="G469">
        <v>0.94421094699999997</v>
      </c>
      <c r="H469">
        <f t="shared" si="71"/>
        <v>1</v>
      </c>
      <c r="I469">
        <v>0.99932885169982899</v>
      </c>
      <c r="J469">
        <f t="shared" si="72"/>
        <v>1</v>
      </c>
      <c r="K469">
        <v>0.99980932474136397</v>
      </c>
      <c r="L469">
        <f t="shared" si="78"/>
        <v>1</v>
      </c>
      <c r="M469">
        <v>0.99999988100000003</v>
      </c>
      <c r="N469">
        <f t="shared" si="79"/>
        <v>1</v>
      </c>
      <c r="O469">
        <v>0.993965923786163</v>
      </c>
      <c r="P469">
        <f t="shared" si="80"/>
        <v>1</v>
      </c>
      <c r="Q469">
        <v>0.76898342399999997</v>
      </c>
      <c r="R469">
        <f t="shared" si="81"/>
        <v>1</v>
      </c>
      <c r="S469">
        <v>0.99982434511184703</v>
      </c>
      <c r="T469">
        <f t="shared" si="73"/>
        <v>1</v>
      </c>
      <c r="U469" s="1">
        <v>0.79524313999999996</v>
      </c>
      <c r="V469">
        <v>1</v>
      </c>
      <c r="X469">
        <v>0</v>
      </c>
    </row>
    <row r="470" spans="1:24">
      <c r="A470" s="1">
        <v>1</v>
      </c>
      <c r="B470" s="1" t="s">
        <v>469</v>
      </c>
      <c r="C470" s="1">
        <v>1</v>
      </c>
      <c r="D470" s="33">
        <v>0</v>
      </c>
      <c r="E470" s="36">
        <v>0</v>
      </c>
      <c r="F470" s="37">
        <v>1</v>
      </c>
      <c r="G470">
        <v>0.86100834599999998</v>
      </c>
      <c r="H470">
        <f t="shared" si="71"/>
        <v>1</v>
      </c>
      <c r="I470">
        <v>0.98890763521194502</v>
      </c>
      <c r="J470">
        <f t="shared" si="72"/>
        <v>1</v>
      </c>
      <c r="K470">
        <v>0.91228765249252297</v>
      </c>
      <c r="L470">
        <f t="shared" si="78"/>
        <v>1</v>
      </c>
      <c r="M470">
        <v>0.90015792800000005</v>
      </c>
      <c r="N470">
        <f t="shared" si="79"/>
        <v>1</v>
      </c>
      <c r="O470">
        <v>0.95324319601059004</v>
      </c>
      <c r="P470">
        <f t="shared" si="80"/>
        <v>1</v>
      </c>
      <c r="Q470">
        <v>0.50139433099999997</v>
      </c>
      <c r="R470">
        <f t="shared" si="81"/>
        <v>1</v>
      </c>
      <c r="S470">
        <v>0.74526059627533003</v>
      </c>
      <c r="T470">
        <f t="shared" si="73"/>
        <v>1</v>
      </c>
      <c r="U470" s="1">
        <v>0.74422670000000002</v>
      </c>
      <c r="V470">
        <v>1</v>
      </c>
      <c r="X470">
        <v>0</v>
      </c>
    </row>
  </sheetData>
  <autoFilter ref="A21:X470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2"/>
  <sheetViews>
    <sheetView topLeftCell="A19" workbookViewId="0">
      <pane xSplit="2" ySplit="3" topLeftCell="C419" activePane="bottomRight" state="frozen"/>
      <selection activeCell="A19" sqref="A19"/>
      <selection pane="topRight" activeCell="C19" sqref="C19"/>
      <selection pane="bottomLeft" activeCell="A22" sqref="A22"/>
      <selection pane="bottomRight" activeCell="U392" sqref="U392:U432"/>
    </sheetView>
  </sheetViews>
  <sheetFormatPr defaultRowHeight="17"/>
  <sheetData>
    <row r="1" spans="1:18">
      <c r="A1" s="79" t="s">
        <v>470</v>
      </c>
      <c r="B1" s="26" t="s">
        <v>11</v>
      </c>
      <c r="C1" s="26" t="s">
        <v>471</v>
      </c>
      <c r="D1" s="26" t="s">
        <v>472</v>
      </c>
      <c r="E1" s="26" t="s">
        <v>473</v>
      </c>
      <c r="F1" s="26" t="s">
        <v>474</v>
      </c>
      <c r="G1" s="26" t="s">
        <v>475</v>
      </c>
      <c r="H1" s="26" t="s">
        <v>476</v>
      </c>
      <c r="I1" s="26" t="s">
        <v>477</v>
      </c>
      <c r="J1" s="26" t="s">
        <v>478</v>
      </c>
      <c r="K1" s="41" t="s">
        <v>479</v>
      </c>
      <c r="L1" s="41" t="s">
        <v>480</v>
      </c>
      <c r="M1" s="41" t="s">
        <v>561</v>
      </c>
      <c r="N1" s="26" t="s">
        <v>481</v>
      </c>
      <c r="O1" s="26" t="s">
        <v>482</v>
      </c>
    </row>
    <row r="2" spans="1:18">
      <c r="A2" s="79">
        <v>0.5</v>
      </c>
      <c r="B2" s="26">
        <f>COUNTIF(C22:C432, 1)</f>
        <v>203</v>
      </c>
      <c r="C2" s="79"/>
      <c r="D2" s="79"/>
      <c r="E2" s="79"/>
      <c r="F2" s="79"/>
      <c r="G2" s="79"/>
      <c r="H2" s="79"/>
      <c r="I2" s="79"/>
      <c r="J2" s="79"/>
      <c r="K2" s="42"/>
      <c r="L2" s="42"/>
      <c r="M2" s="42"/>
      <c r="N2" s="79"/>
      <c r="O2" s="79"/>
    </row>
    <row r="3" spans="1:18">
      <c r="A3" s="79"/>
      <c r="B3" s="26" t="s">
        <v>10</v>
      </c>
      <c r="C3" s="79"/>
      <c r="D3" s="79"/>
      <c r="E3" s="79"/>
      <c r="F3" s="79"/>
      <c r="G3" s="79"/>
      <c r="H3" s="79"/>
      <c r="I3" s="79"/>
      <c r="J3" s="79"/>
      <c r="K3" s="42"/>
      <c r="L3" s="42"/>
      <c r="M3" s="42"/>
      <c r="N3" s="79"/>
      <c r="O3" s="79"/>
    </row>
    <row r="4" spans="1:18">
      <c r="A4" s="79"/>
      <c r="B4" s="26">
        <f>COUNTIF(C22:C432, 0)</f>
        <v>203</v>
      </c>
      <c r="C4" s="79"/>
      <c r="D4" s="79"/>
      <c r="E4" s="79"/>
      <c r="F4" s="79"/>
      <c r="G4" s="79"/>
      <c r="H4" s="79"/>
      <c r="I4" s="79"/>
      <c r="J4" s="79"/>
      <c r="K4" s="42"/>
      <c r="L4" s="42"/>
      <c r="M4" s="42"/>
      <c r="N4" s="79"/>
      <c r="O4" s="79"/>
    </row>
    <row r="5" spans="1:18">
      <c r="A5" s="4" t="s">
        <v>492</v>
      </c>
      <c r="B5" s="26" t="s">
        <v>489</v>
      </c>
      <c r="C5">
        <f>COUNTIFS($C$22:$C$432, 1, $D$22:$D$432, 1)</f>
        <v>172</v>
      </c>
      <c r="D5">
        <f>COUNTIFS($C$22:$C$432, 1, $D$22:$D$432, 0)</f>
        <v>31</v>
      </c>
      <c r="E5">
        <f>COUNTIFS($C$22:$C$432, 0, $D$22:$D$432, 1)</f>
        <v>37</v>
      </c>
      <c r="F5">
        <f>COUNTIFS($C$22:$C$432, 0, $D$22:$D$432, 0)</f>
        <v>166</v>
      </c>
      <c r="G5" s="79">
        <f>C5+E5</f>
        <v>209</v>
      </c>
      <c r="H5" s="79">
        <f>D5+F5</f>
        <v>197</v>
      </c>
      <c r="I5" s="79">
        <f t="shared" ref="I5:I15" si="0">C5+D5</f>
        <v>203</v>
      </c>
      <c r="J5" s="79">
        <f t="shared" ref="J5:J15" si="1">F5+E5</f>
        <v>203</v>
      </c>
      <c r="K5" s="54">
        <f t="shared" ref="K5:K15" si="2">(C5+F5)/SUM($C5:$F5)</f>
        <v>0.83251231527093594</v>
      </c>
      <c r="L5" s="54">
        <f t="shared" ref="L5:L15" si="3">C5/I5</f>
        <v>0.84729064039408863</v>
      </c>
      <c r="M5" s="54">
        <f t="shared" ref="M5:M15" si="4">F5/J5</f>
        <v>0.81773399014778325</v>
      </c>
      <c r="N5" s="55">
        <f t="shared" ref="N5:N15" si="5">C5/G5</f>
        <v>0.82296650717703346</v>
      </c>
      <c r="O5" s="55">
        <f t="shared" ref="O5:O15" si="6">F5/H5</f>
        <v>0.84263959390862941</v>
      </c>
      <c r="Q5" s="27"/>
    </row>
    <row r="6" spans="1:18">
      <c r="A6" s="43" t="s">
        <v>493</v>
      </c>
      <c r="B6" s="44" t="s">
        <v>490</v>
      </c>
      <c r="C6" s="45">
        <f>COUNTIFS($C$22:$C$432, 1, $E$22:$E$432, 1)</f>
        <v>184</v>
      </c>
      <c r="D6" s="45">
        <f>COUNTIFS($C$22:$C$432, 1, $E$22:$E$432, 0)</f>
        <v>19</v>
      </c>
      <c r="E6" s="45">
        <f>COUNTIFS($C$22:$C$432, 0, $E$22:$E$432, 1)</f>
        <v>25</v>
      </c>
      <c r="F6" s="45">
        <f>COUNTIFS($C$22:$C$432, 0, $E$22:$E$432, 0)</f>
        <v>178</v>
      </c>
      <c r="G6" s="46">
        <f t="shared" ref="G6:H15" si="7">C6+E6</f>
        <v>209</v>
      </c>
      <c r="H6" s="46">
        <f t="shared" si="7"/>
        <v>197</v>
      </c>
      <c r="I6" s="46">
        <f t="shared" si="0"/>
        <v>203</v>
      </c>
      <c r="J6" s="46">
        <f t="shared" si="1"/>
        <v>203</v>
      </c>
      <c r="K6" s="56">
        <f t="shared" si="2"/>
        <v>0.89162561576354682</v>
      </c>
      <c r="L6" s="56">
        <f t="shared" si="3"/>
        <v>0.90640394088669951</v>
      </c>
      <c r="M6" s="56">
        <f t="shared" si="4"/>
        <v>0.87684729064039413</v>
      </c>
      <c r="N6" s="57">
        <f t="shared" si="5"/>
        <v>0.88038277511961727</v>
      </c>
      <c r="O6" s="57">
        <f t="shared" si="6"/>
        <v>0.90355329949238583</v>
      </c>
      <c r="P6" s="45" t="s">
        <v>497</v>
      </c>
    </row>
    <row r="7" spans="1:18">
      <c r="A7" s="4" t="s">
        <v>494</v>
      </c>
      <c r="B7" s="29" t="s">
        <v>491</v>
      </c>
      <c r="C7">
        <f>COUNTIFS($C$22:$C$432, 1, $F$22:$F$432, 1)</f>
        <v>199</v>
      </c>
      <c r="D7">
        <f>COUNTIFS($C$22:$C$432, 1, $F$22:$F$432, 0)</f>
        <v>4</v>
      </c>
      <c r="E7">
        <f>COUNTIFS($C$22:$C$432, 0, $F$22:$F$432, 1)</f>
        <v>19</v>
      </c>
      <c r="F7">
        <f>COUNTIFS($C$22:$C$432, 0, $F$22:$F$432, 0)</f>
        <v>184</v>
      </c>
      <c r="G7" s="79">
        <f t="shared" si="7"/>
        <v>218</v>
      </c>
      <c r="H7" s="79">
        <f t="shared" si="7"/>
        <v>188</v>
      </c>
      <c r="I7" s="79">
        <f t="shared" si="0"/>
        <v>203</v>
      </c>
      <c r="J7" s="79">
        <f t="shared" si="1"/>
        <v>203</v>
      </c>
      <c r="K7" s="54">
        <f t="shared" si="2"/>
        <v>0.94334975369458129</v>
      </c>
      <c r="L7" s="54">
        <f t="shared" si="3"/>
        <v>0.98029556650246308</v>
      </c>
      <c r="M7" s="54">
        <f t="shared" si="4"/>
        <v>0.90640394088669951</v>
      </c>
      <c r="N7" s="55">
        <f t="shared" si="5"/>
        <v>0.91284403669724767</v>
      </c>
      <c r="O7" s="55">
        <f t="shared" si="6"/>
        <v>0.97872340425531912</v>
      </c>
      <c r="P7" s="27"/>
    </row>
    <row r="8" spans="1:18">
      <c r="A8" s="79"/>
      <c r="B8" s="47" t="s">
        <v>495</v>
      </c>
      <c r="C8" s="48">
        <f>COUNTIFS($C$22:$C$432, 1, H$22:H$432, 1)</f>
        <v>183</v>
      </c>
      <c r="D8" s="48">
        <f>COUNTIFS($C$22:$C$432, 1, H$22:H$432, 0)</f>
        <v>20</v>
      </c>
      <c r="E8" s="48">
        <f>COUNTIFS($C$22:$C$432, 0, H$22:H$432, 1)</f>
        <v>18</v>
      </c>
      <c r="F8" s="48">
        <f>COUNTIFS($C$22:$C$432, 0, H$22:H$432, 0)</f>
        <v>185</v>
      </c>
      <c r="G8" s="49">
        <f t="shared" si="7"/>
        <v>201</v>
      </c>
      <c r="H8" s="49">
        <f t="shared" si="7"/>
        <v>205</v>
      </c>
      <c r="I8" s="49">
        <f t="shared" si="0"/>
        <v>203</v>
      </c>
      <c r="J8" s="49">
        <f t="shared" si="1"/>
        <v>203</v>
      </c>
      <c r="K8" s="58">
        <f t="shared" si="2"/>
        <v>0.90640394088669951</v>
      </c>
      <c r="L8" s="58">
        <f t="shared" si="3"/>
        <v>0.90147783251231528</v>
      </c>
      <c r="M8" s="58">
        <f t="shared" si="4"/>
        <v>0.91133004926108374</v>
      </c>
      <c r="N8" s="59">
        <f t="shared" si="5"/>
        <v>0.91044776119402981</v>
      </c>
      <c r="O8" s="59">
        <f t="shared" si="6"/>
        <v>0.90243902439024393</v>
      </c>
      <c r="P8" s="48" t="s">
        <v>495</v>
      </c>
      <c r="Q8" s="52"/>
      <c r="R8" s="52"/>
    </row>
    <row r="9" spans="1:18">
      <c r="A9" s="79"/>
      <c r="B9" s="29" t="s">
        <v>542</v>
      </c>
      <c r="C9">
        <f>COUNTIFS($C$22:$C$432, 1, J$22:J$432, 1)</f>
        <v>180</v>
      </c>
      <c r="D9">
        <f>COUNTIFS($C$22:$C$432, 1, J$22:J$432, 0)</f>
        <v>23</v>
      </c>
      <c r="E9">
        <f>COUNTIFS($C$22:$C$432, 0, J$22:J$432, 1)</f>
        <v>32</v>
      </c>
      <c r="F9">
        <f>COUNTIFS($C$22:$C$432, 0, J$22:J$432, 0)</f>
        <v>171</v>
      </c>
      <c r="G9" s="79">
        <f t="shared" si="7"/>
        <v>212</v>
      </c>
      <c r="H9" s="79">
        <f t="shared" si="7"/>
        <v>194</v>
      </c>
      <c r="I9" s="79">
        <f t="shared" si="0"/>
        <v>203</v>
      </c>
      <c r="J9" s="79">
        <f t="shared" si="1"/>
        <v>203</v>
      </c>
      <c r="K9" s="54">
        <f t="shared" si="2"/>
        <v>0.8645320197044335</v>
      </c>
      <c r="L9" s="54">
        <f t="shared" si="3"/>
        <v>0.88669950738916259</v>
      </c>
      <c r="M9" s="54">
        <f t="shared" si="4"/>
        <v>0.8423645320197044</v>
      </c>
      <c r="N9" s="55">
        <f t="shared" si="5"/>
        <v>0.84905660377358494</v>
      </c>
      <c r="O9" s="55">
        <f t="shared" si="6"/>
        <v>0.88144329896907214</v>
      </c>
      <c r="Q9" s="60"/>
      <c r="R9" s="52"/>
    </row>
    <row r="10" spans="1:18">
      <c r="B10" s="26" t="s">
        <v>540</v>
      </c>
      <c r="C10">
        <f>COUNTIFS($C$22:$C$432, 1, L$22:L$432, 1)</f>
        <v>176</v>
      </c>
      <c r="D10">
        <f>COUNTIFS($C$22:$C$432, 1, L$22:L$432, 0)</f>
        <v>27</v>
      </c>
      <c r="E10">
        <f>COUNTIFS($C$22:$C$432, 0, L$22:L$432, 1)</f>
        <v>33</v>
      </c>
      <c r="F10">
        <f>COUNTIFS($C$22:$C$432, 0, L$22:L$432, 0)</f>
        <v>170</v>
      </c>
      <c r="G10" s="79">
        <f t="shared" si="7"/>
        <v>209</v>
      </c>
      <c r="H10" s="79">
        <f t="shared" si="7"/>
        <v>197</v>
      </c>
      <c r="I10" s="79">
        <f t="shared" si="0"/>
        <v>203</v>
      </c>
      <c r="J10" s="79">
        <f t="shared" si="1"/>
        <v>203</v>
      </c>
      <c r="K10" s="54">
        <f t="shared" si="2"/>
        <v>0.85221674876847286</v>
      </c>
      <c r="L10" s="54">
        <f t="shared" si="3"/>
        <v>0.86699507389162567</v>
      </c>
      <c r="M10" s="54">
        <f t="shared" si="4"/>
        <v>0.83743842364532017</v>
      </c>
      <c r="N10" s="55">
        <f t="shared" si="5"/>
        <v>0.84210526315789469</v>
      </c>
      <c r="O10" s="55">
        <f t="shared" si="6"/>
        <v>0.86294416243654826</v>
      </c>
      <c r="Q10" s="60"/>
      <c r="R10" s="52"/>
    </row>
    <row r="11" spans="1:18">
      <c r="B11" s="28" t="s">
        <v>539</v>
      </c>
      <c r="C11">
        <f>COUNTIFS($C$22:$C$432, 1, N$22:N$432, 1)</f>
        <v>178</v>
      </c>
      <c r="D11">
        <f>COUNTIFS($C$22:$C$432, 1, N$22:N$432, 0)</f>
        <v>25</v>
      </c>
      <c r="E11">
        <f>COUNTIFS($C$22:$C$432, 0, N$22:N$432, 1)</f>
        <v>25</v>
      </c>
      <c r="F11">
        <f>COUNTIFS($C$22:$C$432, 0, N$22:N$432, 0)</f>
        <v>178</v>
      </c>
      <c r="G11" s="79">
        <f t="shared" si="7"/>
        <v>203</v>
      </c>
      <c r="H11" s="79">
        <f t="shared" si="7"/>
        <v>203</v>
      </c>
      <c r="I11" s="79">
        <f t="shared" si="0"/>
        <v>203</v>
      </c>
      <c r="J11" s="79">
        <f t="shared" si="1"/>
        <v>203</v>
      </c>
      <c r="K11" s="54">
        <f t="shared" si="2"/>
        <v>0.87684729064039413</v>
      </c>
      <c r="L11" s="54">
        <f t="shared" si="3"/>
        <v>0.87684729064039413</v>
      </c>
      <c r="M11" s="54">
        <f t="shared" si="4"/>
        <v>0.87684729064039413</v>
      </c>
      <c r="N11" s="55">
        <f t="shared" si="5"/>
        <v>0.87684729064039413</v>
      </c>
      <c r="O11" s="55">
        <f t="shared" si="6"/>
        <v>0.87684729064039413</v>
      </c>
      <c r="Q11" s="52"/>
      <c r="R11" s="52"/>
    </row>
    <row r="12" spans="1:18">
      <c r="B12" s="29" t="s">
        <v>541</v>
      </c>
      <c r="C12">
        <f>COUNTIFS($C$22:$C$432, 1, P$22:P$432, 1)</f>
        <v>176</v>
      </c>
      <c r="D12">
        <f>COUNTIFS($C$22:$C$432, 1, P$22:P$432, 0)</f>
        <v>27</v>
      </c>
      <c r="E12">
        <f>COUNTIFS($C$22:$C$432, 0, P$22:P$432, 1)</f>
        <v>26</v>
      </c>
      <c r="F12">
        <f>COUNTIFS($C$22:$C$432, 0, P$22:P$432, 0)</f>
        <v>177</v>
      </c>
      <c r="G12" s="79">
        <f t="shared" si="7"/>
        <v>202</v>
      </c>
      <c r="H12" s="79">
        <f t="shared" si="7"/>
        <v>204</v>
      </c>
      <c r="I12" s="79">
        <f t="shared" si="0"/>
        <v>203</v>
      </c>
      <c r="J12" s="79">
        <f t="shared" si="1"/>
        <v>203</v>
      </c>
      <c r="K12" s="54">
        <f t="shared" si="2"/>
        <v>0.86945812807881773</v>
      </c>
      <c r="L12" s="54">
        <f t="shared" si="3"/>
        <v>0.86699507389162567</v>
      </c>
      <c r="M12" s="54">
        <f t="shared" si="4"/>
        <v>0.8719211822660099</v>
      </c>
      <c r="N12" s="55">
        <f t="shared" si="5"/>
        <v>0.87128712871287128</v>
      </c>
      <c r="O12" s="55">
        <f t="shared" si="6"/>
        <v>0.86764705882352944</v>
      </c>
      <c r="Q12" s="52"/>
      <c r="R12" s="52"/>
    </row>
    <row r="13" spans="1:18">
      <c r="B13" s="29" t="s">
        <v>555</v>
      </c>
      <c r="C13">
        <f>COUNTIFS($C$22:$C$432, 1, R$22:R$432, 1)</f>
        <v>177</v>
      </c>
      <c r="D13">
        <f>COUNTIFS($C$22:$C$432, 1, R$22:R$432, 0)</f>
        <v>26</v>
      </c>
      <c r="E13">
        <f>COUNTIFS($C$22:$C$432, 0, R$22:R$432, 1)</f>
        <v>40</v>
      </c>
      <c r="F13">
        <f>COUNTIFS($C$22:$C$432, 0, R$22:R$432, 0)</f>
        <v>163</v>
      </c>
      <c r="G13" s="79">
        <f t="shared" si="7"/>
        <v>217</v>
      </c>
      <c r="H13" s="79">
        <f t="shared" si="7"/>
        <v>189</v>
      </c>
      <c r="I13" s="79">
        <f t="shared" si="0"/>
        <v>203</v>
      </c>
      <c r="J13" s="79">
        <f t="shared" si="1"/>
        <v>203</v>
      </c>
      <c r="K13" s="54">
        <f t="shared" si="2"/>
        <v>0.83743842364532017</v>
      </c>
      <c r="L13" s="54">
        <f t="shared" si="3"/>
        <v>0.8719211822660099</v>
      </c>
      <c r="M13" s="54">
        <f t="shared" si="4"/>
        <v>0.80295566502463056</v>
      </c>
      <c r="N13" s="55">
        <f t="shared" si="5"/>
        <v>0.81566820276497698</v>
      </c>
      <c r="O13" s="55">
        <f t="shared" si="6"/>
        <v>0.86243386243386244</v>
      </c>
      <c r="Q13" s="52"/>
      <c r="R13" s="52"/>
    </row>
    <row r="14" spans="1:18">
      <c r="B14" s="29" t="s">
        <v>543</v>
      </c>
      <c r="C14">
        <f>COUNTIFS($C$22:$C$432, 1, T$22:T$432, 1)</f>
        <v>170</v>
      </c>
      <c r="D14">
        <f>COUNTIFS($C$22:$C$432, 1, T$22:T$432, 0)</f>
        <v>33</v>
      </c>
      <c r="E14">
        <f>COUNTIFS($C$22:$C$432, 0, T$22:T$432, 1)</f>
        <v>23</v>
      </c>
      <c r="F14">
        <f>COUNTIFS($C$22:$C$432, 0, T$22:T$432, 0)</f>
        <v>180</v>
      </c>
      <c r="G14" s="79">
        <f t="shared" si="7"/>
        <v>193</v>
      </c>
      <c r="H14" s="79">
        <f t="shared" si="7"/>
        <v>213</v>
      </c>
      <c r="I14" s="79">
        <f t="shared" si="0"/>
        <v>203</v>
      </c>
      <c r="J14" s="79">
        <f t="shared" si="1"/>
        <v>203</v>
      </c>
      <c r="K14" s="54">
        <f t="shared" si="2"/>
        <v>0.86206896551724133</v>
      </c>
      <c r="L14" s="54">
        <f t="shared" si="3"/>
        <v>0.83743842364532017</v>
      </c>
      <c r="M14" s="54">
        <f t="shared" si="4"/>
        <v>0.88669950738916259</v>
      </c>
      <c r="N14" s="55">
        <f t="shared" si="5"/>
        <v>0.88082901554404147</v>
      </c>
      <c r="O14" s="55">
        <f t="shared" si="6"/>
        <v>0.84507042253521125</v>
      </c>
      <c r="Q14" s="52"/>
      <c r="R14" s="52"/>
    </row>
    <row r="15" spans="1:18">
      <c r="B15" s="29" t="s">
        <v>557</v>
      </c>
      <c r="C15">
        <f>COUNTIFS($C$22:$C$432, 1, V$22:V$432, 1)</f>
        <v>179</v>
      </c>
      <c r="D15">
        <f>COUNTIFS($C$22:$C$432, 1, V$22:V$432, 0)</f>
        <v>24</v>
      </c>
      <c r="E15">
        <f>COUNTIFS($C$22:$C$432, 0, V$22:V$432, 1)</f>
        <v>36</v>
      </c>
      <c r="F15">
        <f>COUNTIFS($C$22:$C$432, 0, V$22:V$432, 0)</f>
        <v>167</v>
      </c>
      <c r="G15" s="79">
        <f t="shared" si="7"/>
        <v>215</v>
      </c>
      <c r="H15" s="79">
        <f t="shared" si="7"/>
        <v>191</v>
      </c>
      <c r="I15" s="79">
        <f t="shared" si="0"/>
        <v>203</v>
      </c>
      <c r="J15" s="79">
        <f t="shared" si="1"/>
        <v>203</v>
      </c>
      <c r="K15" s="54">
        <f t="shared" si="2"/>
        <v>0.85221674876847286</v>
      </c>
      <c r="L15" s="54">
        <f t="shared" si="3"/>
        <v>0.88177339901477836</v>
      </c>
      <c r="M15" s="54">
        <f t="shared" si="4"/>
        <v>0.82266009852216748</v>
      </c>
      <c r="N15" s="55">
        <f t="shared" si="5"/>
        <v>0.83255813953488367</v>
      </c>
      <c r="O15" s="55">
        <f t="shared" si="6"/>
        <v>0.87434554973821987</v>
      </c>
      <c r="Q15" t="s">
        <v>559</v>
      </c>
      <c r="R15" t="s">
        <v>560</v>
      </c>
    </row>
    <row r="16" spans="1:18">
      <c r="B16" s="29"/>
      <c r="G16" s="79"/>
      <c r="H16" s="79"/>
      <c r="I16" s="79"/>
      <c r="J16" s="79"/>
      <c r="K16" s="78"/>
      <c r="L16" s="78"/>
      <c r="M16" s="78"/>
      <c r="N16" s="55"/>
      <c r="O16" s="55"/>
      <c r="P16" t="s">
        <v>563</v>
      </c>
      <c r="Q16" s="52"/>
      <c r="R16" s="52"/>
    </row>
    <row r="17" spans="1:22">
      <c r="C17" s="50" t="s">
        <v>498</v>
      </c>
      <c r="D17" s="50"/>
      <c r="E17" s="50"/>
      <c r="F17" s="50"/>
      <c r="G17" s="51"/>
      <c r="H17" s="51"/>
      <c r="I17" s="51"/>
      <c r="J17" s="51"/>
      <c r="K17" s="51"/>
      <c r="L17" s="51"/>
      <c r="M17" s="51"/>
      <c r="N17" s="51"/>
      <c r="O17" s="51"/>
      <c r="P17" s="50" t="s">
        <v>564</v>
      </c>
      <c r="Q17" s="50"/>
      <c r="R17" s="50"/>
      <c r="S17" s="50"/>
      <c r="U17" s="50"/>
    </row>
    <row r="18" spans="1:22">
      <c r="C18" s="50" t="s">
        <v>499</v>
      </c>
      <c r="D18" s="50"/>
      <c r="E18" s="50"/>
      <c r="F18" s="50"/>
      <c r="G18" s="51"/>
      <c r="H18" s="51"/>
      <c r="I18" s="51"/>
      <c r="J18" s="51"/>
      <c r="K18" s="51"/>
      <c r="L18" s="51"/>
      <c r="M18" s="51"/>
      <c r="N18" s="51"/>
      <c r="O18" s="51"/>
      <c r="P18" s="50"/>
      <c r="Q18" s="50"/>
      <c r="R18" s="50"/>
      <c r="S18" s="50"/>
      <c r="U18" s="50"/>
    </row>
    <row r="19" spans="1:22">
      <c r="C19" s="50" t="s">
        <v>500</v>
      </c>
      <c r="D19" s="50"/>
      <c r="E19" s="50"/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0"/>
      <c r="Q19" s="50"/>
      <c r="R19" s="50"/>
      <c r="S19" s="50"/>
      <c r="U19" s="50"/>
    </row>
    <row r="21" spans="1:22" ht="51">
      <c r="B21" s="23" t="s">
        <v>483</v>
      </c>
      <c r="C21" s="24" t="s">
        <v>484</v>
      </c>
      <c r="D21" s="31" t="s">
        <v>486</v>
      </c>
      <c r="E21" s="31" t="s">
        <v>487</v>
      </c>
      <c r="F21" s="31" t="s">
        <v>488</v>
      </c>
      <c r="G21" s="40" t="s">
        <v>496</v>
      </c>
      <c r="H21" s="39" t="s">
        <v>485</v>
      </c>
      <c r="I21" s="39" t="s">
        <v>542</v>
      </c>
      <c r="K21" s="39" t="s">
        <v>540</v>
      </c>
      <c r="M21" s="39" t="s">
        <v>562</v>
      </c>
      <c r="O21" t="s">
        <v>541</v>
      </c>
      <c r="Q21" t="s">
        <v>555</v>
      </c>
      <c r="S21" t="s">
        <v>543</v>
      </c>
      <c r="U21" t="s">
        <v>558</v>
      </c>
    </row>
    <row r="22" spans="1:22">
      <c r="A22" s="1" t="s">
        <v>9</v>
      </c>
      <c r="B22" s="1"/>
      <c r="D22" s="32"/>
      <c r="E22" s="32"/>
      <c r="F22" s="32"/>
    </row>
    <row r="23" spans="1:22">
      <c r="A23" s="1">
        <v>0</v>
      </c>
      <c r="B23" s="1" t="s">
        <v>22</v>
      </c>
      <c r="C23" s="1">
        <v>0</v>
      </c>
      <c r="D23" s="33">
        <v>0</v>
      </c>
      <c r="E23" s="33">
        <v>0</v>
      </c>
      <c r="F23" s="33">
        <v>0</v>
      </c>
      <c r="G23">
        <v>0.41117668200000002</v>
      </c>
      <c r="H23">
        <f>IF(G23&gt;$A$2,1,0)</f>
        <v>0</v>
      </c>
      <c r="I23">
        <v>0.46192759275436401</v>
      </c>
      <c r="J23">
        <f>IF(I23&gt;$A$2,1,0)</f>
        <v>0</v>
      </c>
      <c r="K23">
        <v>0.71444350481033303</v>
      </c>
      <c r="L23">
        <f>IF(K23&gt;$A$2,1,0)</f>
        <v>1</v>
      </c>
      <c r="M23">
        <v>0.24951195700000001</v>
      </c>
      <c r="N23">
        <f>IF(M23&gt;$A$2,1,0)</f>
        <v>0</v>
      </c>
      <c r="O23">
        <v>0.30434042215347301</v>
      </c>
      <c r="P23">
        <f>IF(O23&gt;$A$2,1,0)</f>
        <v>0</v>
      </c>
      <c r="Q23">
        <v>0.42021510000000001</v>
      </c>
      <c r="R23">
        <f>IF(Q23&gt;$A$2,1,0)</f>
        <v>0</v>
      </c>
      <c r="S23">
        <v>0.74531471729278498</v>
      </c>
      <c r="T23">
        <f>IF(S23&gt;$A$2,1,0)</f>
        <v>1</v>
      </c>
      <c r="U23" s="1">
        <v>0.77432420000000002</v>
      </c>
      <c r="V23" s="1">
        <v>1</v>
      </c>
    </row>
    <row r="24" spans="1:22">
      <c r="A24" s="1">
        <v>0</v>
      </c>
      <c r="B24" s="1" t="s">
        <v>24</v>
      </c>
      <c r="C24" s="1">
        <v>0</v>
      </c>
      <c r="D24" s="33">
        <v>0</v>
      </c>
      <c r="E24" s="34">
        <v>0</v>
      </c>
      <c r="F24" s="33">
        <v>0</v>
      </c>
      <c r="G24">
        <v>4.8790268999999997E-2</v>
      </c>
      <c r="H24">
        <f t="shared" ref="H24:H81" si="8">IF(G24&gt;$A$2,1,0)</f>
        <v>0</v>
      </c>
      <c r="I24" s="30">
        <v>4.7740619629619997E-3</v>
      </c>
      <c r="J24">
        <f t="shared" ref="J24:J81" si="9">IF(I24&gt;$A$2,1,0)</f>
        <v>0</v>
      </c>
      <c r="K24">
        <v>4.81759943068E-3</v>
      </c>
      <c r="L24">
        <f t="shared" ref="L24:R81" si="10">IF(K24&gt;$A$2,1,0)</f>
        <v>0</v>
      </c>
      <c r="M24">
        <v>2.8154539999999998E-3</v>
      </c>
      <c r="N24">
        <f t="shared" si="10"/>
        <v>0</v>
      </c>
      <c r="O24">
        <v>1.0158177465201E-2</v>
      </c>
      <c r="P24">
        <f t="shared" si="10"/>
        <v>0</v>
      </c>
      <c r="Q24">
        <v>0.117153414</v>
      </c>
      <c r="R24">
        <f t="shared" si="10"/>
        <v>0</v>
      </c>
      <c r="S24">
        <v>5.5659824283799998E-4</v>
      </c>
      <c r="T24">
        <f t="shared" ref="T24:T80" si="11">IF(S24&gt;$A$2,1,0)</f>
        <v>0</v>
      </c>
      <c r="U24" s="1">
        <v>0.33407360000000003</v>
      </c>
      <c r="V24" s="1">
        <v>0</v>
      </c>
    </row>
    <row r="25" spans="1:22">
      <c r="A25" s="1">
        <v>0</v>
      </c>
      <c r="B25" s="1" t="s">
        <v>25</v>
      </c>
      <c r="C25" s="1">
        <v>0</v>
      </c>
      <c r="D25" s="33">
        <v>0</v>
      </c>
      <c r="E25" s="34">
        <v>0</v>
      </c>
      <c r="F25" s="33">
        <v>0</v>
      </c>
      <c r="G25">
        <v>0.76597183899999999</v>
      </c>
      <c r="H25">
        <f t="shared" si="8"/>
        <v>1</v>
      </c>
      <c r="I25">
        <v>0.29603376984596202</v>
      </c>
      <c r="J25">
        <f t="shared" si="9"/>
        <v>0</v>
      </c>
      <c r="K25">
        <v>0.361362844705582</v>
      </c>
      <c r="L25">
        <f t="shared" si="10"/>
        <v>0</v>
      </c>
      <c r="M25">
        <v>6.6480740999999996E-2</v>
      </c>
      <c r="N25">
        <f t="shared" si="10"/>
        <v>0</v>
      </c>
      <c r="O25">
        <v>0.12092386931181</v>
      </c>
      <c r="P25">
        <f t="shared" si="10"/>
        <v>0</v>
      </c>
      <c r="Q25">
        <v>0.62134820199999996</v>
      </c>
      <c r="R25">
        <f t="shared" si="10"/>
        <v>1</v>
      </c>
      <c r="S25">
        <v>0.64408266544341997</v>
      </c>
      <c r="T25">
        <f t="shared" si="11"/>
        <v>1</v>
      </c>
      <c r="U25" s="1">
        <v>0.62168840000000003</v>
      </c>
      <c r="V25" s="1">
        <v>0</v>
      </c>
    </row>
    <row r="26" spans="1:22">
      <c r="A26" s="1">
        <v>0</v>
      </c>
      <c r="B26" s="1" t="s">
        <v>26</v>
      </c>
      <c r="C26" s="1">
        <v>0</v>
      </c>
      <c r="D26" s="33">
        <v>0</v>
      </c>
      <c r="E26" s="34">
        <v>0</v>
      </c>
      <c r="F26" s="33">
        <v>0</v>
      </c>
      <c r="G26" s="30">
        <v>3.4402813999999997E-2</v>
      </c>
      <c r="H26">
        <f t="shared" si="8"/>
        <v>0</v>
      </c>
      <c r="I26" s="30">
        <v>7.1005517384037403E-5</v>
      </c>
      <c r="J26">
        <f t="shared" si="9"/>
        <v>0</v>
      </c>
      <c r="K26" s="30">
        <v>7.7114324085414396E-5</v>
      </c>
      <c r="L26">
        <f t="shared" si="10"/>
        <v>0</v>
      </c>
      <c r="M26">
        <v>1.4026640000000001E-3</v>
      </c>
      <c r="N26">
        <f t="shared" si="10"/>
        <v>0</v>
      </c>
      <c r="O26">
        <v>1.4695990830660001E-3</v>
      </c>
      <c r="P26">
        <f t="shared" si="10"/>
        <v>0</v>
      </c>
      <c r="Q26">
        <v>3.2688674000000001E-2</v>
      </c>
      <c r="R26">
        <f t="shared" si="10"/>
        <v>0</v>
      </c>
      <c r="S26">
        <v>1.618258538656E-3</v>
      </c>
      <c r="T26">
        <f t="shared" si="11"/>
        <v>0</v>
      </c>
      <c r="U26" s="1">
        <v>6.3632750000000002E-2</v>
      </c>
      <c r="V26" s="1">
        <v>0</v>
      </c>
    </row>
    <row r="27" spans="1:22">
      <c r="A27" s="1">
        <v>0</v>
      </c>
      <c r="B27" s="1" t="s">
        <v>27</v>
      </c>
      <c r="C27" s="1">
        <v>0</v>
      </c>
      <c r="D27" s="33">
        <v>0</v>
      </c>
      <c r="E27" s="34">
        <v>0</v>
      </c>
      <c r="F27" s="33">
        <v>0</v>
      </c>
      <c r="G27">
        <v>0.25044506799999999</v>
      </c>
      <c r="H27">
        <f t="shared" si="8"/>
        <v>0</v>
      </c>
      <c r="I27">
        <v>0.62026315927505504</v>
      </c>
      <c r="J27">
        <f t="shared" si="9"/>
        <v>1</v>
      </c>
      <c r="K27">
        <v>0.31461942195892301</v>
      </c>
      <c r="L27">
        <f t="shared" si="10"/>
        <v>0</v>
      </c>
      <c r="M27">
        <v>1.8747382E-2</v>
      </c>
      <c r="N27">
        <f t="shared" si="10"/>
        <v>0</v>
      </c>
      <c r="O27">
        <v>0.89189964532852195</v>
      </c>
      <c r="P27">
        <f t="shared" si="10"/>
        <v>1</v>
      </c>
      <c r="Q27">
        <v>0.30019444200000001</v>
      </c>
      <c r="R27">
        <f t="shared" si="10"/>
        <v>0</v>
      </c>
      <c r="S27">
        <v>0.86902481317520097</v>
      </c>
      <c r="T27">
        <f t="shared" si="11"/>
        <v>1</v>
      </c>
      <c r="U27" s="1">
        <v>0.52185570000000003</v>
      </c>
      <c r="V27" s="1">
        <v>0</v>
      </c>
    </row>
    <row r="28" spans="1:22">
      <c r="A28" s="1">
        <v>0</v>
      </c>
      <c r="B28" s="1" t="s">
        <v>28</v>
      </c>
      <c r="C28" s="1">
        <v>0</v>
      </c>
      <c r="D28" s="33">
        <v>0</v>
      </c>
      <c r="E28" s="34">
        <v>0</v>
      </c>
      <c r="F28" s="33">
        <v>0</v>
      </c>
      <c r="G28">
        <v>7.8706443000000001E-2</v>
      </c>
      <c r="H28">
        <f t="shared" si="8"/>
        <v>0</v>
      </c>
      <c r="I28">
        <v>0.16287280619144401</v>
      </c>
      <c r="J28">
        <f t="shared" si="9"/>
        <v>0</v>
      </c>
      <c r="K28">
        <v>3.4766364842652997E-2</v>
      </c>
      <c r="L28">
        <f t="shared" si="10"/>
        <v>0</v>
      </c>
      <c r="M28">
        <v>1.3453349E-2</v>
      </c>
      <c r="N28">
        <f t="shared" si="10"/>
        <v>0</v>
      </c>
      <c r="O28">
        <v>3.4936379641295E-2</v>
      </c>
      <c r="P28">
        <f t="shared" si="10"/>
        <v>0</v>
      </c>
      <c r="Q28">
        <v>0.55831795900000003</v>
      </c>
      <c r="R28">
        <f t="shared" si="10"/>
        <v>1</v>
      </c>
      <c r="S28">
        <v>2.6475332677363999E-2</v>
      </c>
      <c r="T28">
        <f t="shared" si="11"/>
        <v>0</v>
      </c>
      <c r="U28" s="1">
        <v>0.41340598000000001</v>
      </c>
      <c r="V28" s="1">
        <v>0</v>
      </c>
    </row>
    <row r="29" spans="1:22">
      <c r="A29" s="1">
        <v>0</v>
      </c>
      <c r="B29" s="1" t="s">
        <v>29</v>
      </c>
      <c r="C29" s="1">
        <v>0</v>
      </c>
      <c r="D29" s="33">
        <v>0</v>
      </c>
      <c r="E29" s="34">
        <v>0</v>
      </c>
      <c r="F29" s="33">
        <v>0</v>
      </c>
      <c r="G29" s="30">
        <v>4.0703449000000003E-2</v>
      </c>
      <c r="H29">
        <f t="shared" si="8"/>
        <v>0</v>
      </c>
      <c r="I29" s="30">
        <v>1.4810960274189999E-3</v>
      </c>
      <c r="J29">
        <f t="shared" si="9"/>
        <v>0</v>
      </c>
      <c r="K29">
        <v>9.6449797274500003E-4</v>
      </c>
      <c r="L29">
        <f t="shared" si="10"/>
        <v>0</v>
      </c>
      <c r="M29" s="30">
        <v>4.9984100000000004E-7</v>
      </c>
      <c r="N29">
        <f t="shared" si="10"/>
        <v>0</v>
      </c>
      <c r="O29" s="30">
        <v>4.3533323332669996E-3</v>
      </c>
      <c r="P29">
        <f t="shared" si="10"/>
        <v>0</v>
      </c>
      <c r="Q29">
        <v>4.2386941999999997E-2</v>
      </c>
      <c r="R29">
        <f t="shared" si="10"/>
        <v>0</v>
      </c>
      <c r="S29" s="30">
        <v>6.7333305196370902E-5</v>
      </c>
      <c r="T29">
        <f t="shared" si="11"/>
        <v>0</v>
      </c>
      <c r="U29" s="1">
        <v>0.11710234</v>
      </c>
      <c r="V29" s="1">
        <v>0</v>
      </c>
    </row>
    <row r="30" spans="1:22">
      <c r="A30" s="1">
        <v>0</v>
      </c>
      <c r="B30" s="1" t="s">
        <v>30</v>
      </c>
      <c r="C30" s="1">
        <v>0</v>
      </c>
      <c r="D30" s="33">
        <v>0</v>
      </c>
      <c r="E30" s="34">
        <v>0</v>
      </c>
      <c r="F30" s="33">
        <v>0</v>
      </c>
      <c r="G30">
        <v>0.109919056</v>
      </c>
      <c r="H30">
        <f t="shared" si="8"/>
        <v>0</v>
      </c>
      <c r="I30">
        <v>0.191889673471451</v>
      </c>
      <c r="J30">
        <f t="shared" si="9"/>
        <v>0</v>
      </c>
      <c r="K30">
        <v>0.43133100867271401</v>
      </c>
      <c r="L30">
        <f t="shared" si="10"/>
        <v>0</v>
      </c>
      <c r="M30">
        <v>8.3479330000000004E-2</v>
      </c>
      <c r="N30">
        <f t="shared" si="10"/>
        <v>0</v>
      </c>
      <c r="O30">
        <v>0.11852806061506301</v>
      </c>
      <c r="P30">
        <f t="shared" si="10"/>
        <v>0</v>
      </c>
      <c r="Q30">
        <v>9.7013347E-2</v>
      </c>
      <c r="R30">
        <f t="shared" si="10"/>
        <v>0</v>
      </c>
      <c r="S30">
        <v>3.6601398140191997E-2</v>
      </c>
      <c r="T30">
        <f t="shared" si="11"/>
        <v>0</v>
      </c>
      <c r="U30" s="1">
        <v>0.46790549999999997</v>
      </c>
      <c r="V30" s="1">
        <v>0</v>
      </c>
    </row>
    <row r="31" spans="1:22">
      <c r="A31" s="1">
        <v>0</v>
      </c>
      <c r="B31" s="1" t="s">
        <v>31</v>
      </c>
      <c r="C31" s="1">
        <v>0</v>
      </c>
      <c r="D31" s="33">
        <v>0</v>
      </c>
      <c r="E31" s="34">
        <v>0</v>
      </c>
      <c r="F31" s="33">
        <v>0</v>
      </c>
      <c r="G31">
        <v>0.61243802300000005</v>
      </c>
      <c r="H31">
        <f t="shared" si="8"/>
        <v>1</v>
      </c>
      <c r="I31">
        <v>0.98425889015197798</v>
      </c>
      <c r="J31">
        <f t="shared" si="9"/>
        <v>1</v>
      </c>
      <c r="K31">
        <v>0.31357759237289401</v>
      </c>
      <c r="L31">
        <f t="shared" si="10"/>
        <v>0</v>
      </c>
      <c r="M31" s="30">
        <v>5.5926129999999998E-3</v>
      </c>
      <c r="N31">
        <f t="shared" si="10"/>
        <v>0</v>
      </c>
      <c r="O31">
        <v>0.28898277878761303</v>
      </c>
      <c r="P31">
        <f t="shared" si="10"/>
        <v>0</v>
      </c>
      <c r="Q31">
        <v>0.42708665099999998</v>
      </c>
      <c r="R31">
        <f t="shared" si="10"/>
        <v>0</v>
      </c>
      <c r="S31">
        <v>8.3291925489902996E-2</v>
      </c>
      <c r="T31">
        <f t="shared" si="11"/>
        <v>0</v>
      </c>
      <c r="U31" s="1">
        <v>0.73446584000000004</v>
      </c>
      <c r="V31" s="1">
        <v>1</v>
      </c>
    </row>
    <row r="32" spans="1:22">
      <c r="A32" s="1">
        <v>0</v>
      </c>
      <c r="B32" s="1" t="s">
        <v>32</v>
      </c>
      <c r="C32" s="1">
        <v>0</v>
      </c>
      <c r="D32" s="33">
        <v>0</v>
      </c>
      <c r="E32" s="34">
        <v>0</v>
      </c>
      <c r="F32" s="33">
        <v>0</v>
      </c>
      <c r="G32">
        <v>0.43385157000000002</v>
      </c>
      <c r="H32">
        <f t="shared" si="8"/>
        <v>0</v>
      </c>
      <c r="I32">
        <v>9.7945094108582001E-2</v>
      </c>
      <c r="J32">
        <f t="shared" si="9"/>
        <v>0</v>
      </c>
      <c r="K32">
        <v>0.17167054116725899</v>
      </c>
      <c r="L32">
        <f t="shared" si="10"/>
        <v>0</v>
      </c>
      <c r="M32">
        <v>0.137590766</v>
      </c>
      <c r="N32">
        <f t="shared" si="10"/>
        <v>0</v>
      </c>
      <c r="O32">
        <v>0.32864859700202897</v>
      </c>
      <c r="P32">
        <f t="shared" si="10"/>
        <v>0</v>
      </c>
      <c r="Q32">
        <v>0.263690323</v>
      </c>
      <c r="R32">
        <f t="shared" si="10"/>
        <v>0</v>
      </c>
      <c r="S32">
        <v>0.267490833997726</v>
      </c>
      <c r="T32">
        <f t="shared" si="11"/>
        <v>0</v>
      </c>
      <c r="U32" s="1">
        <v>0.60115397000000004</v>
      </c>
      <c r="V32" s="1">
        <v>0</v>
      </c>
    </row>
    <row r="33" spans="1:22">
      <c r="A33" s="1">
        <v>0</v>
      </c>
      <c r="B33" s="1" t="s">
        <v>548</v>
      </c>
      <c r="C33" s="1">
        <v>0</v>
      </c>
      <c r="D33" s="33">
        <v>0</v>
      </c>
      <c r="E33" s="34">
        <v>0</v>
      </c>
      <c r="F33" s="33">
        <v>1</v>
      </c>
      <c r="G33" s="30">
        <v>2.7501661E-2</v>
      </c>
      <c r="H33">
        <f t="shared" si="8"/>
        <v>0</v>
      </c>
      <c r="I33" s="30">
        <v>2.4626826416351799E-5</v>
      </c>
      <c r="J33">
        <f t="shared" si="9"/>
        <v>0</v>
      </c>
      <c r="K33" s="30">
        <v>1.51323911268E-4</v>
      </c>
      <c r="L33">
        <f t="shared" si="10"/>
        <v>0</v>
      </c>
      <c r="M33" s="30">
        <v>4.7075499999999999E-10</v>
      </c>
      <c r="N33">
        <f t="shared" si="10"/>
        <v>0</v>
      </c>
      <c r="O33">
        <v>3.3238902688000001E-4</v>
      </c>
      <c r="P33">
        <f t="shared" si="10"/>
        <v>0</v>
      </c>
      <c r="Q33" s="30">
        <v>3.4774825000000002E-2</v>
      </c>
      <c r="R33">
        <f t="shared" si="10"/>
        <v>0</v>
      </c>
      <c r="S33" s="30">
        <v>4.6317680244101198E-5</v>
      </c>
      <c r="T33">
        <f t="shared" si="11"/>
        <v>0</v>
      </c>
      <c r="U33" s="1">
        <v>5.9641949999999999E-2</v>
      </c>
      <c r="V33" s="1">
        <v>0</v>
      </c>
    </row>
    <row r="34" spans="1:22">
      <c r="A34" s="1">
        <v>0</v>
      </c>
      <c r="B34" s="1" t="s">
        <v>34</v>
      </c>
      <c r="C34" s="1">
        <v>0</v>
      </c>
      <c r="D34" s="33">
        <v>0</v>
      </c>
      <c r="E34" s="34">
        <v>0</v>
      </c>
      <c r="F34" s="33">
        <v>0</v>
      </c>
      <c r="G34">
        <v>6.6260508999999995E-2</v>
      </c>
      <c r="H34">
        <f t="shared" si="8"/>
        <v>0</v>
      </c>
      <c r="I34">
        <v>1.9700011238456001E-2</v>
      </c>
      <c r="J34">
        <f t="shared" si="9"/>
        <v>0</v>
      </c>
      <c r="K34">
        <v>3.6060590296984003E-2</v>
      </c>
      <c r="L34">
        <f t="shared" si="10"/>
        <v>0</v>
      </c>
      <c r="M34">
        <v>0.25495687099999997</v>
      </c>
      <c r="N34">
        <f t="shared" si="10"/>
        <v>0</v>
      </c>
      <c r="O34">
        <v>1.1630158871412E-2</v>
      </c>
      <c r="P34">
        <f t="shared" si="10"/>
        <v>0</v>
      </c>
      <c r="Q34">
        <v>0.17454640599999999</v>
      </c>
      <c r="R34">
        <f t="shared" si="10"/>
        <v>0</v>
      </c>
      <c r="S34">
        <v>0.29330399632453902</v>
      </c>
      <c r="T34">
        <f t="shared" si="11"/>
        <v>0</v>
      </c>
      <c r="U34" s="1">
        <v>0.27931866</v>
      </c>
      <c r="V34" s="1">
        <v>0</v>
      </c>
    </row>
    <row r="35" spans="1:22">
      <c r="A35" s="1">
        <v>0</v>
      </c>
      <c r="B35" s="1" t="s">
        <v>35</v>
      </c>
      <c r="C35" s="1">
        <v>0</v>
      </c>
      <c r="D35" s="33">
        <v>0</v>
      </c>
      <c r="E35" s="34">
        <v>0</v>
      </c>
      <c r="F35" s="33">
        <v>0</v>
      </c>
      <c r="G35">
        <v>0.40021002300000003</v>
      </c>
      <c r="H35">
        <f t="shared" si="8"/>
        <v>0</v>
      </c>
      <c r="I35">
        <v>9.3340829014777998E-2</v>
      </c>
      <c r="J35">
        <f t="shared" si="9"/>
        <v>0</v>
      </c>
      <c r="K35">
        <v>0.44614326953887901</v>
      </c>
      <c r="L35">
        <f t="shared" si="10"/>
        <v>0</v>
      </c>
      <c r="M35" s="30">
        <v>0.57867670100000002</v>
      </c>
      <c r="N35">
        <f t="shared" si="10"/>
        <v>1</v>
      </c>
      <c r="O35">
        <v>0.127210363745689</v>
      </c>
      <c r="P35">
        <f t="shared" si="10"/>
        <v>0</v>
      </c>
      <c r="Q35">
        <v>0.53220063399999995</v>
      </c>
      <c r="R35">
        <f t="shared" si="10"/>
        <v>1</v>
      </c>
      <c r="S35">
        <v>0.30585965514183</v>
      </c>
      <c r="T35">
        <f t="shared" si="11"/>
        <v>0</v>
      </c>
      <c r="U35" s="1">
        <v>0.74473730000000005</v>
      </c>
      <c r="V35" s="1">
        <v>1</v>
      </c>
    </row>
    <row r="36" spans="1:22">
      <c r="A36" s="1">
        <v>0</v>
      </c>
      <c r="B36" s="1" t="s">
        <v>36</v>
      </c>
      <c r="C36" s="1">
        <v>0</v>
      </c>
      <c r="D36" s="33">
        <v>0</v>
      </c>
      <c r="E36" s="34">
        <v>0</v>
      </c>
      <c r="F36" s="33">
        <v>0</v>
      </c>
      <c r="G36" s="30">
        <v>3.7474084999999997E-2</v>
      </c>
      <c r="H36">
        <f t="shared" si="8"/>
        <v>0</v>
      </c>
      <c r="I36" s="30">
        <v>7.4563060479704304E-5</v>
      </c>
      <c r="J36">
        <f t="shared" si="9"/>
        <v>0</v>
      </c>
      <c r="K36">
        <v>2.6406507822699998E-4</v>
      </c>
      <c r="L36">
        <f t="shared" si="10"/>
        <v>0</v>
      </c>
      <c r="M36" s="30">
        <v>1.5940000000000001E-7</v>
      </c>
      <c r="N36">
        <f t="shared" si="10"/>
        <v>0</v>
      </c>
      <c r="O36">
        <v>1.78583330126E-4</v>
      </c>
      <c r="P36">
        <f t="shared" si="10"/>
        <v>0</v>
      </c>
      <c r="Q36" s="30">
        <v>0.124173246</v>
      </c>
      <c r="R36">
        <f t="shared" si="10"/>
        <v>0</v>
      </c>
      <c r="S36">
        <v>2.5898803141899998E-4</v>
      </c>
      <c r="T36">
        <f t="shared" si="11"/>
        <v>0</v>
      </c>
      <c r="U36" s="1">
        <v>0.13928309</v>
      </c>
      <c r="V36" s="1">
        <v>0</v>
      </c>
    </row>
    <row r="37" spans="1:22">
      <c r="A37" s="1">
        <v>0</v>
      </c>
      <c r="B37" s="1" t="s">
        <v>37</v>
      </c>
      <c r="C37" s="1">
        <v>0</v>
      </c>
      <c r="D37" s="33">
        <v>0</v>
      </c>
      <c r="E37" s="34">
        <v>0</v>
      </c>
      <c r="F37" s="33">
        <v>0</v>
      </c>
      <c r="G37">
        <v>0.11991059799999999</v>
      </c>
      <c r="H37">
        <f t="shared" si="8"/>
        <v>0</v>
      </c>
      <c r="I37" s="30">
        <v>3.7088242825119998E-3</v>
      </c>
      <c r="J37">
        <f t="shared" si="9"/>
        <v>0</v>
      </c>
      <c r="K37">
        <v>1.3468807563186001E-2</v>
      </c>
      <c r="L37">
        <f t="shared" si="10"/>
        <v>0</v>
      </c>
      <c r="M37">
        <v>2.4601316000000002E-2</v>
      </c>
      <c r="N37">
        <f t="shared" si="10"/>
        <v>0</v>
      </c>
      <c r="O37">
        <v>1.5947826206684002E-2</v>
      </c>
      <c r="P37">
        <f t="shared" si="10"/>
        <v>0</v>
      </c>
      <c r="Q37">
        <v>0.159208298</v>
      </c>
      <c r="R37">
        <f t="shared" si="10"/>
        <v>0</v>
      </c>
      <c r="S37">
        <v>1.408261526376E-2</v>
      </c>
      <c r="T37">
        <f t="shared" si="11"/>
        <v>0</v>
      </c>
      <c r="U37" s="1">
        <v>0.37275887000000002</v>
      </c>
      <c r="V37" s="1">
        <v>0</v>
      </c>
    </row>
    <row r="38" spans="1:22">
      <c r="A38" s="1">
        <v>0</v>
      </c>
      <c r="B38" s="1" t="s">
        <v>38</v>
      </c>
      <c r="C38" s="1">
        <v>0</v>
      </c>
      <c r="D38" s="33">
        <v>0</v>
      </c>
      <c r="E38" s="34">
        <v>0</v>
      </c>
      <c r="F38" s="33">
        <v>0</v>
      </c>
      <c r="G38">
        <v>0.794053495</v>
      </c>
      <c r="H38">
        <f t="shared" si="8"/>
        <v>1</v>
      </c>
      <c r="I38">
        <v>0.97456181049346902</v>
      </c>
      <c r="J38">
        <f t="shared" si="9"/>
        <v>1</v>
      </c>
      <c r="K38">
        <v>0.60226774215698198</v>
      </c>
      <c r="L38">
        <f t="shared" si="10"/>
        <v>1</v>
      </c>
      <c r="M38" s="30">
        <v>8.9079390000000001E-3</v>
      </c>
      <c r="N38">
        <f t="shared" si="10"/>
        <v>0</v>
      </c>
      <c r="O38">
        <v>0.91557252407073997</v>
      </c>
      <c r="P38">
        <f t="shared" si="10"/>
        <v>1</v>
      </c>
      <c r="Q38">
        <v>0.70779317600000002</v>
      </c>
      <c r="R38">
        <f t="shared" si="10"/>
        <v>1</v>
      </c>
      <c r="S38">
        <v>9.9714517593383997E-2</v>
      </c>
      <c r="T38">
        <f t="shared" si="11"/>
        <v>0</v>
      </c>
      <c r="U38" s="1">
        <v>0.60547499999999999</v>
      </c>
      <c r="V38" s="1">
        <v>0</v>
      </c>
    </row>
    <row r="39" spans="1:22">
      <c r="A39" s="1">
        <v>0</v>
      </c>
      <c r="B39" s="1" t="s">
        <v>39</v>
      </c>
      <c r="C39" s="1">
        <v>0</v>
      </c>
      <c r="D39" s="33">
        <v>0</v>
      </c>
      <c r="E39" s="34">
        <v>0</v>
      </c>
      <c r="F39" s="33">
        <v>0</v>
      </c>
      <c r="G39">
        <v>0.16272161900000001</v>
      </c>
      <c r="H39">
        <f t="shared" si="8"/>
        <v>0</v>
      </c>
      <c r="I39">
        <v>0.16527996957302099</v>
      </c>
      <c r="J39">
        <f t="shared" si="9"/>
        <v>0</v>
      </c>
      <c r="K39">
        <v>1.4703972265124E-2</v>
      </c>
      <c r="L39">
        <f t="shared" si="10"/>
        <v>0</v>
      </c>
      <c r="M39">
        <v>1.8041227E-2</v>
      </c>
      <c r="N39">
        <f t="shared" si="10"/>
        <v>0</v>
      </c>
      <c r="O39">
        <v>0.43144965171813998</v>
      </c>
      <c r="P39">
        <f t="shared" si="10"/>
        <v>0</v>
      </c>
      <c r="Q39">
        <v>6.8493120000000005E-2</v>
      </c>
      <c r="R39">
        <f t="shared" si="10"/>
        <v>0</v>
      </c>
      <c r="S39">
        <v>0.247004330158234</v>
      </c>
      <c r="T39">
        <f t="shared" si="11"/>
        <v>0</v>
      </c>
      <c r="U39" s="1">
        <v>0.12225402</v>
      </c>
      <c r="V39" s="1">
        <v>0</v>
      </c>
    </row>
    <row r="40" spans="1:22">
      <c r="A40" s="1">
        <v>0</v>
      </c>
      <c r="B40" s="1" t="s">
        <v>41</v>
      </c>
      <c r="C40" s="1">
        <v>0</v>
      </c>
      <c r="D40" s="33">
        <v>0</v>
      </c>
      <c r="E40" s="33">
        <v>1</v>
      </c>
      <c r="F40" s="33">
        <v>1</v>
      </c>
      <c r="G40">
        <v>0.12160787000000001</v>
      </c>
      <c r="H40">
        <f t="shared" si="8"/>
        <v>0</v>
      </c>
      <c r="I40">
        <v>2.858048770577E-3</v>
      </c>
      <c r="J40">
        <f t="shared" si="9"/>
        <v>0</v>
      </c>
      <c r="K40">
        <v>2.7649827301501999E-2</v>
      </c>
      <c r="L40">
        <f t="shared" si="10"/>
        <v>0</v>
      </c>
      <c r="M40">
        <v>0.173298016</v>
      </c>
      <c r="N40">
        <f t="shared" si="10"/>
        <v>0</v>
      </c>
      <c r="O40">
        <v>4.4502569362520001E-3</v>
      </c>
      <c r="P40">
        <f t="shared" si="10"/>
        <v>0</v>
      </c>
      <c r="Q40">
        <v>0.27900618300000002</v>
      </c>
      <c r="R40">
        <f t="shared" si="10"/>
        <v>0</v>
      </c>
      <c r="S40">
        <v>8.9808860793709998E-3</v>
      </c>
      <c r="T40">
        <f t="shared" si="11"/>
        <v>0</v>
      </c>
      <c r="U40" s="1">
        <v>0.39967686000000002</v>
      </c>
      <c r="V40" s="1">
        <v>0</v>
      </c>
    </row>
    <row r="41" spans="1:22">
      <c r="A41" s="1">
        <v>0</v>
      </c>
      <c r="B41" s="1" t="s">
        <v>549</v>
      </c>
      <c r="C41" s="1">
        <v>0</v>
      </c>
      <c r="D41" s="33">
        <v>1</v>
      </c>
      <c r="E41" s="33">
        <v>1</v>
      </c>
      <c r="F41" s="33">
        <v>0</v>
      </c>
      <c r="G41">
        <v>0.22153252400000001</v>
      </c>
      <c r="H41">
        <f t="shared" si="8"/>
        <v>0</v>
      </c>
      <c r="I41">
        <v>0.87495303153991699</v>
      </c>
      <c r="J41">
        <f t="shared" si="9"/>
        <v>1</v>
      </c>
      <c r="K41">
        <v>0.421103626489639</v>
      </c>
      <c r="L41">
        <f t="shared" si="10"/>
        <v>0</v>
      </c>
      <c r="M41">
        <v>4.3345010000000002E-3</v>
      </c>
      <c r="N41">
        <f t="shared" si="10"/>
        <v>0</v>
      </c>
      <c r="O41">
        <v>0.37032914161682101</v>
      </c>
      <c r="P41">
        <f t="shared" si="10"/>
        <v>0</v>
      </c>
      <c r="Q41">
        <v>0.26773294800000003</v>
      </c>
      <c r="R41">
        <f t="shared" si="10"/>
        <v>0</v>
      </c>
      <c r="S41">
        <v>1.5516929328442E-2</v>
      </c>
      <c r="T41">
        <f t="shared" si="11"/>
        <v>0</v>
      </c>
      <c r="U41" s="1">
        <v>0.66077684999999997</v>
      </c>
      <c r="V41" s="1">
        <v>1</v>
      </c>
    </row>
    <row r="42" spans="1:22">
      <c r="A42" s="1">
        <v>0</v>
      </c>
      <c r="B42" s="1" t="s">
        <v>43</v>
      </c>
      <c r="C42" s="1">
        <v>0</v>
      </c>
      <c r="D42" s="33">
        <v>0</v>
      </c>
      <c r="E42" s="34">
        <v>0</v>
      </c>
      <c r="F42" s="33">
        <v>0</v>
      </c>
      <c r="G42">
        <v>0.30502989899999999</v>
      </c>
      <c r="H42">
        <f t="shared" si="8"/>
        <v>0</v>
      </c>
      <c r="I42">
        <v>0.69138497114181496</v>
      </c>
      <c r="J42">
        <f t="shared" si="9"/>
        <v>1</v>
      </c>
      <c r="K42">
        <v>0.35597348213195801</v>
      </c>
      <c r="L42">
        <f t="shared" si="10"/>
        <v>0</v>
      </c>
      <c r="M42" s="30">
        <v>3.3863187000000003E-2</v>
      </c>
      <c r="N42">
        <f t="shared" si="10"/>
        <v>0</v>
      </c>
      <c r="O42">
        <v>0.46390926837921098</v>
      </c>
      <c r="P42">
        <f t="shared" si="10"/>
        <v>0</v>
      </c>
      <c r="Q42">
        <v>8.4882221999999993E-2</v>
      </c>
      <c r="R42">
        <f t="shared" si="10"/>
        <v>0</v>
      </c>
      <c r="S42">
        <v>0.48726126551628102</v>
      </c>
      <c r="T42">
        <f t="shared" si="11"/>
        <v>0</v>
      </c>
      <c r="U42" s="1">
        <v>0.45171951999999999</v>
      </c>
      <c r="V42" s="1">
        <v>0</v>
      </c>
    </row>
    <row r="43" spans="1:22">
      <c r="A43" s="1">
        <v>0</v>
      </c>
      <c r="B43" s="1" t="s">
        <v>44</v>
      </c>
      <c r="C43" s="1">
        <v>0</v>
      </c>
      <c r="D43" s="33">
        <v>0</v>
      </c>
      <c r="E43" s="34">
        <v>0</v>
      </c>
      <c r="F43" s="33">
        <v>0</v>
      </c>
      <c r="G43" s="30">
        <v>0.21047036299999999</v>
      </c>
      <c r="H43">
        <f t="shared" si="8"/>
        <v>0</v>
      </c>
      <c r="I43">
        <v>0.975383341312408</v>
      </c>
      <c r="J43">
        <f t="shared" si="9"/>
        <v>1</v>
      </c>
      <c r="K43">
        <v>0.25424835085868802</v>
      </c>
      <c r="L43">
        <f t="shared" si="10"/>
        <v>0</v>
      </c>
      <c r="M43">
        <v>3.9586722999999997E-2</v>
      </c>
      <c r="N43">
        <f t="shared" si="10"/>
        <v>0</v>
      </c>
      <c r="O43">
        <v>0.98536807298660301</v>
      </c>
      <c r="P43">
        <f t="shared" si="10"/>
        <v>1</v>
      </c>
      <c r="Q43">
        <v>0.34213969100000002</v>
      </c>
      <c r="R43">
        <f t="shared" si="10"/>
        <v>0</v>
      </c>
      <c r="S43">
        <v>2.2140873596071999E-2</v>
      </c>
      <c r="T43">
        <f t="shared" si="11"/>
        <v>0</v>
      </c>
      <c r="U43" s="1">
        <v>0.59779789999999999</v>
      </c>
      <c r="V43" s="1">
        <v>0</v>
      </c>
    </row>
    <row r="44" spans="1:22">
      <c r="A44" s="1">
        <v>0</v>
      </c>
      <c r="B44" s="1" t="s">
        <v>550</v>
      </c>
      <c r="C44" s="1">
        <v>0</v>
      </c>
      <c r="D44" s="33">
        <v>1</v>
      </c>
      <c r="E44" s="34">
        <v>0</v>
      </c>
      <c r="F44" s="33">
        <v>0</v>
      </c>
      <c r="G44">
        <v>0.24335973</v>
      </c>
      <c r="H44">
        <f t="shared" si="8"/>
        <v>0</v>
      </c>
      <c r="I44">
        <v>0.25440073013305697</v>
      </c>
      <c r="J44">
        <f t="shared" si="9"/>
        <v>0</v>
      </c>
      <c r="K44">
        <v>0.226319044828415</v>
      </c>
      <c r="L44">
        <f t="shared" si="10"/>
        <v>0</v>
      </c>
      <c r="M44" s="30">
        <v>0.22217936799999999</v>
      </c>
      <c r="N44">
        <f t="shared" si="10"/>
        <v>0</v>
      </c>
      <c r="O44">
        <v>0.43531730771064803</v>
      </c>
      <c r="P44">
        <f t="shared" si="10"/>
        <v>0</v>
      </c>
      <c r="Q44">
        <v>0.23533441099999999</v>
      </c>
      <c r="R44">
        <f t="shared" si="10"/>
        <v>0</v>
      </c>
      <c r="S44">
        <v>0.82703959941864003</v>
      </c>
      <c r="T44">
        <f t="shared" si="11"/>
        <v>1</v>
      </c>
      <c r="U44" s="1">
        <v>0.32843446999999998</v>
      </c>
      <c r="V44" s="1">
        <v>0</v>
      </c>
    </row>
    <row r="45" spans="1:22">
      <c r="A45" s="1">
        <v>0</v>
      </c>
      <c r="B45" s="1" t="s">
        <v>46</v>
      </c>
      <c r="C45" s="1">
        <v>0</v>
      </c>
      <c r="D45" s="33">
        <v>0</v>
      </c>
      <c r="E45" s="34">
        <v>0</v>
      </c>
      <c r="F45" s="33">
        <v>0</v>
      </c>
      <c r="G45" s="30">
        <v>3.1320213999999999E-2</v>
      </c>
      <c r="H45">
        <f t="shared" si="8"/>
        <v>0</v>
      </c>
      <c r="I45" s="30">
        <v>2.4902699515219999E-3</v>
      </c>
      <c r="J45">
        <f t="shared" si="9"/>
        <v>0</v>
      </c>
      <c r="K45" s="30">
        <v>6.5186503343280001E-3</v>
      </c>
      <c r="L45">
        <f t="shared" si="10"/>
        <v>0</v>
      </c>
      <c r="M45" s="30">
        <v>8.8053099999999999E-5</v>
      </c>
      <c r="N45">
        <f t="shared" si="10"/>
        <v>0</v>
      </c>
      <c r="O45">
        <v>5.1292520947750003E-3</v>
      </c>
      <c r="P45">
        <f t="shared" si="10"/>
        <v>0</v>
      </c>
      <c r="Q45">
        <v>3.6893729E-2</v>
      </c>
      <c r="R45">
        <f t="shared" si="10"/>
        <v>0</v>
      </c>
      <c r="S45">
        <v>3.0042638536500002E-4</v>
      </c>
      <c r="T45">
        <f t="shared" si="11"/>
        <v>0</v>
      </c>
      <c r="U45" s="1">
        <v>7.9175830000000003E-2</v>
      </c>
      <c r="V45" s="1">
        <v>0</v>
      </c>
    </row>
    <row r="46" spans="1:22">
      <c r="A46" s="1">
        <v>0</v>
      </c>
      <c r="B46" s="1" t="s">
        <v>47</v>
      </c>
      <c r="C46" s="1">
        <v>0</v>
      </c>
      <c r="D46" s="33">
        <v>0</v>
      </c>
      <c r="E46" s="34">
        <v>0</v>
      </c>
      <c r="F46" s="33">
        <v>0</v>
      </c>
      <c r="G46">
        <v>6.8509974000000001E-2</v>
      </c>
      <c r="H46">
        <f t="shared" si="8"/>
        <v>0</v>
      </c>
      <c r="I46">
        <v>0.30841550230979897</v>
      </c>
      <c r="J46">
        <f t="shared" si="9"/>
        <v>0</v>
      </c>
      <c r="K46">
        <v>4.6255208551884003E-2</v>
      </c>
      <c r="L46">
        <f t="shared" si="10"/>
        <v>0</v>
      </c>
      <c r="M46" s="30">
        <v>4.8401100000000003E-6</v>
      </c>
      <c r="N46">
        <f t="shared" si="10"/>
        <v>0</v>
      </c>
      <c r="O46">
        <v>1.6863543540239001E-2</v>
      </c>
      <c r="P46">
        <f t="shared" si="10"/>
        <v>0</v>
      </c>
      <c r="Q46">
        <v>0.100331157</v>
      </c>
      <c r="R46">
        <f t="shared" si="10"/>
        <v>0</v>
      </c>
      <c r="S46">
        <v>2.30796795222E-4</v>
      </c>
      <c r="T46">
        <f t="shared" si="11"/>
        <v>0</v>
      </c>
      <c r="U46" s="1">
        <v>0.20033719</v>
      </c>
      <c r="V46" s="1">
        <v>0</v>
      </c>
    </row>
    <row r="47" spans="1:22">
      <c r="A47" s="1">
        <v>0</v>
      </c>
      <c r="B47" s="1" t="s">
        <v>551</v>
      </c>
      <c r="C47" s="1">
        <v>0</v>
      </c>
      <c r="D47" s="33">
        <v>1</v>
      </c>
      <c r="E47" s="34">
        <v>0</v>
      </c>
      <c r="F47" s="33">
        <v>0</v>
      </c>
      <c r="G47">
        <v>8.5797727000000004E-2</v>
      </c>
      <c r="H47">
        <f t="shared" si="8"/>
        <v>0</v>
      </c>
      <c r="I47">
        <v>5.4171726107596997E-2</v>
      </c>
      <c r="J47">
        <f t="shared" si="9"/>
        <v>0</v>
      </c>
      <c r="K47">
        <v>7.2440586984158006E-2</v>
      </c>
      <c r="L47">
        <f t="shared" si="10"/>
        <v>0</v>
      </c>
      <c r="M47">
        <v>2.5641869999999999E-3</v>
      </c>
      <c r="N47">
        <f t="shared" si="10"/>
        <v>0</v>
      </c>
      <c r="O47">
        <v>7.3537245392799003E-2</v>
      </c>
      <c r="P47">
        <f t="shared" si="10"/>
        <v>0</v>
      </c>
      <c r="Q47">
        <v>0.45586133000000001</v>
      </c>
      <c r="R47">
        <f t="shared" si="10"/>
        <v>0</v>
      </c>
      <c r="S47">
        <v>1.9645281136035999E-2</v>
      </c>
      <c r="T47">
        <f t="shared" si="11"/>
        <v>0</v>
      </c>
      <c r="U47" s="1">
        <v>0.48589164000000001</v>
      </c>
      <c r="V47" s="1">
        <v>0</v>
      </c>
    </row>
    <row r="48" spans="1:22">
      <c r="A48" s="1">
        <v>0</v>
      </c>
      <c r="B48" s="1" t="s">
        <v>49</v>
      </c>
      <c r="C48" s="1">
        <v>0</v>
      </c>
      <c r="D48" s="33">
        <v>0</v>
      </c>
      <c r="E48" s="34">
        <v>0</v>
      </c>
      <c r="F48" s="33">
        <v>0</v>
      </c>
      <c r="G48" s="30">
        <v>0.93920826899999998</v>
      </c>
      <c r="H48">
        <f t="shared" si="8"/>
        <v>1</v>
      </c>
      <c r="I48">
        <v>0.99944347143173196</v>
      </c>
      <c r="J48">
        <f t="shared" si="9"/>
        <v>1</v>
      </c>
      <c r="K48">
        <v>0.96828192472457897</v>
      </c>
      <c r="L48">
        <f t="shared" si="10"/>
        <v>1</v>
      </c>
      <c r="M48" s="30">
        <v>0.93265885100000001</v>
      </c>
      <c r="N48">
        <f t="shared" si="10"/>
        <v>1</v>
      </c>
      <c r="O48">
        <v>0.59417408704757702</v>
      </c>
      <c r="P48">
        <f t="shared" si="10"/>
        <v>1</v>
      </c>
      <c r="Q48">
        <v>0.49416488400000003</v>
      </c>
      <c r="R48">
        <f t="shared" si="10"/>
        <v>0</v>
      </c>
      <c r="S48">
        <v>0.92674219608306896</v>
      </c>
      <c r="T48">
        <f t="shared" si="11"/>
        <v>1</v>
      </c>
      <c r="U48" s="1">
        <v>0.64132385999999997</v>
      </c>
      <c r="V48" s="1">
        <v>1</v>
      </c>
    </row>
    <row r="49" spans="1:22">
      <c r="A49" s="1">
        <v>0</v>
      </c>
      <c r="B49" s="1" t="s">
        <v>50</v>
      </c>
      <c r="C49" s="1">
        <v>0</v>
      </c>
      <c r="D49" s="33">
        <v>0</v>
      </c>
      <c r="E49" s="34">
        <v>0</v>
      </c>
      <c r="F49" s="33">
        <v>0</v>
      </c>
      <c r="G49">
        <v>7.3044023999999999E-2</v>
      </c>
      <c r="H49">
        <f t="shared" si="8"/>
        <v>0</v>
      </c>
      <c r="I49" s="30">
        <v>0.231474548578262</v>
      </c>
      <c r="J49">
        <f t="shared" si="9"/>
        <v>0</v>
      </c>
      <c r="K49">
        <v>3.8142438977957001E-2</v>
      </c>
      <c r="L49">
        <f t="shared" si="10"/>
        <v>0</v>
      </c>
      <c r="M49" s="30">
        <v>3.6295899999999999E-4</v>
      </c>
      <c r="N49">
        <f t="shared" si="10"/>
        <v>0</v>
      </c>
      <c r="O49">
        <v>3.2008927315474001E-2</v>
      </c>
      <c r="P49">
        <f t="shared" si="10"/>
        <v>0</v>
      </c>
      <c r="Q49">
        <v>0.174472928</v>
      </c>
      <c r="R49">
        <f t="shared" si="10"/>
        <v>0</v>
      </c>
      <c r="S49">
        <v>1.168714184314E-2</v>
      </c>
      <c r="T49">
        <f t="shared" si="11"/>
        <v>0</v>
      </c>
      <c r="U49" s="1">
        <v>0.5887983</v>
      </c>
      <c r="V49" s="1">
        <v>0</v>
      </c>
    </row>
    <row r="50" spans="1:22">
      <c r="A50" s="1">
        <v>0</v>
      </c>
      <c r="B50" s="1" t="s">
        <v>51</v>
      </c>
      <c r="C50" s="1">
        <v>0</v>
      </c>
      <c r="D50" s="33">
        <v>0</v>
      </c>
      <c r="E50" s="34">
        <v>0</v>
      </c>
      <c r="F50" s="33">
        <v>0</v>
      </c>
      <c r="G50">
        <v>8.1698916999999996E-2</v>
      </c>
      <c r="H50">
        <f t="shared" si="8"/>
        <v>0</v>
      </c>
      <c r="I50">
        <v>4.2441785335541E-2</v>
      </c>
      <c r="J50">
        <f t="shared" si="9"/>
        <v>0</v>
      </c>
      <c r="K50">
        <v>0.27153807878494302</v>
      </c>
      <c r="L50">
        <f t="shared" si="10"/>
        <v>0</v>
      </c>
      <c r="M50" s="30">
        <v>5.538179E-2</v>
      </c>
      <c r="N50">
        <f t="shared" si="10"/>
        <v>0</v>
      </c>
      <c r="O50">
        <v>0.10680788010358799</v>
      </c>
      <c r="P50">
        <f t="shared" si="10"/>
        <v>0</v>
      </c>
      <c r="Q50">
        <v>0.324139446</v>
      </c>
      <c r="R50">
        <f t="shared" si="10"/>
        <v>0</v>
      </c>
      <c r="S50">
        <v>5.7964194566011998E-2</v>
      </c>
      <c r="T50">
        <f t="shared" si="11"/>
        <v>0</v>
      </c>
      <c r="U50" s="1">
        <v>0.33284363</v>
      </c>
      <c r="V50" s="1">
        <v>0</v>
      </c>
    </row>
    <row r="51" spans="1:22">
      <c r="A51" s="1">
        <v>0</v>
      </c>
      <c r="B51" s="1" t="s">
        <v>52</v>
      </c>
      <c r="C51" s="1">
        <v>0</v>
      </c>
      <c r="D51" s="33">
        <v>0</v>
      </c>
      <c r="E51" s="34">
        <v>0</v>
      </c>
      <c r="F51" s="33">
        <v>0</v>
      </c>
      <c r="G51" s="30">
        <v>3.3894713999999999E-2</v>
      </c>
      <c r="H51">
        <f t="shared" si="8"/>
        <v>0</v>
      </c>
      <c r="I51" s="30">
        <v>2.1769029262900001E-4</v>
      </c>
      <c r="J51">
        <f t="shared" si="9"/>
        <v>0</v>
      </c>
      <c r="K51" s="30">
        <v>4.0968635585199997E-4</v>
      </c>
      <c r="L51">
        <f t="shared" si="10"/>
        <v>0</v>
      </c>
      <c r="M51" s="30">
        <v>5.6919599999999997E-11</v>
      </c>
      <c r="N51">
        <f t="shared" si="10"/>
        <v>0</v>
      </c>
      <c r="O51">
        <v>2.58498854237E-4</v>
      </c>
      <c r="P51">
        <f t="shared" si="10"/>
        <v>0</v>
      </c>
      <c r="Q51">
        <v>3.0249244000000002E-2</v>
      </c>
      <c r="R51">
        <f t="shared" si="10"/>
        <v>0</v>
      </c>
      <c r="S51" s="30">
        <v>7.0998074079398106E-5</v>
      </c>
      <c r="T51">
        <f t="shared" si="11"/>
        <v>0</v>
      </c>
      <c r="U51" s="1">
        <v>8.9354320000000001E-2</v>
      </c>
      <c r="V51" s="1">
        <v>0</v>
      </c>
    </row>
    <row r="52" spans="1:22">
      <c r="A52" s="1">
        <v>0</v>
      </c>
      <c r="B52" s="1" t="s">
        <v>53</v>
      </c>
      <c r="C52" s="1">
        <v>0</v>
      </c>
      <c r="D52" s="33">
        <v>0</v>
      </c>
      <c r="E52" s="34">
        <v>0</v>
      </c>
      <c r="F52" s="33">
        <v>0</v>
      </c>
      <c r="G52" s="30">
        <v>5.0833110000000001E-2</v>
      </c>
      <c r="H52">
        <f t="shared" si="8"/>
        <v>0</v>
      </c>
      <c r="I52" s="30">
        <v>2.0261709578339999E-3</v>
      </c>
      <c r="J52">
        <f t="shared" si="9"/>
        <v>0</v>
      </c>
      <c r="K52">
        <v>9.8599644843499991E-4</v>
      </c>
      <c r="L52">
        <f t="shared" si="10"/>
        <v>0</v>
      </c>
      <c r="M52" s="30">
        <v>1.9511300000000001E-5</v>
      </c>
      <c r="N52">
        <f t="shared" si="10"/>
        <v>0</v>
      </c>
      <c r="O52">
        <v>2.1199691109360002E-3</v>
      </c>
      <c r="P52">
        <f t="shared" si="10"/>
        <v>0</v>
      </c>
      <c r="Q52">
        <v>4.3499399000000001E-2</v>
      </c>
      <c r="R52">
        <f t="shared" si="10"/>
        <v>0</v>
      </c>
      <c r="S52">
        <v>2.49229895417E-4</v>
      </c>
      <c r="T52">
        <f t="shared" si="11"/>
        <v>0</v>
      </c>
      <c r="U52" s="1">
        <v>7.8021989999999999E-2</v>
      </c>
      <c r="V52" s="1">
        <v>0</v>
      </c>
    </row>
    <row r="53" spans="1:22">
      <c r="A53" s="1">
        <v>0</v>
      </c>
      <c r="B53" s="1" t="s">
        <v>54</v>
      </c>
      <c r="C53" s="1">
        <v>0</v>
      </c>
      <c r="D53" s="33">
        <v>0</v>
      </c>
      <c r="E53" s="34">
        <v>0</v>
      </c>
      <c r="F53" s="33">
        <v>0</v>
      </c>
      <c r="G53">
        <v>7.5974978999999998E-2</v>
      </c>
      <c r="H53">
        <f t="shared" si="8"/>
        <v>0</v>
      </c>
      <c r="I53">
        <v>8.4423618391159996E-3</v>
      </c>
      <c r="J53">
        <f t="shared" si="9"/>
        <v>0</v>
      </c>
      <c r="K53">
        <v>2.1674802526832002E-2</v>
      </c>
      <c r="L53">
        <f t="shared" si="10"/>
        <v>0</v>
      </c>
      <c r="M53" s="30">
        <v>8.8882170000000003E-3</v>
      </c>
      <c r="N53">
        <f t="shared" si="10"/>
        <v>0</v>
      </c>
      <c r="O53">
        <v>8.1075601279735995E-2</v>
      </c>
      <c r="P53">
        <f t="shared" si="10"/>
        <v>0</v>
      </c>
      <c r="Q53">
        <v>0.47613591</v>
      </c>
      <c r="R53">
        <f t="shared" si="10"/>
        <v>0</v>
      </c>
      <c r="S53">
        <v>3.3710377756509999E-3</v>
      </c>
      <c r="T53">
        <f t="shared" si="11"/>
        <v>0</v>
      </c>
      <c r="U53" s="1">
        <v>0.36291233000000001</v>
      </c>
      <c r="V53" s="1">
        <v>0</v>
      </c>
    </row>
    <row r="54" spans="1:22">
      <c r="A54" s="1">
        <v>0</v>
      </c>
      <c r="B54" s="1" t="s">
        <v>552</v>
      </c>
      <c r="C54" s="1">
        <v>0</v>
      </c>
      <c r="D54" s="33">
        <v>0</v>
      </c>
      <c r="E54" s="34">
        <v>0</v>
      </c>
      <c r="F54" s="33">
        <v>1</v>
      </c>
      <c r="G54">
        <v>0.87168657800000005</v>
      </c>
      <c r="H54">
        <f t="shared" si="8"/>
        <v>1</v>
      </c>
      <c r="I54">
        <v>0.65736341476440396</v>
      </c>
      <c r="J54">
        <f t="shared" si="9"/>
        <v>1</v>
      </c>
      <c r="K54">
        <v>0.36415061354637102</v>
      </c>
      <c r="L54">
        <f t="shared" si="10"/>
        <v>0</v>
      </c>
      <c r="M54">
        <v>0.18732541799999999</v>
      </c>
      <c r="N54">
        <f t="shared" si="10"/>
        <v>0</v>
      </c>
      <c r="O54">
        <v>0.45316872000694303</v>
      </c>
      <c r="P54">
        <f t="shared" si="10"/>
        <v>0</v>
      </c>
      <c r="Q54">
        <v>0.40223425600000001</v>
      </c>
      <c r="R54">
        <f t="shared" si="10"/>
        <v>0</v>
      </c>
      <c r="S54">
        <v>0.428956568241119</v>
      </c>
      <c r="T54">
        <f t="shared" si="11"/>
        <v>0</v>
      </c>
      <c r="U54" s="1">
        <v>0.43669614000000001</v>
      </c>
      <c r="V54" s="1">
        <v>0</v>
      </c>
    </row>
    <row r="55" spans="1:22">
      <c r="A55" s="1">
        <v>0</v>
      </c>
      <c r="B55" s="1" t="s">
        <v>56</v>
      </c>
      <c r="C55" s="1">
        <v>0</v>
      </c>
      <c r="D55" s="33">
        <v>0</v>
      </c>
      <c r="E55" s="34">
        <v>0</v>
      </c>
      <c r="F55" s="33">
        <v>0</v>
      </c>
      <c r="G55">
        <v>6.3568897999999999E-2</v>
      </c>
      <c r="H55">
        <f t="shared" si="8"/>
        <v>0</v>
      </c>
      <c r="I55" s="30">
        <v>9.5922583714130004E-3</v>
      </c>
      <c r="J55">
        <f t="shared" si="9"/>
        <v>0</v>
      </c>
      <c r="K55">
        <v>9.1363750398159999E-3</v>
      </c>
      <c r="L55">
        <f t="shared" si="10"/>
        <v>0</v>
      </c>
      <c r="M55">
        <v>9.8057200000000008E-4</v>
      </c>
      <c r="N55">
        <f t="shared" si="10"/>
        <v>0</v>
      </c>
      <c r="O55">
        <v>3.0466750264168001E-2</v>
      </c>
      <c r="P55">
        <f t="shared" si="10"/>
        <v>0</v>
      </c>
      <c r="Q55">
        <v>0.120025441</v>
      </c>
      <c r="R55">
        <f t="shared" si="10"/>
        <v>0</v>
      </c>
      <c r="S55">
        <v>1.1605426669121E-2</v>
      </c>
      <c r="T55">
        <f t="shared" si="11"/>
        <v>0</v>
      </c>
      <c r="U55" s="1">
        <v>0.44561457999999998</v>
      </c>
      <c r="V55" s="1">
        <v>0</v>
      </c>
    </row>
    <row r="56" spans="1:22">
      <c r="A56" s="1">
        <v>0</v>
      </c>
      <c r="B56" s="1" t="s">
        <v>57</v>
      </c>
      <c r="C56" s="1">
        <v>0</v>
      </c>
      <c r="D56" s="33">
        <v>0</v>
      </c>
      <c r="E56" s="34">
        <v>0</v>
      </c>
      <c r="F56" s="33">
        <v>0</v>
      </c>
      <c r="G56">
        <v>0.37753292900000002</v>
      </c>
      <c r="H56">
        <f t="shared" si="8"/>
        <v>0</v>
      </c>
      <c r="I56">
        <v>0.11683844774961499</v>
      </c>
      <c r="J56">
        <f t="shared" si="9"/>
        <v>0</v>
      </c>
      <c r="K56">
        <v>0.78420883417129505</v>
      </c>
      <c r="L56">
        <f t="shared" si="10"/>
        <v>1</v>
      </c>
      <c r="M56" s="30">
        <v>0.14591254300000001</v>
      </c>
      <c r="N56">
        <f t="shared" si="10"/>
        <v>0</v>
      </c>
      <c r="O56">
        <v>0.91812217235565197</v>
      </c>
      <c r="P56">
        <f t="shared" si="10"/>
        <v>1</v>
      </c>
      <c r="Q56">
        <v>0.66239017200000005</v>
      </c>
      <c r="R56">
        <f t="shared" si="10"/>
        <v>1</v>
      </c>
      <c r="S56">
        <v>0.72307705879211404</v>
      </c>
      <c r="T56">
        <f t="shared" si="11"/>
        <v>1</v>
      </c>
      <c r="U56" s="1">
        <v>0.67305910000000002</v>
      </c>
      <c r="V56" s="1">
        <v>1</v>
      </c>
    </row>
    <row r="57" spans="1:22">
      <c r="A57" s="1">
        <v>0</v>
      </c>
      <c r="B57" s="1" t="s">
        <v>58</v>
      </c>
      <c r="C57" s="1">
        <v>0</v>
      </c>
      <c r="D57" s="33">
        <v>0</v>
      </c>
      <c r="E57" s="34">
        <v>0</v>
      </c>
      <c r="F57" s="33">
        <v>0</v>
      </c>
      <c r="G57" s="30">
        <v>3.6920041000000001E-2</v>
      </c>
      <c r="H57">
        <f t="shared" si="8"/>
        <v>0</v>
      </c>
      <c r="I57" s="30">
        <v>8.35036975332E-4</v>
      </c>
      <c r="J57">
        <f t="shared" si="9"/>
        <v>0</v>
      </c>
      <c r="K57" s="30">
        <v>8.5231324192099999E-4</v>
      </c>
      <c r="L57">
        <f t="shared" si="10"/>
        <v>0</v>
      </c>
      <c r="M57" s="30">
        <v>6.3956899999999997E-7</v>
      </c>
      <c r="N57">
        <f t="shared" si="10"/>
        <v>0</v>
      </c>
      <c r="O57">
        <v>4.4477006304099998E-4</v>
      </c>
      <c r="P57">
        <f t="shared" si="10"/>
        <v>0</v>
      </c>
      <c r="Q57" s="30">
        <v>3.7612725E-2</v>
      </c>
      <c r="R57">
        <f t="shared" si="10"/>
        <v>0</v>
      </c>
      <c r="S57">
        <v>1.14774018584E-4</v>
      </c>
      <c r="T57">
        <f t="shared" si="11"/>
        <v>0</v>
      </c>
      <c r="U57" s="1">
        <v>4.4690977999999999E-2</v>
      </c>
      <c r="V57" s="1">
        <v>0</v>
      </c>
    </row>
    <row r="58" spans="1:22">
      <c r="A58" s="1">
        <v>0</v>
      </c>
      <c r="B58" s="1" t="s">
        <v>59</v>
      </c>
      <c r="C58" s="1">
        <v>0</v>
      </c>
      <c r="D58" s="33">
        <v>0</v>
      </c>
      <c r="E58" s="34">
        <v>0</v>
      </c>
      <c r="F58" s="33">
        <v>0</v>
      </c>
      <c r="G58">
        <v>0.38774117800000002</v>
      </c>
      <c r="H58">
        <f t="shared" si="8"/>
        <v>0</v>
      </c>
      <c r="I58">
        <v>0.21493859589099901</v>
      </c>
      <c r="J58">
        <f t="shared" si="9"/>
        <v>0</v>
      </c>
      <c r="K58">
        <v>5.2659496665000999E-2</v>
      </c>
      <c r="L58">
        <f t="shared" si="10"/>
        <v>0</v>
      </c>
      <c r="M58">
        <v>5.1773720000000004E-3</v>
      </c>
      <c r="N58">
        <f t="shared" si="10"/>
        <v>0</v>
      </c>
      <c r="O58">
        <v>0.29976937174797103</v>
      </c>
      <c r="P58">
        <f t="shared" si="10"/>
        <v>0</v>
      </c>
      <c r="Q58">
        <v>0.15889108199999999</v>
      </c>
      <c r="R58">
        <f t="shared" si="10"/>
        <v>0</v>
      </c>
      <c r="S58">
        <v>9.1053150594234994E-2</v>
      </c>
      <c r="T58">
        <f t="shared" si="11"/>
        <v>0</v>
      </c>
      <c r="U58" s="1">
        <v>0.31510472</v>
      </c>
      <c r="V58" s="1">
        <v>0</v>
      </c>
    </row>
    <row r="59" spans="1:22">
      <c r="A59" s="1">
        <v>0</v>
      </c>
      <c r="B59" s="1" t="s">
        <v>60</v>
      </c>
      <c r="C59" s="1">
        <v>0</v>
      </c>
      <c r="D59" s="33">
        <v>0</v>
      </c>
      <c r="E59" s="34">
        <v>0</v>
      </c>
      <c r="F59" s="33">
        <v>0</v>
      </c>
      <c r="G59">
        <v>0.101360254</v>
      </c>
      <c r="H59">
        <f t="shared" si="8"/>
        <v>0</v>
      </c>
      <c r="I59">
        <v>0.16912978887558</v>
      </c>
      <c r="J59">
        <f t="shared" si="9"/>
        <v>0</v>
      </c>
      <c r="K59">
        <v>9.7743319347500003E-3</v>
      </c>
      <c r="L59">
        <f t="shared" si="10"/>
        <v>0</v>
      </c>
      <c r="M59">
        <v>3.2353900000000002E-4</v>
      </c>
      <c r="N59">
        <f t="shared" si="10"/>
        <v>0</v>
      </c>
      <c r="O59">
        <v>2.9194647446275E-2</v>
      </c>
      <c r="P59">
        <f t="shared" si="10"/>
        <v>0</v>
      </c>
      <c r="Q59">
        <v>0.12679722900000001</v>
      </c>
      <c r="R59">
        <f t="shared" si="10"/>
        <v>0</v>
      </c>
      <c r="S59">
        <v>1.0704014450312001E-2</v>
      </c>
      <c r="T59">
        <f t="shared" si="11"/>
        <v>0</v>
      </c>
      <c r="U59" s="1">
        <v>0.31218364999999998</v>
      </c>
      <c r="V59" s="1">
        <v>0</v>
      </c>
    </row>
    <row r="60" spans="1:22">
      <c r="A60" s="1">
        <v>0</v>
      </c>
      <c r="B60" s="1" t="s">
        <v>61</v>
      </c>
      <c r="C60" s="1">
        <v>0</v>
      </c>
      <c r="D60" s="33">
        <v>0</v>
      </c>
      <c r="E60" s="34">
        <v>0</v>
      </c>
      <c r="F60" s="33">
        <v>0</v>
      </c>
      <c r="G60">
        <v>0.127456456</v>
      </c>
      <c r="H60">
        <f t="shared" si="8"/>
        <v>0</v>
      </c>
      <c r="I60" s="30">
        <v>6.8888254463670001E-3</v>
      </c>
      <c r="J60">
        <f t="shared" si="9"/>
        <v>0</v>
      </c>
      <c r="K60">
        <v>5.845420528203E-3</v>
      </c>
      <c r="L60">
        <f t="shared" si="10"/>
        <v>0</v>
      </c>
      <c r="M60">
        <v>2.1858250000000002E-3</v>
      </c>
      <c r="N60">
        <f t="shared" si="10"/>
        <v>0</v>
      </c>
      <c r="O60">
        <v>0.16385178267955799</v>
      </c>
      <c r="P60">
        <f t="shared" si="10"/>
        <v>0</v>
      </c>
      <c r="Q60">
        <v>0.27997761999999998</v>
      </c>
      <c r="R60">
        <f t="shared" si="10"/>
        <v>0</v>
      </c>
      <c r="S60">
        <v>5.6165810674429998E-3</v>
      </c>
      <c r="T60">
        <f t="shared" si="11"/>
        <v>0</v>
      </c>
      <c r="U60" s="1">
        <v>0.31245645999999999</v>
      </c>
      <c r="V60" s="1">
        <v>0</v>
      </c>
    </row>
    <row r="61" spans="1:22">
      <c r="A61" s="1">
        <v>0</v>
      </c>
      <c r="B61" s="1" t="s">
        <v>62</v>
      </c>
      <c r="C61" s="1">
        <v>0</v>
      </c>
      <c r="D61" s="33">
        <v>0</v>
      </c>
      <c r="E61" s="34">
        <v>0</v>
      </c>
      <c r="F61" s="33">
        <v>0</v>
      </c>
      <c r="G61">
        <v>0.20350547099999999</v>
      </c>
      <c r="H61">
        <f t="shared" si="8"/>
        <v>0</v>
      </c>
      <c r="I61">
        <v>1.0107285343111E-2</v>
      </c>
      <c r="J61">
        <f t="shared" si="9"/>
        <v>0</v>
      </c>
      <c r="K61">
        <v>4.4668789952992997E-2</v>
      </c>
      <c r="L61">
        <f t="shared" si="10"/>
        <v>0</v>
      </c>
      <c r="M61">
        <v>5.9034020000000003E-3</v>
      </c>
      <c r="N61">
        <f t="shared" si="10"/>
        <v>0</v>
      </c>
      <c r="O61">
        <v>1.5789533033967001E-2</v>
      </c>
      <c r="P61">
        <f t="shared" si="10"/>
        <v>0</v>
      </c>
      <c r="Q61">
        <v>0.277976006</v>
      </c>
      <c r="R61">
        <f t="shared" si="10"/>
        <v>0</v>
      </c>
      <c r="S61">
        <v>2.8029279783368E-2</v>
      </c>
      <c r="T61">
        <f t="shared" si="11"/>
        <v>0</v>
      </c>
      <c r="U61" s="1">
        <v>0.22056907000000001</v>
      </c>
      <c r="V61" s="1">
        <v>0</v>
      </c>
    </row>
    <row r="62" spans="1:22">
      <c r="A62" s="1">
        <v>0</v>
      </c>
      <c r="B62" s="1" t="s">
        <v>63</v>
      </c>
      <c r="C62" s="1">
        <v>0</v>
      </c>
      <c r="D62" s="33">
        <v>0</v>
      </c>
      <c r="E62" s="34">
        <v>0</v>
      </c>
      <c r="F62" s="33">
        <v>0</v>
      </c>
      <c r="G62">
        <v>3.5499758999999999E-2</v>
      </c>
      <c r="H62">
        <f t="shared" si="8"/>
        <v>0</v>
      </c>
      <c r="I62" s="30">
        <v>2.4868973996490002E-3</v>
      </c>
      <c r="J62">
        <f t="shared" si="9"/>
        <v>0</v>
      </c>
      <c r="K62">
        <v>3.324860474095E-3</v>
      </c>
      <c r="L62">
        <f t="shared" si="10"/>
        <v>0</v>
      </c>
      <c r="M62" s="30">
        <v>1.0073699999999999E-4</v>
      </c>
      <c r="N62">
        <f t="shared" si="10"/>
        <v>0</v>
      </c>
      <c r="O62">
        <v>1.311071333475E-3</v>
      </c>
      <c r="P62">
        <f t="shared" si="10"/>
        <v>0</v>
      </c>
      <c r="Q62">
        <v>5.101224E-2</v>
      </c>
      <c r="R62">
        <f t="shared" si="10"/>
        <v>0</v>
      </c>
      <c r="S62">
        <v>4.0104039362599998E-4</v>
      </c>
      <c r="T62">
        <f t="shared" si="11"/>
        <v>0</v>
      </c>
      <c r="U62" s="1">
        <v>0.16358069</v>
      </c>
      <c r="V62" s="1">
        <v>0</v>
      </c>
    </row>
    <row r="63" spans="1:22">
      <c r="A63" s="1">
        <v>0</v>
      </c>
      <c r="B63" s="1" t="s">
        <v>64</v>
      </c>
      <c r="C63" s="1">
        <v>0</v>
      </c>
      <c r="D63" s="33">
        <v>0</v>
      </c>
      <c r="E63" s="34">
        <v>0</v>
      </c>
      <c r="F63" s="33">
        <v>0</v>
      </c>
      <c r="G63">
        <v>0.42849183099999999</v>
      </c>
      <c r="H63">
        <f t="shared" si="8"/>
        <v>0</v>
      </c>
      <c r="I63">
        <v>0.638982653617859</v>
      </c>
      <c r="J63">
        <f t="shared" si="9"/>
        <v>1</v>
      </c>
      <c r="K63">
        <v>0.277764141559601</v>
      </c>
      <c r="L63">
        <f t="shared" si="10"/>
        <v>0</v>
      </c>
      <c r="M63">
        <v>0.24966095399999999</v>
      </c>
      <c r="N63">
        <f t="shared" si="10"/>
        <v>0</v>
      </c>
      <c r="O63">
        <v>0.95206916332244895</v>
      </c>
      <c r="P63">
        <f t="shared" si="10"/>
        <v>1</v>
      </c>
      <c r="Q63">
        <v>0.355607271</v>
      </c>
      <c r="R63">
        <f t="shared" si="10"/>
        <v>0</v>
      </c>
      <c r="S63">
        <v>0.35439202189445501</v>
      </c>
      <c r="T63">
        <f t="shared" si="11"/>
        <v>0</v>
      </c>
      <c r="U63" s="1">
        <v>0.36983660000000002</v>
      </c>
      <c r="V63" s="1">
        <v>0</v>
      </c>
    </row>
    <row r="64" spans="1:22">
      <c r="A64" s="1">
        <v>0</v>
      </c>
      <c r="B64" s="1" t="s">
        <v>65</v>
      </c>
      <c r="C64" s="1">
        <v>0</v>
      </c>
      <c r="D64" s="33">
        <v>0</v>
      </c>
      <c r="E64" s="34">
        <v>0</v>
      </c>
      <c r="F64" s="33">
        <v>0</v>
      </c>
      <c r="G64" s="30">
        <v>3.6448280999999999E-2</v>
      </c>
      <c r="H64">
        <f t="shared" si="8"/>
        <v>0</v>
      </c>
      <c r="I64" s="30">
        <v>3.6028923204867203E-5</v>
      </c>
      <c r="J64">
        <f t="shared" si="9"/>
        <v>0</v>
      </c>
      <c r="K64">
        <v>2.8803714667399998E-4</v>
      </c>
      <c r="L64">
        <f t="shared" si="10"/>
        <v>0</v>
      </c>
      <c r="M64" s="30">
        <v>3.6750199999999998E-7</v>
      </c>
      <c r="N64">
        <f t="shared" si="10"/>
        <v>0</v>
      </c>
      <c r="O64">
        <v>1.60152558237E-4</v>
      </c>
      <c r="P64">
        <f t="shared" si="10"/>
        <v>0</v>
      </c>
      <c r="Q64">
        <v>3.8287211000000002E-2</v>
      </c>
      <c r="R64">
        <f t="shared" si="10"/>
        <v>0</v>
      </c>
      <c r="S64">
        <v>1.89841739484E-4</v>
      </c>
      <c r="T64">
        <f t="shared" si="11"/>
        <v>0</v>
      </c>
      <c r="U64" s="1">
        <v>0.10240871</v>
      </c>
      <c r="V64" s="1">
        <v>0</v>
      </c>
    </row>
    <row r="65" spans="1:22">
      <c r="A65" s="1">
        <v>1</v>
      </c>
      <c r="B65" s="1" t="s">
        <v>67</v>
      </c>
      <c r="C65" s="1">
        <v>1</v>
      </c>
      <c r="D65" s="33">
        <v>1</v>
      </c>
      <c r="E65" s="33">
        <v>1</v>
      </c>
      <c r="F65" s="33">
        <v>1</v>
      </c>
      <c r="G65">
        <v>0.96390312899999997</v>
      </c>
      <c r="H65">
        <f t="shared" si="8"/>
        <v>1</v>
      </c>
      <c r="I65">
        <v>0.95674991607666005</v>
      </c>
      <c r="J65">
        <f t="shared" si="9"/>
        <v>1</v>
      </c>
      <c r="K65">
        <v>0.806521236896515</v>
      </c>
      <c r="L65">
        <f t="shared" si="10"/>
        <v>1</v>
      </c>
      <c r="M65">
        <v>0.94821715399999995</v>
      </c>
      <c r="N65">
        <f t="shared" si="10"/>
        <v>1</v>
      </c>
      <c r="O65">
        <v>0.620142102241516</v>
      </c>
      <c r="P65">
        <f t="shared" si="10"/>
        <v>1</v>
      </c>
      <c r="Q65">
        <v>0.84118092099999997</v>
      </c>
      <c r="R65">
        <f t="shared" si="10"/>
        <v>1</v>
      </c>
      <c r="S65">
        <v>0.89250576496124301</v>
      </c>
      <c r="T65">
        <f t="shared" si="11"/>
        <v>1</v>
      </c>
      <c r="U65" s="1">
        <v>0.47930790000000001</v>
      </c>
      <c r="V65">
        <v>0</v>
      </c>
    </row>
    <row r="66" spans="1:22">
      <c r="A66" s="1">
        <v>1</v>
      </c>
      <c r="B66" s="1" t="s">
        <v>69</v>
      </c>
      <c r="C66" s="1">
        <v>1</v>
      </c>
      <c r="D66" s="33">
        <v>0</v>
      </c>
      <c r="E66" s="34">
        <v>1</v>
      </c>
      <c r="F66" s="33">
        <v>1</v>
      </c>
      <c r="G66">
        <v>0.84151428900000003</v>
      </c>
      <c r="H66">
        <f t="shared" si="8"/>
        <v>1</v>
      </c>
      <c r="I66">
        <v>0.73705375194549605</v>
      </c>
      <c r="J66">
        <f t="shared" si="9"/>
        <v>1</v>
      </c>
      <c r="K66">
        <v>0.75255483388900801</v>
      </c>
      <c r="L66">
        <f t="shared" si="10"/>
        <v>1</v>
      </c>
      <c r="M66">
        <v>0.47379913899999998</v>
      </c>
      <c r="N66">
        <f t="shared" si="10"/>
        <v>0</v>
      </c>
      <c r="O66">
        <v>0.993455469608307</v>
      </c>
      <c r="P66">
        <f t="shared" si="10"/>
        <v>1</v>
      </c>
      <c r="Q66">
        <v>0.69416481299999999</v>
      </c>
      <c r="R66">
        <f t="shared" si="10"/>
        <v>1</v>
      </c>
      <c r="S66">
        <v>0.60998642444610596</v>
      </c>
      <c r="T66">
        <f t="shared" si="11"/>
        <v>1</v>
      </c>
      <c r="U66" s="1">
        <v>0.63275015000000001</v>
      </c>
      <c r="V66">
        <v>1</v>
      </c>
    </row>
    <row r="67" spans="1:22">
      <c r="A67" s="1">
        <v>1</v>
      </c>
      <c r="B67" s="1" t="s">
        <v>70</v>
      </c>
      <c r="C67" s="1">
        <v>1</v>
      </c>
      <c r="D67" s="33">
        <v>1</v>
      </c>
      <c r="E67" s="33">
        <v>1</v>
      </c>
      <c r="F67" s="33">
        <v>1</v>
      </c>
      <c r="G67">
        <v>0.56368881500000001</v>
      </c>
      <c r="H67">
        <f t="shared" si="8"/>
        <v>1</v>
      </c>
      <c r="I67">
        <v>0.59250420331955</v>
      </c>
      <c r="J67">
        <f t="shared" si="9"/>
        <v>1</v>
      </c>
      <c r="K67">
        <v>4.5882996171713E-2</v>
      </c>
      <c r="L67">
        <f t="shared" si="10"/>
        <v>0</v>
      </c>
      <c r="M67">
        <v>0.313500583</v>
      </c>
      <c r="N67">
        <f t="shared" si="10"/>
        <v>0</v>
      </c>
      <c r="O67">
        <v>2.9887452255930001E-3</v>
      </c>
      <c r="P67">
        <f t="shared" si="10"/>
        <v>0</v>
      </c>
      <c r="Q67">
        <v>0.89254915700000004</v>
      </c>
      <c r="R67">
        <f t="shared" si="10"/>
        <v>1</v>
      </c>
      <c r="S67">
        <v>0.60725331306457497</v>
      </c>
      <c r="T67">
        <f t="shared" si="11"/>
        <v>1</v>
      </c>
      <c r="U67" s="1">
        <v>0.49982437000000002</v>
      </c>
      <c r="V67">
        <v>0</v>
      </c>
    </row>
    <row r="68" spans="1:22">
      <c r="A68" s="1">
        <v>1</v>
      </c>
      <c r="B68" s="1" t="s">
        <v>71</v>
      </c>
      <c r="C68" s="1">
        <v>1</v>
      </c>
      <c r="D68" s="33">
        <v>1</v>
      </c>
      <c r="E68" s="33">
        <v>1</v>
      </c>
      <c r="F68" s="33">
        <v>1</v>
      </c>
      <c r="G68" s="30">
        <v>0.91674715299999998</v>
      </c>
      <c r="H68">
        <f t="shared" si="8"/>
        <v>1</v>
      </c>
      <c r="I68">
        <v>0.99842876195907604</v>
      </c>
      <c r="J68">
        <f t="shared" si="9"/>
        <v>1</v>
      </c>
      <c r="K68">
        <v>0.97416162490844704</v>
      </c>
      <c r="L68">
        <f t="shared" si="10"/>
        <v>1</v>
      </c>
      <c r="M68" s="30">
        <v>0.92131882899999995</v>
      </c>
      <c r="N68">
        <f t="shared" si="10"/>
        <v>1</v>
      </c>
      <c r="O68">
        <v>0.95036578178405795</v>
      </c>
      <c r="P68">
        <f t="shared" si="10"/>
        <v>1</v>
      </c>
      <c r="Q68">
        <v>0.72512167699999996</v>
      </c>
      <c r="R68">
        <f t="shared" si="10"/>
        <v>1</v>
      </c>
      <c r="S68">
        <v>0.97572392225265503</v>
      </c>
      <c r="T68">
        <f t="shared" si="11"/>
        <v>1</v>
      </c>
      <c r="U68" s="1">
        <v>0.60617829999999995</v>
      </c>
      <c r="V68">
        <v>1</v>
      </c>
    </row>
    <row r="69" spans="1:22">
      <c r="A69" s="1">
        <v>1</v>
      </c>
      <c r="B69" s="1" t="s">
        <v>72</v>
      </c>
      <c r="C69" s="1">
        <v>1</v>
      </c>
      <c r="D69" s="33">
        <v>1</v>
      </c>
      <c r="E69" s="33">
        <v>1</v>
      </c>
      <c r="F69" s="33">
        <v>1</v>
      </c>
      <c r="G69">
        <v>0.88736516200000004</v>
      </c>
      <c r="H69">
        <f t="shared" si="8"/>
        <v>1</v>
      </c>
      <c r="I69">
        <v>0.99986231327056896</v>
      </c>
      <c r="J69">
        <f t="shared" si="9"/>
        <v>1</v>
      </c>
      <c r="K69">
        <v>0.98368996381759599</v>
      </c>
      <c r="L69">
        <f t="shared" si="10"/>
        <v>1</v>
      </c>
      <c r="M69">
        <v>0.96992099300000001</v>
      </c>
      <c r="N69">
        <f t="shared" si="10"/>
        <v>1</v>
      </c>
      <c r="O69">
        <v>0.99957865476608299</v>
      </c>
      <c r="P69">
        <f t="shared" si="10"/>
        <v>1</v>
      </c>
      <c r="Q69">
        <v>0.79203820199999997</v>
      </c>
      <c r="R69">
        <f t="shared" si="10"/>
        <v>1</v>
      </c>
      <c r="S69">
        <v>0.84038865566253695</v>
      </c>
      <c r="T69">
        <f t="shared" si="11"/>
        <v>1</v>
      </c>
      <c r="U69" s="1">
        <v>0.75590544999999998</v>
      </c>
      <c r="V69">
        <v>1</v>
      </c>
    </row>
    <row r="70" spans="1:22">
      <c r="A70" s="1">
        <v>1</v>
      </c>
      <c r="B70" s="1" t="s">
        <v>73</v>
      </c>
      <c r="C70" s="1">
        <v>1</v>
      </c>
      <c r="D70" s="33">
        <v>1</v>
      </c>
      <c r="E70" s="33">
        <v>1</v>
      </c>
      <c r="F70" s="33">
        <v>1</v>
      </c>
      <c r="G70">
        <v>0.96009969699999997</v>
      </c>
      <c r="H70">
        <f t="shared" si="8"/>
        <v>1</v>
      </c>
      <c r="I70">
        <v>0.99981862306594804</v>
      </c>
      <c r="J70">
        <f t="shared" si="9"/>
        <v>1</v>
      </c>
      <c r="K70">
        <v>0.99907910823821999</v>
      </c>
      <c r="L70">
        <f t="shared" si="10"/>
        <v>1</v>
      </c>
      <c r="M70">
        <v>0.999498844</v>
      </c>
      <c r="N70">
        <f t="shared" si="10"/>
        <v>1</v>
      </c>
      <c r="O70">
        <v>0.99484574794769298</v>
      </c>
      <c r="P70">
        <f t="shared" si="10"/>
        <v>1</v>
      </c>
      <c r="Q70">
        <v>0.89357197300000002</v>
      </c>
      <c r="R70">
        <f t="shared" si="10"/>
        <v>1</v>
      </c>
      <c r="S70">
        <v>0.99369883537292503</v>
      </c>
      <c r="T70">
        <f t="shared" si="11"/>
        <v>1</v>
      </c>
      <c r="U70" s="1">
        <v>0.74641716000000002</v>
      </c>
      <c r="V70">
        <v>1</v>
      </c>
    </row>
    <row r="71" spans="1:22">
      <c r="A71" s="1">
        <v>1</v>
      </c>
      <c r="B71" s="1" t="s">
        <v>75</v>
      </c>
      <c r="C71" s="1">
        <v>1</v>
      </c>
      <c r="D71" s="33">
        <v>1</v>
      </c>
      <c r="E71" s="34">
        <v>1</v>
      </c>
      <c r="F71" s="33">
        <v>1</v>
      </c>
      <c r="G71">
        <v>0.96152067200000002</v>
      </c>
      <c r="H71">
        <f t="shared" si="8"/>
        <v>1</v>
      </c>
      <c r="I71">
        <v>0.99221825599670399</v>
      </c>
      <c r="J71">
        <f t="shared" si="9"/>
        <v>1</v>
      </c>
      <c r="K71">
        <v>0.95867222547531095</v>
      </c>
      <c r="L71">
        <f t="shared" si="10"/>
        <v>1</v>
      </c>
      <c r="M71">
        <v>0.97275811400000001</v>
      </c>
      <c r="N71">
        <f t="shared" si="10"/>
        <v>1</v>
      </c>
      <c r="O71">
        <v>0.99935990571975697</v>
      </c>
      <c r="P71">
        <f t="shared" si="10"/>
        <v>1</v>
      </c>
      <c r="Q71">
        <v>0.50341218700000001</v>
      </c>
      <c r="R71">
        <f t="shared" si="10"/>
        <v>1</v>
      </c>
      <c r="S71">
        <v>0.99746608734130904</v>
      </c>
      <c r="T71">
        <f t="shared" si="11"/>
        <v>1</v>
      </c>
      <c r="U71" s="1">
        <v>0.77418529999999997</v>
      </c>
      <c r="V71">
        <v>1</v>
      </c>
    </row>
    <row r="72" spans="1:22">
      <c r="A72" s="1">
        <v>1</v>
      </c>
      <c r="B72" s="1" t="s">
        <v>76</v>
      </c>
      <c r="C72" s="1">
        <v>1</v>
      </c>
      <c r="D72" s="33">
        <v>1</v>
      </c>
      <c r="E72" s="33">
        <v>1</v>
      </c>
      <c r="F72" s="33">
        <v>1</v>
      </c>
      <c r="G72">
        <v>0.71828061300000001</v>
      </c>
      <c r="H72">
        <f t="shared" si="8"/>
        <v>1</v>
      </c>
      <c r="I72">
        <v>0.82798326015472401</v>
      </c>
      <c r="J72">
        <f t="shared" si="9"/>
        <v>1</v>
      </c>
      <c r="K72">
        <v>0.74667507410049405</v>
      </c>
      <c r="L72">
        <f t="shared" si="10"/>
        <v>1</v>
      </c>
      <c r="M72">
        <v>0.94163477399999995</v>
      </c>
      <c r="N72">
        <f t="shared" si="10"/>
        <v>1</v>
      </c>
      <c r="O72">
        <v>0.98927593231201205</v>
      </c>
      <c r="P72">
        <f t="shared" si="10"/>
        <v>1</v>
      </c>
      <c r="Q72">
        <v>0.52306985900000003</v>
      </c>
      <c r="R72">
        <f t="shared" si="10"/>
        <v>1</v>
      </c>
      <c r="S72">
        <v>0.90709358453750599</v>
      </c>
      <c r="T72">
        <f t="shared" si="11"/>
        <v>1</v>
      </c>
      <c r="U72" s="1">
        <v>0.58033299999999999</v>
      </c>
      <c r="V72">
        <v>0</v>
      </c>
    </row>
    <row r="73" spans="1:22">
      <c r="A73" s="1">
        <v>1</v>
      </c>
      <c r="B73" s="1" t="s">
        <v>77</v>
      </c>
      <c r="C73" s="1">
        <v>1</v>
      </c>
      <c r="D73" s="33">
        <v>1</v>
      </c>
      <c r="E73" s="33">
        <v>1</v>
      </c>
      <c r="F73" s="33">
        <v>1</v>
      </c>
      <c r="G73">
        <v>0.95899867999999999</v>
      </c>
      <c r="H73">
        <f t="shared" si="8"/>
        <v>1</v>
      </c>
      <c r="I73">
        <v>0.99999952316284202</v>
      </c>
      <c r="J73">
        <f t="shared" si="9"/>
        <v>1</v>
      </c>
      <c r="K73">
        <v>0.99999666213989302</v>
      </c>
      <c r="L73">
        <f t="shared" si="10"/>
        <v>1</v>
      </c>
      <c r="M73">
        <v>1</v>
      </c>
      <c r="N73">
        <f t="shared" si="10"/>
        <v>1</v>
      </c>
      <c r="O73">
        <v>0.99999988079071001</v>
      </c>
      <c r="P73">
        <f t="shared" si="10"/>
        <v>1</v>
      </c>
      <c r="Q73">
        <v>0.92819863599999997</v>
      </c>
      <c r="R73">
        <f t="shared" si="10"/>
        <v>1</v>
      </c>
      <c r="S73">
        <v>0.99962878227233898</v>
      </c>
      <c r="T73">
        <f t="shared" si="11"/>
        <v>1</v>
      </c>
      <c r="U73" s="1">
        <v>0.78842734999999997</v>
      </c>
      <c r="V73">
        <v>1</v>
      </c>
    </row>
    <row r="74" spans="1:22">
      <c r="A74" s="1">
        <v>1</v>
      </c>
      <c r="B74" s="1" t="s">
        <v>553</v>
      </c>
      <c r="C74" s="1">
        <v>1</v>
      </c>
      <c r="D74" s="33">
        <v>1</v>
      </c>
      <c r="E74" s="34">
        <v>0</v>
      </c>
      <c r="F74" s="33">
        <v>1</v>
      </c>
      <c r="G74" s="30">
        <v>0.82723426799999999</v>
      </c>
      <c r="H74">
        <f t="shared" si="8"/>
        <v>1</v>
      </c>
      <c r="I74">
        <v>0.95355474948883101</v>
      </c>
      <c r="J74">
        <f t="shared" si="9"/>
        <v>1</v>
      </c>
      <c r="K74">
        <v>0.77580910921096802</v>
      </c>
      <c r="L74">
        <f t="shared" si="10"/>
        <v>1</v>
      </c>
      <c r="M74" s="30">
        <v>0.60802978299999999</v>
      </c>
      <c r="N74">
        <f t="shared" si="10"/>
        <v>1</v>
      </c>
      <c r="O74">
        <v>0.96171951293945301</v>
      </c>
      <c r="P74">
        <f t="shared" si="10"/>
        <v>1</v>
      </c>
      <c r="Q74">
        <v>0.52962541600000002</v>
      </c>
      <c r="R74">
        <f t="shared" si="10"/>
        <v>1</v>
      </c>
      <c r="S74">
        <v>0.57453185319900502</v>
      </c>
      <c r="T74">
        <f t="shared" si="11"/>
        <v>1</v>
      </c>
      <c r="U74" s="1">
        <v>0.73138320000000001</v>
      </c>
      <c r="V74">
        <v>1</v>
      </c>
    </row>
    <row r="75" spans="1:22">
      <c r="A75" s="1">
        <v>1</v>
      </c>
      <c r="B75" s="1" t="s">
        <v>554</v>
      </c>
      <c r="C75" s="1">
        <v>1</v>
      </c>
      <c r="D75" s="33">
        <v>0</v>
      </c>
      <c r="E75" s="34">
        <v>1</v>
      </c>
      <c r="F75" s="33">
        <v>1</v>
      </c>
      <c r="G75">
        <v>0.91988301299999997</v>
      </c>
      <c r="H75">
        <f t="shared" si="8"/>
        <v>1</v>
      </c>
      <c r="I75">
        <v>0.97949194908142101</v>
      </c>
      <c r="J75">
        <f t="shared" si="9"/>
        <v>1</v>
      </c>
      <c r="K75">
        <v>0.93361353874206499</v>
      </c>
      <c r="L75">
        <f t="shared" si="10"/>
        <v>1</v>
      </c>
      <c r="M75">
        <v>0.98426520799999995</v>
      </c>
      <c r="N75">
        <f t="shared" si="10"/>
        <v>1</v>
      </c>
      <c r="O75">
        <v>0.95267993211746205</v>
      </c>
      <c r="P75">
        <f t="shared" si="10"/>
        <v>1</v>
      </c>
      <c r="Q75">
        <v>0.63109022400000003</v>
      </c>
      <c r="R75">
        <f t="shared" si="10"/>
        <v>1</v>
      </c>
      <c r="S75">
        <v>0.97784900665283203</v>
      </c>
      <c r="T75">
        <f t="shared" si="11"/>
        <v>1</v>
      </c>
      <c r="U75" s="1">
        <v>0.6445246</v>
      </c>
      <c r="V75">
        <v>1</v>
      </c>
    </row>
    <row r="76" spans="1:22">
      <c r="A76" s="1">
        <v>1</v>
      </c>
      <c r="B76" s="1" t="s">
        <v>80</v>
      </c>
      <c r="C76" s="1">
        <v>1</v>
      </c>
      <c r="D76" s="33">
        <v>1</v>
      </c>
      <c r="E76" s="33">
        <v>1</v>
      </c>
      <c r="F76" s="33">
        <v>1</v>
      </c>
      <c r="G76">
        <v>0.87934929100000003</v>
      </c>
      <c r="H76">
        <f t="shared" si="8"/>
        <v>1</v>
      </c>
      <c r="I76">
        <v>0.84085768461227395</v>
      </c>
      <c r="J76">
        <f t="shared" si="9"/>
        <v>1</v>
      </c>
      <c r="K76">
        <v>0.43236985802650502</v>
      </c>
      <c r="L76">
        <f t="shared" si="10"/>
        <v>0</v>
      </c>
      <c r="M76">
        <v>0.99639350199999999</v>
      </c>
      <c r="N76">
        <f t="shared" si="10"/>
        <v>1</v>
      </c>
      <c r="O76">
        <v>0.65155410766601596</v>
      </c>
      <c r="P76">
        <f t="shared" si="10"/>
        <v>1</v>
      </c>
      <c r="Q76">
        <v>0.409403026</v>
      </c>
      <c r="R76">
        <f t="shared" si="10"/>
        <v>0</v>
      </c>
      <c r="S76">
        <v>0.97595280408859197</v>
      </c>
      <c r="T76">
        <f t="shared" si="11"/>
        <v>1</v>
      </c>
      <c r="U76" s="1">
        <v>0.65565709999999999</v>
      </c>
      <c r="V76">
        <v>1</v>
      </c>
    </row>
    <row r="77" spans="1:22">
      <c r="A77" s="1">
        <v>1</v>
      </c>
      <c r="B77" s="1" t="s">
        <v>82</v>
      </c>
      <c r="C77" s="1">
        <v>1</v>
      </c>
      <c r="D77" s="33">
        <v>1</v>
      </c>
      <c r="E77" s="33">
        <v>1</v>
      </c>
      <c r="F77" s="33">
        <v>1</v>
      </c>
      <c r="G77">
        <v>0.95989251099999995</v>
      </c>
      <c r="H77">
        <f t="shared" si="8"/>
        <v>1</v>
      </c>
      <c r="I77">
        <v>0.99510806798934903</v>
      </c>
      <c r="J77">
        <f t="shared" si="9"/>
        <v>1</v>
      </c>
      <c r="K77">
        <v>0.99803644418716397</v>
      </c>
      <c r="L77">
        <f t="shared" si="10"/>
        <v>1</v>
      </c>
      <c r="M77">
        <v>0.99923837199999999</v>
      </c>
      <c r="N77">
        <f t="shared" si="10"/>
        <v>1</v>
      </c>
      <c r="O77">
        <v>0.99705851078033403</v>
      </c>
      <c r="P77">
        <f t="shared" si="10"/>
        <v>1</v>
      </c>
      <c r="Q77">
        <v>0.87888550799999998</v>
      </c>
      <c r="R77">
        <f t="shared" si="10"/>
        <v>1</v>
      </c>
      <c r="S77">
        <v>0.99855536222457897</v>
      </c>
      <c r="T77">
        <f t="shared" si="11"/>
        <v>1</v>
      </c>
      <c r="U77" s="1">
        <v>0.76701874000000003</v>
      </c>
      <c r="V77">
        <v>1</v>
      </c>
    </row>
    <row r="78" spans="1:22">
      <c r="A78" s="1">
        <v>1</v>
      </c>
      <c r="B78" s="1" t="s">
        <v>83</v>
      </c>
      <c r="C78" s="1">
        <v>1</v>
      </c>
      <c r="D78" s="33">
        <v>1</v>
      </c>
      <c r="E78" s="33">
        <v>1</v>
      </c>
      <c r="F78" s="33">
        <v>1</v>
      </c>
      <c r="G78">
        <v>0.96155458699999996</v>
      </c>
      <c r="H78">
        <f t="shared" si="8"/>
        <v>1</v>
      </c>
      <c r="I78">
        <v>0.99917393922805797</v>
      </c>
      <c r="J78">
        <f t="shared" si="9"/>
        <v>1</v>
      </c>
      <c r="K78">
        <v>0.98752403259277299</v>
      </c>
      <c r="L78">
        <f t="shared" si="10"/>
        <v>1</v>
      </c>
      <c r="M78">
        <v>0.99656277900000001</v>
      </c>
      <c r="N78">
        <f t="shared" si="10"/>
        <v>1</v>
      </c>
      <c r="O78">
        <v>0.99998211860656705</v>
      </c>
      <c r="P78">
        <f t="shared" si="10"/>
        <v>1</v>
      </c>
      <c r="Q78">
        <v>0.80510062000000004</v>
      </c>
      <c r="R78">
        <f t="shared" si="10"/>
        <v>1</v>
      </c>
      <c r="S78">
        <v>0.99339687824249301</v>
      </c>
      <c r="T78">
        <f t="shared" si="11"/>
        <v>1</v>
      </c>
      <c r="U78" s="1">
        <v>0.7693411</v>
      </c>
      <c r="V78">
        <v>1</v>
      </c>
    </row>
    <row r="79" spans="1:22">
      <c r="A79" s="1">
        <v>1</v>
      </c>
      <c r="B79" s="1" t="s">
        <v>84</v>
      </c>
      <c r="C79" s="1">
        <v>1</v>
      </c>
      <c r="D79" s="33">
        <v>1</v>
      </c>
      <c r="E79" s="33">
        <v>1</v>
      </c>
      <c r="F79" s="33">
        <v>1</v>
      </c>
      <c r="G79">
        <v>0.92727613399999997</v>
      </c>
      <c r="H79">
        <f t="shared" si="8"/>
        <v>1</v>
      </c>
      <c r="I79">
        <v>0.91380399465560902</v>
      </c>
      <c r="J79">
        <f t="shared" si="9"/>
        <v>1</v>
      </c>
      <c r="K79">
        <v>0.43171599507331898</v>
      </c>
      <c r="L79">
        <f t="shared" si="10"/>
        <v>0</v>
      </c>
      <c r="M79">
        <v>0.57419186799999999</v>
      </c>
      <c r="N79">
        <f t="shared" si="10"/>
        <v>1</v>
      </c>
      <c r="O79">
        <v>0.96718865633010798</v>
      </c>
      <c r="P79">
        <f t="shared" si="10"/>
        <v>1</v>
      </c>
      <c r="Q79">
        <v>0.51769143299999998</v>
      </c>
      <c r="R79">
        <f t="shared" si="10"/>
        <v>1</v>
      </c>
      <c r="S79">
        <v>0.60025811195373502</v>
      </c>
      <c r="T79">
        <f t="shared" si="11"/>
        <v>1</v>
      </c>
      <c r="U79" s="1">
        <v>0.67439039999999995</v>
      </c>
      <c r="V79">
        <v>1</v>
      </c>
    </row>
    <row r="80" spans="1:22">
      <c r="A80" s="1">
        <v>1</v>
      </c>
      <c r="B80" s="1" t="s">
        <v>85</v>
      </c>
      <c r="C80" s="1">
        <v>1</v>
      </c>
      <c r="D80" s="33">
        <v>1</v>
      </c>
      <c r="E80" s="33">
        <v>1</v>
      </c>
      <c r="F80" s="33">
        <v>1</v>
      </c>
      <c r="G80">
        <v>0.96849924300000001</v>
      </c>
      <c r="H80">
        <f t="shared" si="8"/>
        <v>1</v>
      </c>
      <c r="I80">
        <v>0.99933630228042603</v>
      </c>
      <c r="J80">
        <f t="shared" si="9"/>
        <v>1</v>
      </c>
      <c r="K80">
        <v>0.95642679929733299</v>
      </c>
      <c r="L80">
        <f t="shared" si="10"/>
        <v>1</v>
      </c>
      <c r="M80" s="30">
        <v>0.99987411500000001</v>
      </c>
      <c r="N80">
        <f t="shared" si="10"/>
        <v>1</v>
      </c>
      <c r="O80">
        <v>0.99998021125793501</v>
      </c>
      <c r="P80">
        <f t="shared" si="10"/>
        <v>1</v>
      </c>
      <c r="Q80">
        <v>0.78453326199999995</v>
      </c>
      <c r="R80">
        <f t="shared" si="10"/>
        <v>1</v>
      </c>
      <c r="S80">
        <v>0.996890008449554</v>
      </c>
      <c r="T80">
        <f t="shared" si="11"/>
        <v>1</v>
      </c>
      <c r="U80" s="1">
        <v>0.73549454999999997</v>
      </c>
      <c r="V80">
        <v>1</v>
      </c>
    </row>
    <row r="81" spans="1:22">
      <c r="A81" s="1">
        <v>1</v>
      </c>
      <c r="B81" s="1" t="s">
        <v>544</v>
      </c>
      <c r="C81" s="1">
        <v>1</v>
      </c>
      <c r="D81" s="33">
        <v>1</v>
      </c>
      <c r="E81" s="33">
        <v>1</v>
      </c>
      <c r="F81" s="33">
        <v>1</v>
      </c>
      <c r="G81">
        <v>0.411835909</v>
      </c>
      <c r="H81">
        <f t="shared" si="8"/>
        <v>0</v>
      </c>
      <c r="I81">
        <v>8.4037601947785007E-2</v>
      </c>
      <c r="J81">
        <f t="shared" si="9"/>
        <v>0</v>
      </c>
      <c r="K81">
        <v>6.9296225905417994E-2</v>
      </c>
      <c r="L81">
        <f t="shared" si="10"/>
        <v>0</v>
      </c>
      <c r="M81">
        <v>4.952525E-2</v>
      </c>
      <c r="N81">
        <f t="shared" si="10"/>
        <v>0</v>
      </c>
      <c r="O81">
        <v>6.2958031892777003E-2</v>
      </c>
      <c r="P81">
        <f t="shared" si="10"/>
        <v>0</v>
      </c>
      <c r="Q81">
        <v>0.142041892</v>
      </c>
      <c r="R81">
        <f t="shared" ref="R81:R105" si="12">IF(Q81&gt;$A$2,1,0)</f>
        <v>0</v>
      </c>
      <c r="S81">
        <v>6.0616418719291999E-2</v>
      </c>
      <c r="T81">
        <f>IF(S81&gt;$A$2,1,0)</f>
        <v>0</v>
      </c>
      <c r="U81" s="1">
        <v>0.45666760000000001</v>
      </c>
      <c r="V81">
        <v>0</v>
      </c>
    </row>
    <row r="82" spans="1:22">
      <c r="A82" s="1">
        <v>1</v>
      </c>
      <c r="B82" s="1" t="s">
        <v>87</v>
      </c>
      <c r="C82" s="1">
        <v>1</v>
      </c>
      <c r="D82" s="33">
        <v>1</v>
      </c>
      <c r="E82" s="33">
        <v>1</v>
      </c>
      <c r="F82" s="33">
        <v>1</v>
      </c>
      <c r="G82">
        <v>0.59571760900000004</v>
      </c>
      <c r="H82">
        <f t="shared" ref="H82:H141" si="13">IF(G82&gt;$A$2,1,0)</f>
        <v>1</v>
      </c>
      <c r="I82">
        <v>0.35911685228347801</v>
      </c>
      <c r="J82">
        <f t="shared" ref="J82:J141" si="14">IF(I82&gt;$A$2,1,0)</f>
        <v>0</v>
      </c>
      <c r="K82">
        <v>0.50428867340087902</v>
      </c>
      <c r="L82">
        <f t="shared" ref="L82:L105" si="15">IF(K82&gt;$A$2,1,0)</f>
        <v>1</v>
      </c>
      <c r="M82">
        <v>0.74773383100000002</v>
      </c>
      <c r="N82">
        <f t="shared" ref="N82:N105" si="16">IF(M82&gt;$A$2,1,0)</f>
        <v>1</v>
      </c>
      <c r="O82">
        <v>0.198225483298302</v>
      </c>
      <c r="P82">
        <f t="shared" ref="P82:P105" si="17">IF(O82&gt;$A$2,1,0)</f>
        <v>0</v>
      </c>
      <c r="Q82">
        <v>0.34535431900000002</v>
      </c>
      <c r="R82">
        <f t="shared" si="12"/>
        <v>0</v>
      </c>
      <c r="S82">
        <v>0.28775072097778298</v>
      </c>
      <c r="T82">
        <f>IF(S82&gt;$A$2,1,0)</f>
        <v>0</v>
      </c>
      <c r="U82" s="1">
        <v>0.51542399999999999</v>
      </c>
      <c r="V82">
        <v>0</v>
      </c>
    </row>
    <row r="83" spans="1:22">
      <c r="A83" s="1">
        <v>1</v>
      </c>
      <c r="B83" s="5" t="s">
        <v>88</v>
      </c>
      <c r="C83" s="1">
        <v>1</v>
      </c>
      <c r="D83" s="33">
        <v>1</v>
      </c>
      <c r="E83" s="34">
        <v>0</v>
      </c>
      <c r="F83" s="33">
        <v>1</v>
      </c>
      <c r="G83">
        <v>0.72893416899999997</v>
      </c>
      <c r="H83">
        <f t="shared" si="13"/>
        <v>1</v>
      </c>
      <c r="I83">
        <v>0.96740883588790905</v>
      </c>
      <c r="J83">
        <f t="shared" si="14"/>
        <v>1</v>
      </c>
      <c r="K83">
        <v>0.36976367235183699</v>
      </c>
      <c r="L83">
        <f t="shared" si="15"/>
        <v>0</v>
      </c>
      <c r="M83">
        <v>0.18998657199999999</v>
      </c>
      <c r="N83">
        <f t="shared" si="16"/>
        <v>0</v>
      </c>
      <c r="O83">
        <v>0.67938637733459495</v>
      </c>
      <c r="P83">
        <f t="shared" si="17"/>
        <v>1</v>
      </c>
      <c r="Q83">
        <v>0.65061539400000001</v>
      </c>
      <c r="R83">
        <f t="shared" si="12"/>
        <v>1</v>
      </c>
      <c r="S83">
        <v>0.76659154891967796</v>
      </c>
      <c r="T83">
        <f>IF(S83&gt;$A$2,1,0)</f>
        <v>1</v>
      </c>
      <c r="U83" s="1">
        <v>0.77506584000000001</v>
      </c>
      <c r="V83">
        <v>1</v>
      </c>
    </row>
    <row r="84" spans="1:22">
      <c r="A84" s="1">
        <v>1</v>
      </c>
      <c r="B84" s="1" t="s">
        <v>89</v>
      </c>
      <c r="C84" s="1">
        <v>1</v>
      </c>
      <c r="D84" s="33">
        <v>1</v>
      </c>
      <c r="E84" s="33">
        <v>1</v>
      </c>
      <c r="F84" s="33">
        <v>1</v>
      </c>
      <c r="G84">
        <v>0.78670287100000003</v>
      </c>
      <c r="H84">
        <f t="shared" si="13"/>
        <v>1</v>
      </c>
      <c r="I84">
        <v>0.96242845058441195</v>
      </c>
      <c r="J84">
        <f t="shared" si="14"/>
        <v>1</v>
      </c>
      <c r="K84">
        <v>0.436273694038391</v>
      </c>
      <c r="L84">
        <f t="shared" si="15"/>
        <v>0</v>
      </c>
      <c r="M84">
        <v>0.67295479800000002</v>
      </c>
      <c r="N84">
        <f t="shared" si="16"/>
        <v>1</v>
      </c>
      <c r="O84">
        <v>0.102612249553204</v>
      </c>
      <c r="P84">
        <f t="shared" si="17"/>
        <v>0</v>
      </c>
      <c r="Q84">
        <v>0.80057561399999999</v>
      </c>
      <c r="R84">
        <f t="shared" si="12"/>
        <v>1</v>
      </c>
      <c r="S84">
        <v>0.13014172017574299</v>
      </c>
      <c r="T84">
        <f t="shared" ref="T84:T141" si="18">IF(S84&gt;$A$2,1,0)</f>
        <v>0</v>
      </c>
      <c r="U84" s="1">
        <v>0.73872477000000003</v>
      </c>
      <c r="V84">
        <v>1</v>
      </c>
    </row>
    <row r="85" spans="1:22">
      <c r="A85" s="1">
        <v>1</v>
      </c>
      <c r="B85" s="1" t="s">
        <v>90</v>
      </c>
      <c r="C85" s="1">
        <v>1</v>
      </c>
      <c r="D85" s="33">
        <v>1</v>
      </c>
      <c r="E85" s="33">
        <v>1</v>
      </c>
      <c r="F85" s="33">
        <v>1</v>
      </c>
      <c r="G85">
        <v>0.96071731999999999</v>
      </c>
      <c r="H85">
        <f t="shared" si="13"/>
        <v>1</v>
      </c>
      <c r="I85">
        <v>0.99998700618743896</v>
      </c>
      <c r="J85">
        <f t="shared" si="14"/>
        <v>1</v>
      </c>
      <c r="K85">
        <v>0.98635208606720004</v>
      </c>
      <c r="L85">
        <f t="shared" si="15"/>
        <v>1</v>
      </c>
      <c r="M85">
        <v>0.97790366399999995</v>
      </c>
      <c r="N85">
        <f t="shared" si="16"/>
        <v>1</v>
      </c>
      <c r="O85">
        <v>0.99983680248260498</v>
      </c>
      <c r="P85">
        <f t="shared" si="17"/>
        <v>1</v>
      </c>
      <c r="Q85">
        <v>0.85031056400000005</v>
      </c>
      <c r="R85">
        <f t="shared" si="12"/>
        <v>1</v>
      </c>
      <c r="S85">
        <v>0.99877899885177601</v>
      </c>
      <c r="T85">
        <f t="shared" si="18"/>
        <v>1</v>
      </c>
      <c r="U85" s="1">
        <v>0.77574659999999995</v>
      </c>
      <c r="V85">
        <v>1</v>
      </c>
    </row>
    <row r="86" spans="1:22">
      <c r="A86" s="1">
        <v>1</v>
      </c>
      <c r="B86" s="1" t="s">
        <v>91</v>
      </c>
      <c r="C86" s="1">
        <v>1</v>
      </c>
      <c r="D86" s="33">
        <v>1</v>
      </c>
      <c r="E86" s="33">
        <v>1</v>
      </c>
      <c r="F86" s="33">
        <v>1</v>
      </c>
      <c r="G86">
        <v>0.96285748500000001</v>
      </c>
      <c r="H86">
        <f t="shared" si="13"/>
        <v>1</v>
      </c>
      <c r="I86">
        <v>0.99850022792816195</v>
      </c>
      <c r="J86">
        <f t="shared" si="14"/>
        <v>1</v>
      </c>
      <c r="K86">
        <v>0.99973553419113204</v>
      </c>
      <c r="L86">
        <f t="shared" si="15"/>
        <v>1</v>
      </c>
      <c r="M86">
        <v>0.99999988100000003</v>
      </c>
      <c r="N86">
        <f t="shared" si="16"/>
        <v>1</v>
      </c>
      <c r="O86">
        <v>0.998634994029999</v>
      </c>
      <c r="P86">
        <f t="shared" si="17"/>
        <v>1</v>
      </c>
      <c r="Q86">
        <v>0.89119452200000004</v>
      </c>
      <c r="R86">
        <f t="shared" si="12"/>
        <v>1</v>
      </c>
      <c r="S86">
        <v>0.99997961521148704</v>
      </c>
      <c r="T86">
        <f t="shared" si="18"/>
        <v>1</v>
      </c>
      <c r="U86" s="1">
        <v>0.77767085999999996</v>
      </c>
      <c r="V86">
        <v>1</v>
      </c>
    </row>
    <row r="87" spans="1:22">
      <c r="A87" s="1">
        <v>1</v>
      </c>
      <c r="B87" s="1" t="s">
        <v>92</v>
      </c>
      <c r="C87" s="1">
        <v>1</v>
      </c>
      <c r="D87" s="33">
        <v>1</v>
      </c>
      <c r="E87" s="33">
        <v>1</v>
      </c>
      <c r="F87" s="33">
        <v>1</v>
      </c>
      <c r="G87">
        <v>0.97233486199999997</v>
      </c>
      <c r="H87">
        <f t="shared" si="13"/>
        <v>1</v>
      </c>
      <c r="I87">
        <v>0.99864786863327004</v>
      </c>
      <c r="J87">
        <f t="shared" si="14"/>
        <v>1</v>
      </c>
      <c r="K87">
        <v>0.97225189208984397</v>
      </c>
      <c r="L87">
        <f t="shared" si="15"/>
        <v>1</v>
      </c>
      <c r="M87">
        <v>0.99577563999999996</v>
      </c>
      <c r="N87">
        <f t="shared" si="16"/>
        <v>1</v>
      </c>
      <c r="O87">
        <v>0.99899333715438798</v>
      </c>
      <c r="P87">
        <f t="shared" si="17"/>
        <v>1</v>
      </c>
      <c r="Q87">
        <v>0.81875664000000004</v>
      </c>
      <c r="R87">
        <f t="shared" si="12"/>
        <v>1</v>
      </c>
      <c r="S87">
        <v>0.99080675840377797</v>
      </c>
      <c r="T87">
        <f t="shared" si="18"/>
        <v>1</v>
      </c>
      <c r="U87" s="1">
        <v>0.72981775000000004</v>
      </c>
      <c r="V87">
        <v>1</v>
      </c>
    </row>
    <row r="88" spans="1:22">
      <c r="A88" s="1">
        <v>1</v>
      </c>
      <c r="B88" s="1" t="s">
        <v>93</v>
      </c>
      <c r="C88" s="1">
        <v>1</v>
      </c>
      <c r="D88" s="33">
        <v>1</v>
      </c>
      <c r="E88" s="33">
        <v>1</v>
      </c>
      <c r="F88" s="33">
        <v>1</v>
      </c>
      <c r="G88">
        <v>0.965305686</v>
      </c>
      <c r="H88">
        <f t="shared" si="13"/>
        <v>1</v>
      </c>
      <c r="I88">
        <v>0.99877995252609197</v>
      </c>
      <c r="J88">
        <f t="shared" si="14"/>
        <v>1</v>
      </c>
      <c r="K88">
        <v>0.99585884809493996</v>
      </c>
      <c r="L88">
        <f t="shared" si="15"/>
        <v>1</v>
      </c>
      <c r="M88">
        <v>0.99875688600000001</v>
      </c>
      <c r="N88">
        <f t="shared" si="16"/>
        <v>1</v>
      </c>
      <c r="O88">
        <v>0.99986207485198897</v>
      </c>
      <c r="P88">
        <f t="shared" si="17"/>
        <v>1</v>
      </c>
      <c r="Q88">
        <v>0.829523444</v>
      </c>
      <c r="R88">
        <f t="shared" si="12"/>
        <v>1</v>
      </c>
      <c r="S88">
        <v>0.72706359624862704</v>
      </c>
      <c r="T88">
        <f t="shared" si="18"/>
        <v>1</v>
      </c>
      <c r="U88" s="1">
        <v>0.76708929999999997</v>
      </c>
      <c r="V88">
        <v>1</v>
      </c>
    </row>
    <row r="89" spans="1:22">
      <c r="A89" s="1">
        <v>1</v>
      </c>
      <c r="B89" s="1" t="s">
        <v>94</v>
      </c>
      <c r="C89" s="1">
        <v>1</v>
      </c>
      <c r="D89" s="33">
        <v>1</v>
      </c>
      <c r="E89" s="33">
        <v>1</v>
      </c>
      <c r="F89" s="33">
        <v>1</v>
      </c>
      <c r="G89">
        <v>0.90490353099999998</v>
      </c>
      <c r="H89">
        <f t="shared" si="13"/>
        <v>1</v>
      </c>
      <c r="I89">
        <v>0.99999988079071001</v>
      </c>
      <c r="J89">
        <f t="shared" si="14"/>
        <v>1</v>
      </c>
      <c r="K89">
        <v>0.99478405714035001</v>
      </c>
      <c r="L89">
        <f t="shared" si="15"/>
        <v>1</v>
      </c>
      <c r="M89" s="30">
        <v>0.94715756200000001</v>
      </c>
      <c r="N89">
        <f t="shared" si="16"/>
        <v>1</v>
      </c>
      <c r="O89">
        <v>0.99999511241912797</v>
      </c>
      <c r="P89">
        <f t="shared" si="17"/>
        <v>1</v>
      </c>
      <c r="Q89">
        <v>0.90015363699999995</v>
      </c>
      <c r="R89">
        <f t="shared" si="12"/>
        <v>1</v>
      </c>
      <c r="S89">
        <v>0.98427802324295</v>
      </c>
      <c r="T89">
        <f t="shared" si="18"/>
        <v>1</v>
      </c>
      <c r="U89" s="1">
        <v>0.79336876000000001</v>
      </c>
      <c r="V89">
        <v>1</v>
      </c>
    </row>
    <row r="90" spans="1:22">
      <c r="A90" s="1">
        <v>1</v>
      </c>
      <c r="B90" s="1" t="s">
        <v>95</v>
      </c>
      <c r="C90" s="1">
        <v>1</v>
      </c>
      <c r="D90" s="33">
        <v>1</v>
      </c>
      <c r="E90" s="33">
        <v>1</v>
      </c>
      <c r="F90" s="33">
        <v>1</v>
      </c>
      <c r="G90">
        <v>0.93761545400000001</v>
      </c>
      <c r="H90">
        <f t="shared" si="13"/>
        <v>1</v>
      </c>
      <c r="I90">
        <v>0.99998784065246604</v>
      </c>
      <c r="J90">
        <f t="shared" si="14"/>
        <v>1</v>
      </c>
      <c r="K90">
        <v>0.95749509334564198</v>
      </c>
      <c r="L90">
        <f t="shared" si="15"/>
        <v>1</v>
      </c>
      <c r="M90">
        <v>0.95277827999999998</v>
      </c>
      <c r="N90">
        <f t="shared" si="16"/>
        <v>1</v>
      </c>
      <c r="O90">
        <v>0.99980455636978205</v>
      </c>
      <c r="P90">
        <f t="shared" si="17"/>
        <v>1</v>
      </c>
      <c r="Q90">
        <v>0.78138959399999997</v>
      </c>
      <c r="R90">
        <f t="shared" si="12"/>
        <v>1</v>
      </c>
      <c r="S90">
        <v>0.98121958971023604</v>
      </c>
      <c r="T90">
        <f t="shared" si="18"/>
        <v>1</v>
      </c>
      <c r="U90" s="1">
        <v>0.76771425999999998</v>
      </c>
      <c r="V90">
        <v>1</v>
      </c>
    </row>
    <row r="91" spans="1:22">
      <c r="A91" s="1">
        <v>1</v>
      </c>
      <c r="B91" s="1" t="s">
        <v>96</v>
      </c>
      <c r="C91" s="1">
        <v>1</v>
      </c>
      <c r="D91" s="33">
        <v>1</v>
      </c>
      <c r="E91" s="33">
        <v>1</v>
      </c>
      <c r="F91" s="33">
        <v>1</v>
      </c>
      <c r="G91">
        <v>0.94553768599999999</v>
      </c>
      <c r="H91">
        <f t="shared" si="13"/>
        <v>1</v>
      </c>
      <c r="I91">
        <v>0.99871063232421897</v>
      </c>
      <c r="J91">
        <f t="shared" si="14"/>
        <v>1</v>
      </c>
      <c r="K91">
        <v>0.97774803638458196</v>
      </c>
      <c r="L91">
        <f t="shared" si="15"/>
        <v>1</v>
      </c>
      <c r="M91">
        <v>0.96074670600000001</v>
      </c>
      <c r="N91">
        <f t="shared" si="16"/>
        <v>1</v>
      </c>
      <c r="O91">
        <v>0.98615449666976895</v>
      </c>
      <c r="P91">
        <f t="shared" si="17"/>
        <v>1</v>
      </c>
      <c r="Q91">
        <v>0.45492902400000002</v>
      </c>
      <c r="R91">
        <f t="shared" si="12"/>
        <v>0</v>
      </c>
      <c r="S91">
        <v>0.98442286252975397</v>
      </c>
      <c r="T91">
        <f t="shared" si="18"/>
        <v>1</v>
      </c>
      <c r="U91" s="1">
        <v>0.73318136</v>
      </c>
      <c r="V91">
        <v>1</v>
      </c>
    </row>
    <row r="92" spans="1:22">
      <c r="A92" s="1">
        <v>1</v>
      </c>
      <c r="B92" s="1" t="s">
        <v>97</v>
      </c>
      <c r="C92" s="1">
        <v>1</v>
      </c>
      <c r="D92" s="33">
        <v>1</v>
      </c>
      <c r="E92" s="33">
        <v>1</v>
      </c>
      <c r="F92" s="33">
        <v>1</v>
      </c>
      <c r="G92">
        <v>0.965146422</v>
      </c>
      <c r="H92">
        <f t="shared" si="13"/>
        <v>1</v>
      </c>
      <c r="I92">
        <v>0.99893110990524303</v>
      </c>
      <c r="J92">
        <f t="shared" si="14"/>
        <v>1</v>
      </c>
      <c r="K92">
        <v>0.98324155807495095</v>
      </c>
      <c r="L92">
        <f t="shared" si="15"/>
        <v>1</v>
      </c>
      <c r="M92" s="30">
        <v>0.99870979800000004</v>
      </c>
      <c r="N92">
        <f t="shared" si="16"/>
        <v>1</v>
      </c>
      <c r="O92">
        <v>0.99819773435592596</v>
      </c>
      <c r="P92">
        <f t="shared" si="17"/>
        <v>1</v>
      </c>
      <c r="Q92">
        <v>0.838037908</v>
      </c>
      <c r="R92">
        <f t="shared" si="12"/>
        <v>1</v>
      </c>
      <c r="S92">
        <v>0.98616504669189398</v>
      </c>
      <c r="T92">
        <f t="shared" si="18"/>
        <v>1</v>
      </c>
      <c r="U92" s="1">
        <v>0.77221439999999997</v>
      </c>
      <c r="V92">
        <v>1</v>
      </c>
    </row>
    <row r="93" spans="1:22">
      <c r="A93" s="1">
        <v>1</v>
      </c>
      <c r="B93" s="1" t="s">
        <v>98</v>
      </c>
      <c r="C93" s="1">
        <v>1</v>
      </c>
      <c r="D93" s="33">
        <v>1</v>
      </c>
      <c r="E93" s="33">
        <v>1</v>
      </c>
      <c r="F93" s="33">
        <v>1</v>
      </c>
      <c r="G93">
        <v>0.96745979800000004</v>
      </c>
      <c r="H93">
        <f t="shared" si="13"/>
        <v>1</v>
      </c>
      <c r="I93">
        <v>0.99971133470535301</v>
      </c>
      <c r="J93">
        <f t="shared" si="14"/>
        <v>1</v>
      </c>
      <c r="K93">
        <v>0.999983310699463</v>
      </c>
      <c r="L93">
        <f t="shared" si="15"/>
        <v>1</v>
      </c>
      <c r="M93">
        <v>1</v>
      </c>
      <c r="N93">
        <f t="shared" si="16"/>
        <v>1</v>
      </c>
      <c r="O93">
        <v>0.99988925457000699</v>
      </c>
      <c r="P93">
        <f t="shared" si="17"/>
        <v>1</v>
      </c>
      <c r="Q93">
        <v>0.878177702</v>
      </c>
      <c r="R93">
        <f t="shared" si="12"/>
        <v>1</v>
      </c>
      <c r="S93">
        <v>0.99998247623443604</v>
      </c>
      <c r="T93">
        <f t="shared" si="18"/>
        <v>1</v>
      </c>
      <c r="U93" s="1">
        <v>0.77528850000000005</v>
      </c>
      <c r="V93">
        <v>1</v>
      </c>
    </row>
    <row r="94" spans="1:22">
      <c r="A94" s="1">
        <v>1</v>
      </c>
      <c r="B94" s="1" t="s">
        <v>99</v>
      </c>
      <c r="C94" s="1">
        <v>1</v>
      </c>
      <c r="D94" s="33">
        <v>1</v>
      </c>
      <c r="E94" s="33">
        <v>1</v>
      </c>
      <c r="F94" s="33">
        <v>1</v>
      </c>
      <c r="G94">
        <v>0.96640187499999997</v>
      </c>
      <c r="H94">
        <f t="shared" si="13"/>
        <v>1</v>
      </c>
      <c r="I94">
        <v>0.99921238422393799</v>
      </c>
      <c r="J94">
        <f t="shared" si="14"/>
        <v>1</v>
      </c>
      <c r="K94">
        <v>0.99779736995696999</v>
      </c>
      <c r="L94">
        <f t="shared" si="15"/>
        <v>1</v>
      </c>
      <c r="M94" s="30">
        <v>0.99271303399999999</v>
      </c>
      <c r="N94">
        <f t="shared" si="16"/>
        <v>1</v>
      </c>
      <c r="O94">
        <v>0.99990117549896196</v>
      </c>
      <c r="P94">
        <f t="shared" si="17"/>
        <v>1</v>
      </c>
      <c r="Q94">
        <v>0.88832616799999997</v>
      </c>
      <c r="R94">
        <f t="shared" si="12"/>
        <v>1</v>
      </c>
      <c r="S94">
        <v>0.99999320507049605</v>
      </c>
      <c r="T94">
        <f t="shared" si="18"/>
        <v>1</v>
      </c>
      <c r="U94" s="1">
        <v>0.76498884</v>
      </c>
      <c r="V94">
        <v>1</v>
      </c>
    </row>
    <row r="95" spans="1:22">
      <c r="A95" s="1">
        <v>1</v>
      </c>
      <c r="B95" s="1" t="s">
        <v>100</v>
      </c>
      <c r="C95" s="1">
        <v>1</v>
      </c>
      <c r="D95" s="33">
        <v>1</v>
      </c>
      <c r="E95" s="33">
        <v>1</v>
      </c>
      <c r="F95" s="33">
        <v>1</v>
      </c>
      <c r="G95">
        <v>0.96214419600000001</v>
      </c>
      <c r="H95">
        <f t="shared" si="13"/>
        <v>1</v>
      </c>
      <c r="I95">
        <v>0.99992454051971402</v>
      </c>
      <c r="J95">
        <f t="shared" si="14"/>
        <v>1</v>
      </c>
      <c r="K95">
        <v>0.99993491172790505</v>
      </c>
      <c r="L95">
        <f t="shared" si="15"/>
        <v>1</v>
      </c>
      <c r="M95">
        <v>0.99995088600000004</v>
      </c>
      <c r="N95">
        <f t="shared" si="16"/>
        <v>1</v>
      </c>
      <c r="O95">
        <v>0.99996352195739702</v>
      </c>
      <c r="P95">
        <f t="shared" si="17"/>
        <v>1</v>
      </c>
      <c r="Q95">
        <v>0.87216711000000002</v>
      </c>
      <c r="R95">
        <f t="shared" si="12"/>
        <v>1</v>
      </c>
      <c r="S95">
        <v>0.99924904108047496</v>
      </c>
      <c r="T95">
        <f t="shared" si="18"/>
        <v>1</v>
      </c>
      <c r="U95" s="1">
        <v>0.75175404999999995</v>
      </c>
      <c r="V95">
        <v>1</v>
      </c>
    </row>
    <row r="96" spans="1:22">
      <c r="A96" s="1">
        <v>1</v>
      </c>
      <c r="B96" s="1" t="s">
        <v>101</v>
      </c>
      <c r="C96" s="1">
        <v>1</v>
      </c>
      <c r="D96" s="33">
        <v>0</v>
      </c>
      <c r="E96" s="33">
        <v>1</v>
      </c>
      <c r="F96" s="33">
        <v>1</v>
      </c>
      <c r="G96">
        <v>0.91987121100000002</v>
      </c>
      <c r="H96">
        <f t="shared" si="13"/>
        <v>1</v>
      </c>
      <c r="I96">
        <v>0.99999928474426303</v>
      </c>
      <c r="J96">
        <f t="shared" si="14"/>
        <v>1</v>
      </c>
      <c r="K96">
        <v>0.99851113557815596</v>
      </c>
      <c r="L96">
        <f t="shared" si="15"/>
        <v>1</v>
      </c>
      <c r="M96">
        <v>0.99891805600000005</v>
      </c>
      <c r="N96">
        <f t="shared" si="16"/>
        <v>1</v>
      </c>
      <c r="O96">
        <v>0.99989068508148204</v>
      </c>
      <c r="P96">
        <f t="shared" si="17"/>
        <v>1</v>
      </c>
      <c r="Q96">
        <v>0.88706994100000003</v>
      </c>
      <c r="R96">
        <f t="shared" si="12"/>
        <v>1</v>
      </c>
      <c r="S96">
        <v>0.94638317823410001</v>
      </c>
      <c r="T96">
        <f t="shared" si="18"/>
        <v>1</v>
      </c>
      <c r="U96" s="1">
        <v>0.78506047000000001</v>
      </c>
      <c r="V96">
        <v>1</v>
      </c>
    </row>
    <row r="97" spans="1:22">
      <c r="A97" s="1">
        <v>1</v>
      </c>
      <c r="B97" s="1" t="s">
        <v>102</v>
      </c>
      <c r="C97" s="1">
        <v>1</v>
      </c>
      <c r="D97" s="33">
        <v>1</v>
      </c>
      <c r="E97" s="33">
        <v>1</v>
      </c>
      <c r="F97" s="33">
        <v>1</v>
      </c>
      <c r="G97">
        <v>0.95293903400000002</v>
      </c>
      <c r="H97">
        <f t="shared" si="13"/>
        <v>1</v>
      </c>
      <c r="I97">
        <v>0.99917596578598</v>
      </c>
      <c r="J97">
        <f t="shared" si="14"/>
        <v>1</v>
      </c>
      <c r="K97">
        <v>0.98499679565429699</v>
      </c>
      <c r="L97">
        <f t="shared" si="15"/>
        <v>1</v>
      </c>
      <c r="M97">
        <v>0.99861276099999996</v>
      </c>
      <c r="N97">
        <f t="shared" si="16"/>
        <v>1</v>
      </c>
      <c r="O97">
        <v>0.99999952316284202</v>
      </c>
      <c r="P97">
        <f t="shared" si="17"/>
        <v>1</v>
      </c>
      <c r="Q97">
        <v>0.84758335399999996</v>
      </c>
      <c r="R97">
        <f t="shared" si="12"/>
        <v>1</v>
      </c>
      <c r="S97">
        <v>0.99871599674224798</v>
      </c>
      <c r="T97">
        <f t="shared" si="18"/>
        <v>1</v>
      </c>
      <c r="U97" s="1">
        <v>0.76260287000000004</v>
      </c>
      <c r="V97">
        <v>1</v>
      </c>
    </row>
    <row r="98" spans="1:22">
      <c r="A98" s="1">
        <v>1</v>
      </c>
      <c r="B98" s="1" t="s">
        <v>103</v>
      </c>
      <c r="C98" s="1">
        <v>1</v>
      </c>
      <c r="D98" s="33">
        <v>1</v>
      </c>
      <c r="E98" s="34">
        <v>1</v>
      </c>
      <c r="F98" s="33">
        <v>1</v>
      </c>
      <c r="G98">
        <v>0.96401393400000002</v>
      </c>
      <c r="H98">
        <f t="shared" si="13"/>
        <v>1</v>
      </c>
      <c r="I98">
        <v>0.99434483051300004</v>
      </c>
      <c r="J98">
        <f t="shared" si="14"/>
        <v>1</v>
      </c>
      <c r="K98">
        <v>0.98652702569961603</v>
      </c>
      <c r="L98">
        <f t="shared" si="15"/>
        <v>1</v>
      </c>
      <c r="M98">
        <v>0.999979854</v>
      </c>
      <c r="N98">
        <f t="shared" si="16"/>
        <v>1</v>
      </c>
      <c r="O98">
        <v>0.99996900558471702</v>
      </c>
      <c r="P98">
        <f t="shared" si="17"/>
        <v>1</v>
      </c>
      <c r="Q98">
        <v>0.80730718400000001</v>
      </c>
      <c r="R98">
        <f t="shared" si="12"/>
        <v>1</v>
      </c>
      <c r="S98">
        <v>0.99653959274292003</v>
      </c>
      <c r="T98">
        <f t="shared" si="18"/>
        <v>1</v>
      </c>
      <c r="U98" s="1">
        <v>0.77508867000000004</v>
      </c>
      <c r="V98">
        <v>1</v>
      </c>
    </row>
    <row r="99" spans="1:22">
      <c r="A99" s="1">
        <v>1</v>
      </c>
      <c r="B99" s="1" t="s">
        <v>104</v>
      </c>
      <c r="C99" s="1">
        <v>1</v>
      </c>
      <c r="D99" s="33">
        <v>1</v>
      </c>
      <c r="E99" s="33">
        <v>1</v>
      </c>
      <c r="F99" s="33">
        <v>1</v>
      </c>
      <c r="G99">
        <v>0.94920879599999997</v>
      </c>
      <c r="H99">
        <f t="shared" si="13"/>
        <v>1</v>
      </c>
      <c r="I99">
        <v>0.91096240282058705</v>
      </c>
      <c r="J99">
        <f t="shared" si="14"/>
        <v>1</v>
      </c>
      <c r="K99">
        <v>0.99497270584106401</v>
      </c>
      <c r="L99">
        <f t="shared" si="15"/>
        <v>1</v>
      </c>
      <c r="M99">
        <v>0.99191802699999998</v>
      </c>
      <c r="N99">
        <f t="shared" si="16"/>
        <v>1</v>
      </c>
      <c r="O99">
        <v>0.99376100301742598</v>
      </c>
      <c r="P99">
        <f t="shared" si="17"/>
        <v>1</v>
      </c>
      <c r="Q99">
        <v>0.68751621200000002</v>
      </c>
      <c r="R99">
        <f t="shared" si="12"/>
        <v>1</v>
      </c>
      <c r="S99">
        <v>0.97565972805023204</v>
      </c>
      <c r="T99">
        <f t="shared" si="18"/>
        <v>1</v>
      </c>
      <c r="U99" s="1">
        <v>0.70931416999999997</v>
      </c>
      <c r="V99">
        <v>1</v>
      </c>
    </row>
    <row r="100" spans="1:22">
      <c r="A100" s="1">
        <v>1</v>
      </c>
      <c r="B100" s="1" t="s">
        <v>105</v>
      </c>
      <c r="C100" s="1">
        <v>1</v>
      </c>
      <c r="D100" s="33">
        <v>1</v>
      </c>
      <c r="E100" s="33">
        <v>1</v>
      </c>
      <c r="F100" s="33">
        <v>1</v>
      </c>
      <c r="G100">
        <v>0.79753172400000005</v>
      </c>
      <c r="H100">
        <f t="shared" si="13"/>
        <v>1</v>
      </c>
      <c r="I100">
        <v>4.5185379683972002E-2</v>
      </c>
      <c r="J100">
        <f t="shared" si="14"/>
        <v>0</v>
      </c>
      <c r="K100">
        <v>0.30660971999168402</v>
      </c>
      <c r="L100">
        <f t="shared" si="15"/>
        <v>0</v>
      </c>
      <c r="M100">
        <v>2.7573269000000001E-2</v>
      </c>
      <c r="N100">
        <f t="shared" si="16"/>
        <v>0</v>
      </c>
      <c r="O100">
        <v>0.217459321022034</v>
      </c>
      <c r="P100">
        <f t="shared" si="17"/>
        <v>0</v>
      </c>
      <c r="Q100">
        <v>0.66905653499999995</v>
      </c>
      <c r="R100">
        <f t="shared" si="12"/>
        <v>1</v>
      </c>
      <c r="S100">
        <v>0.76427721977233898</v>
      </c>
      <c r="T100">
        <f t="shared" si="18"/>
        <v>1</v>
      </c>
      <c r="U100" s="1">
        <v>0.70984139999999996</v>
      </c>
      <c r="V100">
        <v>1</v>
      </c>
    </row>
    <row r="101" spans="1:22">
      <c r="A101" s="1">
        <v>1</v>
      </c>
      <c r="B101" s="1" t="s">
        <v>106</v>
      </c>
      <c r="C101" s="1">
        <v>1</v>
      </c>
      <c r="D101" s="33">
        <v>0</v>
      </c>
      <c r="E101" s="33">
        <v>1</v>
      </c>
      <c r="F101" s="33">
        <v>1</v>
      </c>
      <c r="G101">
        <v>0.109710135</v>
      </c>
      <c r="H101">
        <f t="shared" si="13"/>
        <v>0</v>
      </c>
      <c r="I101">
        <v>0.15352682769298501</v>
      </c>
      <c r="J101">
        <f t="shared" si="14"/>
        <v>0</v>
      </c>
      <c r="K101">
        <v>2.4418370798230001E-2</v>
      </c>
      <c r="L101">
        <f t="shared" si="15"/>
        <v>0</v>
      </c>
      <c r="M101">
        <v>1.230763E-2</v>
      </c>
      <c r="N101">
        <f t="shared" si="16"/>
        <v>0</v>
      </c>
      <c r="O101">
        <v>1.5369425527751999E-2</v>
      </c>
      <c r="P101">
        <f t="shared" si="17"/>
        <v>0</v>
      </c>
      <c r="Q101">
        <v>0.110225067</v>
      </c>
      <c r="R101">
        <f t="shared" si="12"/>
        <v>0</v>
      </c>
      <c r="S101">
        <v>7.8502865508200004E-3</v>
      </c>
      <c r="T101">
        <f t="shared" si="18"/>
        <v>0</v>
      </c>
      <c r="U101" s="1">
        <v>0.15198210000000001</v>
      </c>
      <c r="V101">
        <v>0</v>
      </c>
    </row>
    <row r="102" spans="1:22">
      <c r="A102" s="1">
        <v>1</v>
      </c>
      <c r="B102" s="1" t="s">
        <v>107</v>
      </c>
      <c r="C102" s="1">
        <v>1</v>
      </c>
      <c r="D102" s="33">
        <v>1</v>
      </c>
      <c r="E102" s="33">
        <v>1</v>
      </c>
      <c r="F102" s="33">
        <v>1</v>
      </c>
      <c r="G102">
        <v>0.945689797</v>
      </c>
      <c r="H102">
        <f t="shared" si="13"/>
        <v>1</v>
      </c>
      <c r="I102">
        <v>0.99999773502349798</v>
      </c>
      <c r="J102">
        <f t="shared" si="14"/>
        <v>1</v>
      </c>
      <c r="K102">
        <v>0.99995398521423295</v>
      </c>
      <c r="L102">
        <f t="shared" si="15"/>
        <v>1</v>
      </c>
      <c r="M102">
        <v>0.99904745800000005</v>
      </c>
      <c r="N102">
        <f t="shared" si="16"/>
        <v>1</v>
      </c>
      <c r="O102">
        <v>0.99999833106994596</v>
      </c>
      <c r="P102">
        <f t="shared" si="17"/>
        <v>1</v>
      </c>
      <c r="Q102">
        <v>0.90441310399999997</v>
      </c>
      <c r="R102">
        <f t="shared" si="12"/>
        <v>1</v>
      </c>
      <c r="S102">
        <v>0.99977058172225997</v>
      </c>
      <c r="T102">
        <f t="shared" si="18"/>
        <v>1</v>
      </c>
      <c r="U102" s="1">
        <v>0.78131764999999997</v>
      </c>
      <c r="V102">
        <v>1</v>
      </c>
    </row>
    <row r="103" spans="1:22">
      <c r="A103" s="1">
        <v>1</v>
      </c>
      <c r="B103" s="1" t="s">
        <v>108</v>
      </c>
      <c r="C103" s="1">
        <v>1</v>
      </c>
      <c r="D103" s="33">
        <v>0</v>
      </c>
      <c r="E103" s="33">
        <v>1</v>
      </c>
      <c r="F103" s="33">
        <v>1</v>
      </c>
      <c r="G103">
        <v>0.88431197399999995</v>
      </c>
      <c r="H103">
        <f t="shared" si="13"/>
        <v>1</v>
      </c>
      <c r="I103">
        <v>0.98963379859924305</v>
      </c>
      <c r="J103">
        <f t="shared" si="14"/>
        <v>1</v>
      </c>
      <c r="K103">
        <v>0.99262154102325395</v>
      </c>
      <c r="L103">
        <f t="shared" si="15"/>
        <v>1</v>
      </c>
      <c r="M103">
        <v>0.90515965200000004</v>
      </c>
      <c r="N103">
        <f t="shared" si="16"/>
        <v>1</v>
      </c>
      <c r="O103">
        <v>0.99713861942291304</v>
      </c>
      <c r="P103">
        <f t="shared" si="17"/>
        <v>1</v>
      </c>
      <c r="Q103">
        <v>0.78846627499999999</v>
      </c>
      <c r="R103">
        <f t="shared" si="12"/>
        <v>1</v>
      </c>
      <c r="S103">
        <v>0.98687905073165905</v>
      </c>
      <c r="T103">
        <f t="shared" si="18"/>
        <v>1</v>
      </c>
      <c r="U103" s="1">
        <v>0.75609289999999996</v>
      </c>
      <c r="V103">
        <v>1</v>
      </c>
    </row>
    <row r="104" spans="1:22">
      <c r="A104" s="1">
        <v>1</v>
      </c>
      <c r="B104" s="1" t="s">
        <v>545</v>
      </c>
      <c r="C104" s="1">
        <v>1</v>
      </c>
      <c r="D104" s="33">
        <v>1</v>
      </c>
      <c r="E104" s="33">
        <v>1</v>
      </c>
      <c r="F104" s="33">
        <v>1</v>
      </c>
      <c r="G104">
        <v>3.5563003000000003E-2</v>
      </c>
      <c r="H104">
        <f t="shared" si="13"/>
        <v>0</v>
      </c>
      <c r="I104" s="30">
        <v>1.05560147858341E-5</v>
      </c>
      <c r="J104">
        <f t="shared" si="14"/>
        <v>0</v>
      </c>
      <c r="K104">
        <v>1.1150828795510001E-3</v>
      </c>
      <c r="L104">
        <f t="shared" si="15"/>
        <v>0</v>
      </c>
      <c r="M104">
        <v>1.0567791999999999E-2</v>
      </c>
      <c r="N104">
        <f t="shared" si="16"/>
        <v>0</v>
      </c>
      <c r="O104" s="30">
        <v>3.8229551137192202E-5</v>
      </c>
      <c r="P104">
        <f t="shared" si="17"/>
        <v>0</v>
      </c>
      <c r="Q104">
        <v>0.15606366099999999</v>
      </c>
      <c r="R104">
        <f t="shared" si="12"/>
        <v>0</v>
      </c>
      <c r="S104">
        <v>3.9808589965105001E-2</v>
      </c>
      <c r="T104">
        <f t="shared" si="18"/>
        <v>0</v>
      </c>
      <c r="U104" s="1">
        <v>0.20514497000000001</v>
      </c>
      <c r="V104">
        <v>0</v>
      </c>
    </row>
    <row r="105" spans="1:22">
      <c r="A105" s="1">
        <v>1</v>
      </c>
      <c r="B105" s="1" t="s">
        <v>111</v>
      </c>
      <c r="C105" s="1">
        <v>1</v>
      </c>
      <c r="D105" s="33">
        <v>1</v>
      </c>
      <c r="E105" s="33">
        <v>1</v>
      </c>
      <c r="F105" s="33">
        <v>1</v>
      </c>
      <c r="G105">
        <v>0.93609392599999997</v>
      </c>
      <c r="H105">
        <f t="shared" si="13"/>
        <v>1</v>
      </c>
      <c r="I105">
        <v>0.98504722118377697</v>
      </c>
      <c r="J105">
        <f t="shared" si="14"/>
        <v>1</v>
      </c>
      <c r="K105">
        <v>0.91936540603637695</v>
      </c>
      <c r="L105">
        <f t="shared" si="15"/>
        <v>1</v>
      </c>
      <c r="M105">
        <v>0.92663306000000001</v>
      </c>
      <c r="N105">
        <f t="shared" si="16"/>
        <v>1</v>
      </c>
      <c r="O105">
        <v>0.82857203483581499</v>
      </c>
      <c r="P105">
        <f t="shared" si="17"/>
        <v>1</v>
      </c>
      <c r="Q105">
        <v>0.87943679100000005</v>
      </c>
      <c r="R105">
        <f t="shared" si="12"/>
        <v>1</v>
      </c>
      <c r="S105">
        <v>0.95062643289565996</v>
      </c>
      <c r="T105">
        <f t="shared" si="18"/>
        <v>1</v>
      </c>
      <c r="U105" s="1">
        <v>0.72638385999999999</v>
      </c>
      <c r="V105">
        <v>1</v>
      </c>
    </row>
    <row r="106" spans="1:22">
      <c r="A106" s="1" t="s">
        <v>112</v>
      </c>
      <c r="B106" s="1"/>
      <c r="C106" s="22"/>
      <c r="D106" s="35"/>
      <c r="E106" s="35"/>
      <c r="F106" s="35"/>
    </row>
    <row r="107" spans="1:22">
      <c r="A107" s="1">
        <v>0</v>
      </c>
      <c r="B107" s="1" t="s">
        <v>113</v>
      </c>
      <c r="C107" s="1">
        <v>0</v>
      </c>
      <c r="D107" s="33">
        <v>1</v>
      </c>
      <c r="E107" s="36">
        <v>0</v>
      </c>
      <c r="F107" s="37">
        <v>0</v>
      </c>
      <c r="G107">
        <v>9.5734730000000004E-2</v>
      </c>
      <c r="H107">
        <f t="shared" si="13"/>
        <v>0</v>
      </c>
      <c r="I107">
        <v>0.31395500898361201</v>
      </c>
      <c r="J107">
        <f t="shared" si="14"/>
        <v>0</v>
      </c>
      <c r="K107">
        <v>0.23877750337123901</v>
      </c>
      <c r="L107">
        <f t="shared" ref="L107:L166" si="19">IF(K107&gt;$A$2,1,0)</f>
        <v>0</v>
      </c>
      <c r="M107">
        <v>0.11912816800000001</v>
      </c>
      <c r="N107">
        <f t="shared" ref="N107:N166" si="20">IF(M107&gt;$A$2,1,0)</f>
        <v>0</v>
      </c>
      <c r="O107">
        <v>4.2801469564437998E-2</v>
      </c>
      <c r="P107">
        <f t="shared" ref="P107:P166" si="21">IF(O107&gt;$A$2,1,0)</f>
        <v>0</v>
      </c>
      <c r="Q107">
        <v>0.434375703</v>
      </c>
      <c r="R107">
        <f t="shared" ref="R107:R166" si="22">IF(Q107&gt;$A$2,1,0)</f>
        <v>0</v>
      </c>
      <c r="S107">
        <v>7.8041784465312999E-2</v>
      </c>
      <c r="T107">
        <f t="shared" si="18"/>
        <v>0</v>
      </c>
      <c r="U107" s="1">
        <v>0.37800889999999998</v>
      </c>
      <c r="V107">
        <v>0</v>
      </c>
    </row>
    <row r="108" spans="1:22">
      <c r="A108" s="1">
        <v>0</v>
      </c>
      <c r="B108" s="1" t="s">
        <v>114</v>
      </c>
      <c r="C108" s="1">
        <v>0</v>
      </c>
      <c r="D108" s="33">
        <v>1</v>
      </c>
      <c r="E108" s="37">
        <v>1</v>
      </c>
      <c r="F108" s="37">
        <v>0</v>
      </c>
      <c r="G108">
        <v>6.0734707999999998E-2</v>
      </c>
      <c r="H108">
        <f t="shared" si="13"/>
        <v>0</v>
      </c>
      <c r="I108">
        <v>0.256809651851654</v>
      </c>
      <c r="J108">
        <f t="shared" si="14"/>
        <v>0</v>
      </c>
      <c r="K108">
        <v>0.13563986122608199</v>
      </c>
      <c r="L108">
        <f t="shared" si="19"/>
        <v>0</v>
      </c>
      <c r="M108">
        <v>4.0801231E-2</v>
      </c>
      <c r="N108">
        <f t="shared" si="20"/>
        <v>0</v>
      </c>
      <c r="O108">
        <v>7.7830821275711004E-2</v>
      </c>
      <c r="P108">
        <f t="shared" si="21"/>
        <v>0</v>
      </c>
      <c r="Q108">
        <v>0.26600372799999999</v>
      </c>
      <c r="R108">
        <f t="shared" si="22"/>
        <v>0</v>
      </c>
      <c r="S108">
        <v>1.8360560759902E-2</v>
      </c>
      <c r="T108">
        <f t="shared" si="18"/>
        <v>0</v>
      </c>
      <c r="U108" s="1">
        <v>0.2050043</v>
      </c>
      <c r="V108">
        <v>0</v>
      </c>
    </row>
    <row r="109" spans="1:22">
      <c r="A109" s="1">
        <v>0</v>
      </c>
      <c r="B109" s="1" t="s">
        <v>115</v>
      </c>
      <c r="C109" s="1">
        <v>0</v>
      </c>
      <c r="D109" s="33">
        <v>1</v>
      </c>
      <c r="E109" s="37">
        <v>1</v>
      </c>
      <c r="F109" s="37">
        <v>1</v>
      </c>
      <c r="G109">
        <v>0.67475539399999995</v>
      </c>
      <c r="H109">
        <f t="shared" si="13"/>
        <v>1</v>
      </c>
      <c r="I109">
        <v>0.99579215049743597</v>
      </c>
      <c r="J109">
        <f t="shared" si="14"/>
        <v>1</v>
      </c>
      <c r="K109">
        <v>0.94006407260894798</v>
      </c>
      <c r="L109">
        <f t="shared" si="19"/>
        <v>1</v>
      </c>
      <c r="M109">
        <v>0.85463076800000004</v>
      </c>
      <c r="N109">
        <f t="shared" si="20"/>
        <v>1</v>
      </c>
      <c r="O109">
        <v>0.17337432503700301</v>
      </c>
      <c r="P109">
        <f t="shared" si="21"/>
        <v>0</v>
      </c>
      <c r="Q109">
        <v>0.89621782299999997</v>
      </c>
      <c r="R109">
        <f t="shared" si="22"/>
        <v>1</v>
      </c>
      <c r="S109">
        <v>0.946771860122681</v>
      </c>
      <c r="T109">
        <f t="shared" si="18"/>
        <v>1</v>
      </c>
      <c r="U109" s="1">
        <v>0.69869334000000005</v>
      </c>
      <c r="V109">
        <v>1</v>
      </c>
    </row>
    <row r="110" spans="1:22">
      <c r="A110" s="1">
        <v>0</v>
      </c>
      <c r="B110" s="1" t="s">
        <v>116</v>
      </c>
      <c r="C110" s="1">
        <v>0</v>
      </c>
      <c r="D110" s="33">
        <v>1</v>
      </c>
      <c r="E110" s="37">
        <v>1</v>
      </c>
      <c r="F110" s="37">
        <v>1</v>
      </c>
      <c r="G110" s="30">
        <v>4.6083972000000001E-2</v>
      </c>
      <c r="H110">
        <f t="shared" si="13"/>
        <v>0</v>
      </c>
      <c r="I110">
        <v>6.4667612314220002E-3</v>
      </c>
      <c r="J110">
        <f t="shared" si="14"/>
        <v>0</v>
      </c>
      <c r="K110">
        <v>6.1164710670709999E-2</v>
      </c>
      <c r="L110">
        <f t="shared" si="19"/>
        <v>0</v>
      </c>
      <c r="M110">
        <v>3.2459999999999998E-4</v>
      </c>
      <c r="N110">
        <f t="shared" si="20"/>
        <v>0</v>
      </c>
      <c r="O110">
        <v>8.7421890348200002E-3</v>
      </c>
      <c r="P110">
        <f t="shared" si="21"/>
        <v>0</v>
      </c>
      <c r="Q110">
        <v>0.26290065099999999</v>
      </c>
      <c r="R110">
        <f t="shared" si="22"/>
        <v>0</v>
      </c>
      <c r="S110">
        <v>3.6337645724399999E-4</v>
      </c>
      <c r="T110">
        <f t="shared" si="18"/>
        <v>0</v>
      </c>
      <c r="U110" s="1">
        <v>0.35493330000000001</v>
      </c>
      <c r="V110">
        <v>0</v>
      </c>
    </row>
    <row r="111" spans="1:22">
      <c r="A111" s="1">
        <v>0</v>
      </c>
      <c r="B111" s="1" t="s">
        <v>117</v>
      </c>
      <c r="C111" s="1">
        <v>0</v>
      </c>
      <c r="D111" s="33">
        <v>0</v>
      </c>
      <c r="E111" s="37">
        <v>0</v>
      </c>
      <c r="F111" s="37">
        <v>0</v>
      </c>
      <c r="G111">
        <v>0.29626947599999998</v>
      </c>
      <c r="H111">
        <f t="shared" si="13"/>
        <v>0</v>
      </c>
      <c r="I111">
        <v>0.15197633206844299</v>
      </c>
      <c r="J111">
        <f t="shared" si="14"/>
        <v>0</v>
      </c>
      <c r="K111">
        <v>0.41724413633346602</v>
      </c>
      <c r="L111">
        <f t="shared" si="19"/>
        <v>0</v>
      </c>
      <c r="M111">
        <v>0.22498717900000001</v>
      </c>
      <c r="N111">
        <f t="shared" si="20"/>
        <v>0</v>
      </c>
      <c r="O111">
        <v>0.43214607238769498</v>
      </c>
      <c r="P111">
        <f t="shared" si="21"/>
        <v>0</v>
      </c>
      <c r="Q111">
        <v>0.69196891800000004</v>
      </c>
      <c r="R111">
        <f t="shared" si="22"/>
        <v>1</v>
      </c>
      <c r="S111">
        <v>0.51436656713485696</v>
      </c>
      <c r="T111">
        <f t="shared" si="18"/>
        <v>1</v>
      </c>
      <c r="U111" s="1">
        <v>0.67495939999999999</v>
      </c>
      <c r="V111">
        <v>1</v>
      </c>
    </row>
    <row r="112" spans="1:22">
      <c r="A112" s="1">
        <v>0</v>
      </c>
      <c r="B112" s="1" t="s">
        <v>118</v>
      </c>
      <c r="C112" s="1">
        <v>0</v>
      </c>
      <c r="D112" s="33">
        <v>0</v>
      </c>
      <c r="E112" s="36">
        <v>0</v>
      </c>
      <c r="F112" s="37">
        <v>0</v>
      </c>
      <c r="G112">
        <v>0.143573493</v>
      </c>
      <c r="H112">
        <f t="shared" si="13"/>
        <v>0</v>
      </c>
      <c r="I112">
        <v>0.67384326457977295</v>
      </c>
      <c r="J112">
        <f t="shared" si="14"/>
        <v>1</v>
      </c>
      <c r="K112">
        <v>0.48847007751464799</v>
      </c>
      <c r="L112">
        <f t="shared" si="19"/>
        <v>0</v>
      </c>
      <c r="M112">
        <v>0.134969756</v>
      </c>
      <c r="N112">
        <f t="shared" si="20"/>
        <v>0</v>
      </c>
      <c r="O112">
        <v>0.49600574374198902</v>
      </c>
      <c r="P112">
        <f t="shared" si="21"/>
        <v>0</v>
      </c>
      <c r="Q112">
        <v>0.335676908</v>
      </c>
      <c r="R112">
        <f t="shared" si="22"/>
        <v>0</v>
      </c>
      <c r="S112">
        <v>0.220422297716141</v>
      </c>
      <c r="T112">
        <f t="shared" si="18"/>
        <v>0</v>
      </c>
      <c r="U112" s="1">
        <v>0.58164749999999998</v>
      </c>
      <c r="V112">
        <v>0</v>
      </c>
    </row>
    <row r="113" spans="1:22">
      <c r="A113" s="1">
        <v>0</v>
      </c>
      <c r="B113" s="1" t="s">
        <v>119</v>
      </c>
      <c r="C113" s="1">
        <v>0</v>
      </c>
      <c r="D113" s="33">
        <v>0</v>
      </c>
      <c r="E113" s="36">
        <v>0</v>
      </c>
      <c r="F113" s="37">
        <v>0</v>
      </c>
      <c r="G113" s="30">
        <v>0.27644085899999998</v>
      </c>
      <c r="H113">
        <f t="shared" si="13"/>
        <v>0</v>
      </c>
      <c r="I113">
        <v>0.18188861012458801</v>
      </c>
      <c r="J113">
        <f t="shared" si="14"/>
        <v>0</v>
      </c>
      <c r="K113">
        <v>2.6760151609777998E-2</v>
      </c>
      <c r="L113">
        <f t="shared" si="19"/>
        <v>0</v>
      </c>
      <c r="M113">
        <v>1.4697833E-2</v>
      </c>
      <c r="N113">
        <f t="shared" si="20"/>
        <v>0</v>
      </c>
      <c r="O113">
        <v>0.120581611990929</v>
      </c>
      <c r="P113">
        <f t="shared" si="21"/>
        <v>0</v>
      </c>
      <c r="Q113">
        <v>0.14264032200000001</v>
      </c>
      <c r="R113">
        <f t="shared" si="22"/>
        <v>0</v>
      </c>
      <c r="S113">
        <v>5.0734874093899996E-4</v>
      </c>
      <c r="T113">
        <f t="shared" si="18"/>
        <v>0</v>
      </c>
      <c r="U113" s="1">
        <v>0.14389900999999999</v>
      </c>
      <c r="V113">
        <v>0</v>
      </c>
    </row>
    <row r="114" spans="1:22">
      <c r="A114" s="1">
        <v>0</v>
      </c>
      <c r="B114" s="1" t="s">
        <v>120</v>
      </c>
      <c r="C114" s="1">
        <v>0</v>
      </c>
      <c r="D114" s="33">
        <v>0</v>
      </c>
      <c r="E114" s="36">
        <v>0</v>
      </c>
      <c r="F114" s="37">
        <v>0</v>
      </c>
      <c r="G114">
        <v>0.34423664199999998</v>
      </c>
      <c r="H114">
        <f t="shared" si="13"/>
        <v>0</v>
      </c>
      <c r="I114">
        <v>0.75683116912841797</v>
      </c>
      <c r="J114">
        <f t="shared" si="14"/>
        <v>1</v>
      </c>
      <c r="K114">
        <v>0.35862079262733498</v>
      </c>
      <c r="L114">
        <f t="shared" si="19"/>
        <v>0</v>
      </c>
      <c r="M114">
        <v>4.6730023000000002E-2</v>
      </c>
      <c r="N114">
        <f t="shared" si="20"/>
        <v>0</v>
      </c>
      <c r="O114">
        <v>0.88749021291732799</v>
      </c>
      <c r="P114">
        <f t="shared" si="21"/>
        <v>1</v>
      </c>
      <c r="Q114" s="30">
        <v>0.28015816199999999</v>
      </c>
      <c r="R114">
        <f t="shared" si="22"/>
        <v>0</v>
      </c>
      <c r="S114">
        <v>6.5836995840073007E-2</v>
      </c>
      <c r="T114">
        <f t="shared" si="18"/>
        <v>0</v>
      </c>
      <c r="U114" s="1">
        <v>0.37270078000000001</v>
      </c>
      <c r="V114">
        <v>0</v>
      </c>
    </row>
    <row r="115" spans="1:22">
      <c r="A115" s="1">
        <v>0</v>
      </c>
      <c r="B115" s="1" t="s">
        <v>121</v>
      </c>
      <c r="C115" s="1">
        <v>0</v>
      </c>
      <c r="D115" s="33">
        <v>0</v>
      </c>
      <c r="E115" s="36">
        <v>0</v>
      </c>
      <c r="F115" s="37">
        <v>0</v>
      </c>
      <c r="G115">
        <v>1.5673960000000001E-2</v>
      </c>
      <c r="H115">
        <f t="shared" si="13"/>
        <v>0</v>
      </c>
      <c r="I115">
        <v>7.0954682305459996E-3</v>
      </c>
      <c r="J115">
        <f t="shared" si="14"/>
        <v>0</v>
      </c>
      <c r="K115">
        <v>9.4797294586900002E-3</v>
      </c>
      <c r="L115">
        <f t="shared" si="19"/>
        <v>0</v>
      </c>
      <c r="M115">
        <v>7.6660699999999999E-4</v>
      </c>
      <c r="N115">
        <f t="shared" si="20"/>
        <v>0</v>
      </c>
      <c r="O115">
        <v>2.188646001741E-3</v>
      </c>
      <c r="P115">
        <f t="shared" si="21"/>
        <v>0</v>
      </c>
      <c r="Q115">
        <v>0.19291792799999999</v>
      </c>
      <c r="R115">
        <f t="shared" si="22"/>
        <v>0</v>
      </c>
      <c r="S115">
        <v>3.2011808361859999E-3</v>
      </c>
      <c r="T115">
        <f t="shared" si="18"/>
        <v>0</v>
      </c>
      <c r="U115" s="1">
        <v>0.30231592000000002</v>
      </c>
      <c r="V115">
        <v>0</v>
      </c>
    </row>
    <row r="116" spans="1:22">
      <c r="A116" s="1">
        <v>0</v>
      </c>
      <c r="B116" s="1" t="s">
        <v>122</v>
      </c>
      <c r="C116" s="1">
        <v>0</v>
      </c>
      <c r="D116" s="33">
        <v>0</v>
      </c>
      <c r="E116" s="36">
        <v>0</v>
      </c>
      <c r="F116" s="37">
        <v>0</v>
      </c>
      <c r="G116">
        <v>0.154811069</v>
      </c>
      <c r="H116">
        <f t="shared" si="13"/>
        <v>0</v>
      </c>
      <c r="I116">
        <v>7.3175220750270002E-3</v>
      </c>
      <c r="J116">
        <f t="shared" si="14"/>
        <v>0</v>
      </c>
      <c r="K116">
        <v>4.3139133602381002E-2</v>
      </c>
      <c r="L116">
        <f t="shared" si="19"/>
        <v>0</v>
      </c>
      <c r="M116">
        <v>5.2627890000000004E-3</v>
      </c>
      <c r="N116">
        <f t="shared" si="20"/>
        <v>0</v>
      </c>
      <c r="O116">
        <v>1.1343812569976E-2</v>
      </c>
      <c r="P116">
        <f t="shared" si="21"/>
        <v>0</v>
      </c>
      <c r="Q116">
        <v>0.237447992</v>
      </c>
      <c r="R116">
        <f t="shared" si="22"/>
        <v>0</v>
      </c>
      <c r="S116" s="30">
        <v>6.7006818426307304E-5</v>
      </c>
      <c r="T116">
        <f t="shared" si="18"/>
        <v>0</v>
      </c>
      <c r="U116" s="1">
        <v>0.32096429999999998</v>
      </c>
      <c r="V116">
        <v>0</v>
      </c>
    </row>
    <row r="117" spans="1:22">
      <c r="A117" s="1">
        <v>0</v>
      </c>
      <c r="B117" s="1" t="s">
        <v>123</v>
      </c>
      <c r="C117" s="1">
        <v>0</v>
      </c>
      <c r="D117" s="33">
        <v>1</v>
      </c>
      <c r="E117" s="37">
        <v>1</v>
      </c>
      <c r="F117" s="37">
        <v>0</v>
      </c>
      <c r="G117">
        <v>0.76214164500000003</v>
      </c>
      <c r="H117">
        <f t="shared" si="13"/>
        <v>1</v>
      </c>
      <c r="I117">
        <v>0.45985949039459201</v>
      </c>
      <c r="J117">
        <f t="shared" si="14"/>
        <v>0</v>
      </c>
      <c r="K117">
        <v>0.78146535158157404</v>
      </c>
      <c r="L117">
        <f t="shared" si="19"/>
        <v>1</v>
      </c>
      <c r="M117">
        <v>0.51337850100000004</v>
      </c>
      <c r="N117">
        <f t="shared" si="20"/>
        <v>1</v>
      </c>
      <c r="O117">
        <v>0.99257385730743397</v>
      </c>
      <c r="P117">
        <f t="shared" si="21"/>
        <v>1</v>
      </c>
      <c r="Q117">
        <v>0.342352659</v>
      </c>
      <c r="R117">
        <f t="shared" si="22"/>
        <v>0</v>
      </c>
      <c r="S117">
        <v>6.5731550566850002E-3</v>
      </c>
      <c r="T117">
        <f t="shared" si="18"/>
        <v>0</v>
      </c>
      <c r="U117" s="1">
        <v>0.35371363</v>
      </c>
      <c r="V117">
        <v>0</v>
      </c>
    </row>
    <row r="118" spans="1:22">
      <c r="A118" s="1">
        <v>0</v>
      </c>
      <c r="B118" s="1" t="s">
        <v>124</v>
      </c>
      <c r="C118" s="1">
        <v>0</v>
      </c>
      <c r="D118" s="33">
        <v>0</v>
      </c>
      <c r="E118" s="36">
        <v>0</v>
      </c>
      <c r="F118" s="37">
        <v>0</v>
      </c>
      <c r="G118">
        <v>2.1527514000000001E-2</v>
      </c>
      <c r="H118">
        <f t="shared" si="13"/>
        <v>0</v>
      </c>
      <c r="I118">
        <v>4.1587857413100002E-4</v>
      </c>
      <c r="J118">
        <f t="shared" si="14"/>
        <v>0</v>
      </c>
      <c r="K118">
        <v>6.6554434597491996E-2</v>
      </c>
      <c r="L118">
        <f t="shared" si="19"/>
        <v>0</v>
      </c>
      <c r="M118">
        <v>2.0384079999999998E-3</v>
      </c>
      <c r="N118">
        <f t="shared" si="20"/>
        <v>0</v>
      </c>
      <c r="O118">
        <v>1.8804686143993998E-2</v>
      </c>
      <c r="P118">
        <f t="shared" si="21"/>
        <v>0</v>
      </c>
      <c r="Q118" s="30">
        <v>0.20841944200000001</v>
      </c>
      <c r="R118">
        <f t="shared" si="22"/>
        <v>0</v>
      </c>
      <c r="S118" s="30">
        <v>1.5940017874527299E-6</v>
      </c>
      <c r="T118">
        <f t="shared" si="18"/>
        <v>0</v>
      </c>
      <c r="U118" s="1">
        <v>0.25613051999999997</v>
      </c>
      <c r="V118">
        <v>0</v>
      </c>
    </row>
    <row r="119" spans="1:22">
      <c r="A119" s="1">
        <v>0</v>
      </c>
      <c r="B119" s="1" t="s">
        <v>125</v>
      </c>
      <c r="C119" s="1">
        <v>0</v>
      </c>
      <c r="D119" s="33">
        <v>1</v>
      </c>
      <c r="E119" s="37">
        <v>0</v>
      </c>
      <c r="F119" s="37">
        <v>0</v>
      </c>
      <c r="G119">
        <v>3.3579484E-2</v>
      </c>
      <c r="H119">
        <f t="shared" si="13"/>
        <v>0</v>
      </c>
      <c r="I119">
        <v>4.2042121291161E-2</v>
      </c>
      <c r="J119">
        <f t="shared" si="14"/>
        <v>0</v>
      </c>
      <c r="K119">
        <v>3.8407575339079E-2</v>
      </c>
      <c r="L119">
        <f t="shared" si="19"/>
        <v>0</v>
      </c>
      <c r="M119">
        <v>6.7783909999999999E-3</v>
      </c>
      <c r="N119">
        <f t="shared" si="20"/>
        <v>0</v>
      </c>
      <c r="O119">
        <v>4.5747412368660001E-3</v>
      </c>
      <c r="P119">
        <f t="shared" si="21"/>
        <v>0</v>
      </c>
      <c r="Q119">
        <v>0.20744278999999999</v>
      </c>
      <c r="R119">
        <f t="shared" si="22"/>
        <v>0</v>
      </c>
      <c r="S119">
        <v>8.8291633874179997E-3</v>
      </c>
      <c r="T119">
        <f t="shared" si="18"/>
        <v>0</v>
      </c>
      <c r="U119" s="1">
        <v>0.24536253999999999</v>
      </c>
      <c r="V119">
        <v>0</v>
      </c>
    </row>
    <row r="120" spans="1:22">
      <c r="A120" s="1">
        <v>0</v>
      </c>
      <c r="B120" s="1" t="s">
        <v>126</v>
      </c>
      <c r="C120" s="1">
        <v>0</v>
      </c>
      <c r="D120" s="33">
        <v>0</v>
      </c>
      <c r="E120" s="36">
        <v>0</v>
      </c>
      <c r="F120" s="37">
        <v>0</v>
      </c>
      <c r="G120">
        <v>0.15440173400000001</v>
      </c>
      <c r="H120">
        <f t="shared" si="13"/>
        <v>0</v>
      </c>
      <c r="I120">
        <v>1.790145644918E-3</v>
      </c>
      <c r="J120">
        <f t="shared" si="14"/>
        <v>0</v>
      </c>
      <c r="K120">
        <v>4.0979828685522003E-2</v>
      </c>
      <c r="L120">
        <f t="shared" si="19"/>
        <v>0</v>
      </c>
      <c r="M120">
        <v>9.9989299999999996E-4</v>
      </c>
      <c r="N120">
        <f t="shared" si="20"/>
        <v>0</v>
      </c>
      <c r="O120">
        <v>6.8603530526159997E-3</v>
      </c>
      <c r="P120">
        <f t="shared" si="21"/>
        <v>0</v>
      </c>
      <c r="Q120" s="30">
        <v>0.27524301400000001</v>
      </c>
      <c r="R120">
        <f t="shared" si="22"/>
        <v>0</v>
      </c>
      <c r="S120">
        <v>3.71938891476E-4</v>
      </c>
      <c r="T120">
        <f t="shared" si="18"/>
        <v>0</v>
      </c>
      <c r="U120" s="1">
        <v>0.23126996999999999</v>
      </c>
      <c r="V120">
        <v>0</v>
      </c>
    </row>
    <row r="121" spans="1:22">
      <c r="A121" s="1">
        <v>0</v>
      </c>
      <c r="B121" s="1" t="s">
        <v>127</v>
      </c>
      <c r="C121" s="1">
        <v>0</v>
      </c>
      <c r="D121" s="33">
        <v>1</v>
      </c>
      <c r="E121" s="37">
        <v>1</v>
      </c>
      <c r="F121" s="37">
        <v>1</v>
      </c>
      <c r="G121">
        <v>0.57132411000000005</v>
      </c>
      <c r="H121">
        <f t="shared" si="13"/>
        <v>1</v>
      </c>
      <c r="I121">
        <v>0.93554770946502697</v>
      </c>
      <c r="J121">
        <f t="shared" si="14"/>
        <v>1</v>
      </c>
      <c r="K121">
        <v>0.56033140420913696</v>
      </c>
      <c r="L121">
        <f t="shared" si="19"/>
        <v>1</v>
      </c>
      <c r="M121">
        <v>0.68110269300000004</v>
      </c>
      <c r="N121">
        <f t="shared" si="20"/>
        <v>1</v>
      </c>
      <c r="O121">
        <v>0.78573566675186202</v>
      </c>
      <c r="P121">
        <f t="shared" si="21"/>
        <v>1</v>
      </c>
      <c r="Q121">
        <v>0.89658606100000005</v>
      </c>
      <c r="R121">
        <f t="shared" si="22"/>
        <v>1</v>
      </c>
      <c r="S121">
        <v>0.28954204916954002</v>
      </c>
      <c r="T121">
        <f t="shared" si="18"/>
        <v>0</v>
      </c>
      <c r="U121" s="1">
        <v>0.64565234999999999</v>
      </c>
      <c r="V121">
        <v>1</v>
      </c>
    </row>
    <row r="122" spans="1:22">
      <c r="A122" s="1">
        <v>0</v>
      </c>
      <c r="B122" s="1" t="s">
        <v>128</v>
      </c>
      <c r="C122" s="1">
        <v>0</v>
      </c>
      <c r="D122" s="33">
        <v>0</v>
      </c>
      <c r="E122" s="36">
        <v>0</v>
      </c>
      <c r="F122" s="37">
        <v>0</v>
      </c>
      <c r="G122">
        <v>0.19655402</v>
      </c>
      <c r="H122">
        <f t="shared" si="13"/>
        <v>0</v>
      </c>
      <c r="I122">
        <v>0.22911676764488201</v>
      </c>
      <c r="J122">
        <f t="shared" si="14"/>
        <v>0</v>
      </c>
      <c r="K122">
        <v>7.5691089034081005E-2</v>
      </c>
      <c r="L122">
        <f t="shared" si="19"/>
        <v>0</v>
      </c>
      <c r="M122">
        <v>7.8802409999999996E-3</v>
      </c>
      <c r="N122">
        <f t="shared" si="20"/>
        <v>0</v>
      </c>
      <c r="O122">
        <v>9.5106922090054002E-2</v>
      </c>
      <c r="P122">
        <f t="shared" si="21"/>
        <v>0</v>
      </c>
      <c r="Q122">
        <v>0.40092334200000002</v>
      </c>
      <c r="R122">
        <f t="shared" si="22"/>
        <v>0</v>
      </c>
      <c r="S122">
        <v>8.1301206955700003E-4</v>
      </c>
      <c r="T122">
        <f t="shared" si="18"/>
        <v>0</v>
      </c>
      <c r="U122" s="1">
        <v>0.38384578000000003</v>
      </c>
      <c r="V122">
        <v>0</v>
      </c>
    </row>
    <row r="123" spans="1:22">
      <c r="A123" s="1">
        <v>0</v>
      </c>
      <c r="B123" s="1" t="s">
        <v>129</v>
      </c>
      <c r="C123" s="1">
        <v>0</v>
      </c>
      <c r="D123" s="33">
        <v>0</v>
      </c>
      <c r="E123" s="36">
        <v>0</v>
      </c>
      <c r="F123" s="37">
        <v>0</v>
      </c>
      <c r="G123">
        <v>0.311825097</v>
      </c>
      <c r="H123">
        <f t="shared" si="13"/>
        <v>0</v>
      </c>
      <c r="I123">
        <v>2.4750653654336999E-2</v>
      </c>
      <c r="J123">
        <f t="shared" si="14"/>
        <v>0</v>
      </c>
      <c r="K123">
        <v>0.18705524504184701</v>
      </c>
      <c r="L123">
        <f t="shared" si="19"/>
        <v>0</v>
      </c>
      <c r="M123">
        <v>0.14861011499999999</v>
      </c>
      <c r="N123">
        <f t="shared" si="20"/>
        <v>0</v>
      </c>
      <c r="O123">
        <v>0.10962144285440401</v>
      </c>
      <c r="P123">
        <f t="shared" si="21"/>
        <v>0</v>
      </c>
      <c r="Q123">
        <v>0.19299709800000001</v>
      </c>
      <c r="R123">
        <f t="shared" si="22"/>
        <v>0</v>
      </c>
      <c r="S123">
        <v>1.0650821961463001E-2</v>
      </c>
      <c r="T123">
        <f t="shared" si="18"/>
        <v>0</v>
      </c>
      <c r="U123" s="1">
        <v>0.42990499999999998</v>
      </c>
      <c r="V123">
        <v>0</v>
      </c>
    </row>
    <row r="124" spans="1:22">
      <c r="A124" s="1">
        <v>0</v>
      </c>
      <c r="B124" s="1" t="s">
        <v>130</v>
      </c>
      <c r="C124" s="1">
        <v>0</v>
      </c>
      <c r="D124" s="33">
        <v>0</v>
      </c>
      <c r="E124" s="36">
        <v>0</v>
      </c>
      <c r="F124" s="37">
        <v>0</v>
      </c>
      <c r="G124" s="30">
        <v>6.0282743999999999E-2</v>
      </c>
      <c r="H124">
        <f t="shared" si="13"/>
        <v>0</v>
      </c>
      <c r="I124" s="30">
        <v>7.6190358959139998E-3</v>
      </c>
      <c r="J124">
        <f t="shared" si="14"/>
        <v>0</v>
      </c>
      <c r="K124" s="30">
        <v>0.107306629419327</v>
      </c>
      <c r="L124">
        <f t="shared" si="19"/>
        <v>0</v>
      </c>
      <c r="M124">
        <v>4.6622269999999997E-3</v>
      </c>
      <c r="N124">
        <f t="shared" si="20"/>
        <v>0</v>
      </c>
      <c r="O124">
        <v>1.3753302628170001E-3</v>
      </c>
      <c r="P124">
        <f t="shared" si="21"/>
        <v>0</v>
      </c>
      <c r="Q124">
        <v>0.12773221700000001</v>
      </c>
      <c r="R124">
        <f t="shared" si="22"/>
        <v>0</v>
      </c>
      <c r="S124">
        <v>2.3790914565300001E-4</v>
      </c>
      <c r="T124">
        <f t="shared" si="18"/>
        <v>0</v>
      </c>
      <c r="U124" s="1">
        <v>0.30322044999999997</v>
      </c>
      <c r="V124">
        <v>0</v>
      </c>
    </row>
    <row r="125" spans="1:22">
      <c r="A125" s="1">
        <v>0</v>
      </c>
      <c r="B125" s="1" t="s">
        <v>131</v>
      </c>
      <c r="C125" s="1">
        <v>0</v>
      </c>
      <c r="D125" s="33">
        <v>1</v>
      </c>
      <c r="E125" s="36">
        <v>0</v>
      </c>
      <c r="F125" s="37">
        <v>0</v>
      </c>
      <c r="G125">
        <v>0.12576448900000001</v>
      </c>
      <c r="H125">
        <f t="shared" si="13"/>
        <v>0</v>
      </c>
      <c r="I125">
        <v>0.169603511691093</v>
      </c>
      <c r="J125">
        <f t="shared" si="14"/>
        <v>0</v>
      </c>
      <c r="K125">
        <v>0.38468858599662797</v>
      </c>
      <c r="L125">
        <f t="shared" si="19"/>
        <v>0</v>
      </c>
      <c r="M125">
        <v>2.5099819999999998E-2</v>
      </c>
      <c r="N125">
        <f t="shared" si="20"/>
        <v>0</v>
      </c>
      <c r="O125">
        <v>0.15694311261177099</v>
      </c>
      <c r="P125">
        <f t="shared" si="21"/>
        <v>0</v>
      </c>
      <c r="Q125">
        <v>0.31198573099999999</v>
      </c>
      <c r="R125">
        <f t="shared" si="22"/>
        <v>0</v>
      </c>
      <c r="S125">
        <v>6.0258861631160001E-3</v>
      </c>
      <c r="T125">
        <f t="shared" si="18"/>
        <v>0</v>
      </c>
      <c r="U125" s="1">
        <v>0.29469165000000003</v>
      </c>
      <c r="V125">
        <v>0</v>
      </c>
    </row>
    <row r="126" spans="1:22">
      <c r="A126" s="1">
        <v>0</v>
      </c>
      <c r="B126" s="1" t="s">
        <v>132</v>
      </c>
      <c r="C126" s="1">
        <v>0</v>
      </c>
      <c r="D126" s="33">
        <v>0</v>
      </c>
      <c r="E126" s="36">
        <v>0</v>
      </c>
      <c r="F126" s="37">
        <v>0</v>
      </c>
      <c r="G126" s="30">
        <v>9.8229654E-2</v>
      </c>
      <c r="H126">
        <f t="shared" si="13"/>
        <v>0</v>
      </c>
      <c r="I126" s="30">
        <v>2.0771834533659999E-3</v>
      </c>
      <c r="J126">
        <f t="shared" si="14"/>
        <v>0</v>
      </c>
      <c r="K126">
        <v>2.6052748784422999E-2</v>
      </c>
      <c r="L126">
        <f t="shared" si="19"/>
        <v>0</v>
      </c>
      <c r="M126">
        <v>1.7197999999999999E-4</v>
      </c>
      <c r="N126">
        <f t="shared" si="20"/>
        <v>0</v>
      </c>
      <c r="O126">
        <v>6.3618868589400995E-2</v>
      </c>
      <c r="P126">
        <f t="shared" si="21"/>
        <v>0</v>
      </c>
      <c r="Q126" s="30">
        <v>0.12662614899999999</v>
      </c>
      <c r="R126">
        <f t="shared" si="22"/>
        <v>0</v>
      </c>
      <c r="S126" s="30">
        <v>3.5944601961546101E-8</v>
      </c>
      <c r="T126">
        <f t="shared" si="18"/>
        <v>0</v>
      </c>
      <c r="U126" s="1">
        <v>0.22697595000000001</v>
      </c>
      <c r="V126">
        <v>0</v>
      </c>
    </row>
    <row r="127" spans="1:22">
      <c r="A127" s="1">
        <v>0</v>
      </c>
      <c r="B127" s="1" t="s">
        <v>133</v>
      </c>
      <c r="C127" s="1">
        <v>0</v>
      </c>
      <c r="D127" s="33">
        <v>0</v>
      </c>
      <c r="E127" s="37">
        <v>0</v>
      </c>
      <c r="F127" s="37">
        <v>0</v>
      </c>
      <c r="G127">
        <v>0.148423061</v>
      </c>
      <c r="H127">
        <f t="shared" si="13"/>
        <v>0</v>
      </c>
      <c r="I127">
        <v>4.2621575295925002E-2</v>
      </c>
      <c r="J127">
        <f t="shared" si="14"/>
        <v>0</v>
      </c>
      <c r="K127">
        <v>0.26447048783302302</v>
      </c>
      <c r="L127">
        <f t="shared" si="19"/>
        <v>0</v>
      </c>
      <c r="M127">
        <v>0.32988077399999999</v>
      </c>
      <c r="N127">
        <f t="shared" si="20"/>
        <v>0</v>
      </c>
      <c r="O127">
        <v>3.3132206648588E-2</v>
      </c>
      <c r="P127">
        <f t="shared" si="21"/>
        <v>0</v>
      </c>
      <c r="Q127">
        <v>0.45364493099999997</v>
      </c>
      <c r="R127">
        <f t="shared" si="22"/>
        <v>0</v>
      </c>
      <c r="S127">
        <v>0.37176901102066001</v>
      </c>
      <c r="T127">
        <f t="shared" si="18"/>
        <v>0</v>
      </c>
      <c r="U127" s="1">
        <v>0.71400580000000002</v>
      </c>
      <c r="V127">
        <v>1</v>
      </c>
    </row>
    <row r="128" spans="1:22">
      <c r="A128" s="1">
        <v>0</v>
      </c>
      <c r="B128" s="1" t="s">
        <v>134</v>
      </c>
      <c r="C128" s="1">
        <v>0</v>
      </c>
      <c r="D128" s="33">
        <v>0</v>
      </c>
      <c r="E128" s="37">
        <v>1</v>
      </c>
      <c r="F128" s="37">
        <v>0</v>
      </c>
      <c r="G128" s="30">
        <v>0.233916134</v>
      </c>
      <c r="H128">
        <f t="shared" si="13"/>
        <v>0</v>
      </c>
      <c r="I128">
        <v>2.4769278243183999E-2</v>
      </c>
      <c r="J128">
        <f t="shared" si="14"/>
        <v>0</v>
      </c>
      <c r="K128">
        <v>0.236551329493523</v>
      </c>
      <c r="L128">
        <f t="shared" si="19"/>
        <v>0</v>
      </c>
      <c r="M128">
        <v>3.4875746999999999E-2</v>
      </c>
      <c r="N128">
        <f t="shared" si="20"/>
        <v>0</v>
      </c>
      <c r="O128">
        <v>4.5908361673354998E-2</v>
      </c>
      <c r="P128">
        <f t="shared" si="21"/>
        <v>0</v>
      </c>
      <c r="Q128">
        <v>0.34513169500000002</v>
      </c>
      <c r="R128">
        <f t="shared" si="22"/>
        <v>0</v>
      </c>
      <c r="S128">
        <v>8.7878229096529994E-3</v>
      </c>
      <c r="T128">
        <f t="shared" si="18"/>
        <v>0</v>
      </c>
      <c r="U128" s="1">
        <v>0.65486056000000004</v>
      </c>
      <c r="V128">
        <v>1</v>
      </c>
    </row>
    <row r="129" spans="1:22">
      <c r="A129" s="1">
        <v>0</v>
      </c>
      <c r="B129" s="5" t="s">
        <v>135</v>
      </c>
      <c r="C129" s="1">
        <v>0</v>
      </c>
      <c r="D129" s="33">
        <v>0</v>
      </c>
      <c r="E129" s="36">
        <v>0</v>
      </c>
      <c r="F129" s="37">
        <v>0</v>
      </c>
      <c r="G129" s="30">
        <v>1.6458394000000001E-2</v>
      </c>
      <c r="H129">
        <f t="shared" si="13"/>
        <v>0</v>
      </c>
      <c r="I129" s="30">
        <v>3.4257542341948E-2</v>
      </c>
      <c r="J129">
        <f t="shared" si="14"/>
        <v>0</v>
      </c>
      <c r="K129">
        <v>2.0076537504791998E-2</v>
      </c>
      <c r="L129">
        <f t="shared" si="19"/>
        <v>0</v>
      </c>
      <c r="M129" s="30">
        <v>6.09511E-5</v>
      </c>
      <c r="N129">
        <f t="shared" si="20"/>
        <v>0</v>
      </c>
      <c r="O129">
        <v>1.1874473653733999E-2</v>
      </c>
      <c r="P129">
        <f t="shared" si="21"/>
        <v>0</v>
      </c>
      <c r="Q129">
        <v>0.16999082300000001</v>
      </c>
      <c r="R129">
        <f t="shared" si="22"/>
        <v>0</v>
      </c>
      <c r="S129">
        <v>1.2575216591357999E-2</v>
      </c>
      <c r="T129">
        <f t="shared" si="18"/>
        <v>0</v>
      </c>
      <c r="U129" s="5">
        <v>0.28654154999999998</v>
      </c>
      <c r="V129">
        <v>0</v>
      </c>
    </row>
    <row r="130" spans="1:22">
      <c r="A130" s="1">
        <v>0</v>
      </c>
      <c r="B130" s="1" t="s">
        <v>136</v>
      </c>
      <c r="C130" s="1">
        <v>0</v>
      </c>
      <c r="D130" s="33">
        <v>0</v>
      </c>
      <c r="E130" s="36">
        <v>0</v>
      </c>
      <c r="F130" s="37">
        <v>0</v>
      </c>
      <c r="G130" s="30">
        <v>3.5878110999999997E-2</v>
      </c>
      <c r="H130">
        <f t="shared" si="13"/>
        <v>0</v>
      </c>
      <c r="I130">
        <v>3.2831583172082998E-2</v>
      </c>
      <c r="J130">
        <f t="shared" si="14"/>
        <v>0</v>
      </c>
      <c r="K130">
        <v>0.37779805064201299</v>
      </c>
      <c r="L130">
        <f t="shared" si="19"/>
        <v>0</v>
      </c>
      <c r="M130">
        <v>1.7539335E-2</v>
      </c>
      <c r="N130">
        <f t="shared" si="20"/>
        <v>0</v>
      </c>
      <c r="O130">
        <v>5.8679901063442001E-2</v>
      </c>
      <c r="P130">
        <f t="shared" si="21"/>
        <v>0</v>
      </c>
      <c r="Q130">
        <v>0.24524341499999999</v>
      </c>
      <c r="R130">
        <f t="shared" si="22"/>
        <v>0</v>
      </c>
      <c r="S130">
        <v>3.3397987484932001E-2</v>
      </c>
      <c r="T130">
        <f t="shared" si="18"/>
        <v>0</v>
      </c>
      <c r="U130" s="1">
        <v>0.32872614</v>
      </c>
      <c r="V130">
        <v>0</v>
      </c>
    </row>
    <row r="131" spans="1:22">
      <c r="A131" s="1">
        <v>0</v>
      </c>
      <c r="B131" s="1" t="s">
        <v>139</v>
      </c>
      <c r="C131" s="1">
        <v>0</v>
      </c>
      <c r="D131" s="33">
        <v>1</v>
      </c>
      <c r="E131" s="37">
        <v>0</v>
      </c>
      <c r="F131" s="37">
        <v>0</v>
      </c>
      <c r="G131">
        <v>4.4448073999999997E-2</v>
      </c>
      <c r="H131">
        <f t="shared" si="13"/>
        <v>0</v>
      </c>
      <c r="I131">
        <v>0.489819526672363</v>
      </c>
      <c r="J131">
        <f t="shared" si="14"/>
        <v>0</v>
      </c>
      <c r="K131">
        <v>0.28371480107307401</v>
      </c>
      <c r="L131">
        <f t="shared" si="19"/>
        <v>0</v>
      </c>
      <c r="M131">
        <v>0.41181042800000001</v>
      </c>
      <c r="N131">
        <f t="shared" si="20"/>
        <v>0</v>
      </c>
      <c r="O131">
        <v>5.9748098254203998E-2</v>
      </c>
      <c r="P131">
        <f t="shared" si="21"/>
        <v>0</v>
      </c>
      <c r="Q131">
        <v>0.36440253299999997</v>
      </c>
      <c r="R131">
        <f t="shared" si="22"/>
        <v>0</v>
      </c>
      <c r="S131">
        <v>3.5532169044018E-2</v>
      </c>
      <c r="T131">
        <f t="shared" si="18"/>
        <v>0</v>
      </c>
      <c r="U131" s="1">
        <v>0.57106005999999998</v>
      </c>
      <c r="V131">
        <v>0</v>
      </c>
    </row>
    <row r="132" spans="1:22">
      <c r="A132" s="1">
        <v>0</v>
      </c>
      <c r="B132" s="1" t="s">
        <v>140</v>
      </c>
      <c r="C132" s="1">
        <v>0</v>
      </c>
      <c r="D132" s="33">
        <v>0</v>
      </c>
      <c r="E132" s="36">
        <v>0</v>
      </c>
      <c r="F132" s="37">
        <v>0</v>
      </c>
      <c r="G132">
        <v>0.15477733299999999</v>
      </c>
      <c r="H132">
        <f t="shared" si="13"/>
        <v>0</v>
      </c>
      <c r="I132">
        <v>0.27848288416862499</v>
      </c>
      <c r="J132">
        <f t="shared" si="14"/>
        <v>0</v>
      </c>
      <c r="K132">
        <v>0.397126585245132</v>
      </c>
      <c r="L132">
        <f t="shared" si="19"/>
        <v>0</v>
      </c>
      <c r="M132">
        <v>2.8904554999999998E-2</v>
      </c>
      <c r="N132">
        <f t="shared" si="20"/>
        <v>0</v>
      </c>
      <c r="O132">
        <v>0.402879297733307</v>
      </c>
      <c r="P132">
        <f t="shared" si="21"/>
        <v>0</v>
      </c>
      <c r="Q132">
        <v>0.59129655400000003</v>
      </c>
      <c r="R132">
        <f t="shared" si="22"/>
        <v>1</v>
      </c>
      <c r="S132">
        <v>0.39625024795532199</v>
      </c>
      <c r="T132">
        <f t="shared" si="18"/>
        <v>0</v>
      </c>
      <c r="U132" s="1">
        <v>0.72668679999999997</v>
      </c>
      <c r="V132">
        <v>1</v>
      </c>
    </row>
    <row r="133" spans="1:22">
      <c r="A133" s="1">
        <v>0</v>
      </c>
      <c r="B133" s="1" t="s">
        <v>141</v>
      </c>
      <c r="C133" s="1">
        <v>0</v>
      </c>
      <c r="D133" s="33">
        <v>1</v>
      </c>
      <c r="E133" s="37">
        <v>0</v>
      </c>
      <c r="F133" s="37">
        <v>0</v>
      </c>
      <c r="G133">
        <v>6.7553407999999995E-2</v>
      </c>
      <c r="H133">
        <f t="shared" si="13"/>
        <v>0</v>
      </c>
      <c r="I133">
        <v>2.1296806633473001E-2</v>
      </c>
      <c r="J133">
        <f t="shared" si="14"/>
        <v>0</v>
      </c>
      <c r="K133">
        <v>9.6388295292854004E-2</v>
      </c>
      <c r="L133">
        <f t="shared" si="19"/>
        <v>0</v>
      </c>
      <c r="M133">
        <v>8.6403580000000008E-3</v>
      </c>
      <c r="N133">
        <f t="shared" si="20"/>
        <v>0</v>
      </c>
      <c r="O133">
        <v>1.2067687697709001E-2</v>
      </c>
      <c r="P133">
        <f t="shared" si="21"/>
        <v>0</v>
      </c>
      <c r="Q133">
        <v>0.41437158000000002</v>
      </c>
      <c r="R133">
        <f t="shared" si="22"/>
        <v>0</v>
      </c>
      <c r="S133" s="30">
        <v>9.4417584477923797E-5</v>
      </c>
      <c r="T133">
        <f t="shared" si="18"/>
        <v>0</v>
      </c>
      <c r="U133" s="1">
        <v>0.44559777</v>
      </c>
      <c r="V133">
        <v>0</v>
      </c>
    </row>
    <row r="134" spans="1:22">
      <c r="A134" s="1">
        <v>0</v>
      </c>
      <c r="B134" s="1" t="s">
        <v>142</v>
      </c>
      <c r="C134" s="1">
        <v>0</v>
      </c>
      <c r="D134" s="33">
        <v>0</v>
      </c>
      <c r="E134" s="36">
        <v>0</v>
      </c>
      <c r="F134" s="37">
        <v>0</v>
      </c>
      <c r="G134">
        <v>2.5942397999999998E-2</v>
      </c>
      <c r="H134">
        <f t="shared" si="13"/>
        <v>0</v>
      </c>
      <c r="I134">
        <v>4.476436879486E-3</v>
      </c>
      <c r="J134">
        <f t="shared" si="14"/>
        <v>0</v>
      </c>
      <c r="K134">
        <v>4.2664084583521E-2</v>
      </c>
      <c r="L134">
        <f t="shared" si="19"/>
        <v>0</v>
      </c>
      <c r="M134">
        <v>0.30741211800000001</v>
      </c>
      <c r="N134">
        <f t="shared" si="20"/>
        <v>0</v>
      </c>
      <c r="O134">
        <v>1.1238521256E-4</v>
      </c>
      <c r="P134">
        <f t="shared" si="21"/>
        <v>0</v>
      </c>
      <c r="Q134">
        <v>0.245757326</v>
      </c>
      <c r="R134">
        <f t="shared" si="22"/>
        <v>0</v>
      </c>
      <c r="S134">
        <v>1.0477413423359E-2</v>
      </c>
      <c r="T134">
        <f t="shared" si="18"/>
        <v>0</v>
      </c>
      <c r="U134" s="1">
        <v>0.42560740000000002</v>
      </c>
      <c r="V134">
        <v>0</v>
      </c>
    </row>
    <row r="135" spans="1:22">
      <c r="A135" s="1">
        <v>0</v>
      </c>
      <c r="B135" s="1" t="s">
        <v>143</v>
      </c>
      <c r="C135" s="1">
        <v>0</v>
      </c>
      <c r="D135" s="33">
        <v>0</v>
      </c>
      <c r="E135" s="36">
        <v>0</v>
      </c>
      <c r="F135" s="37">
        <v>0</v>
      </c>
      <c r="G135">
        <v>1.4204947000000001E-2</v>
      </c>
      <c r="H135">
        <f t="shared" si="13"/>
        <v>0</v>
      </c>
      <c r="I135">
        <v>3.8453834131360002E-3</v>
      </c>
      <c r="J135">
        <f t="shared" si="14"/>
        <v>0</v>
      </c>
      <c r="K135">
        <v>2.6775289326906E-2</v>
      </c>
      <c r="L135">
        <f t="shared" si="19"/>
        <v>0</v>
      </c>
      <c r="M135">
        <v>4.6951509999999998E-3</v>
      </c>
      <c r="N135">
        <f t="shared" si="20"/>
        <v>0</v>
      </c>
      <c r="O135">
        <v>3.2474694307890002E-3</v>
      </c>
      <c r="P135">
        <f t="shared" si="21"/>
        <v>0</v>
      </c>
      <c r="Q135">
        <v>0.23906142999999999</v>
      </c>
      <c r="R135">
        <f t="shared" si="22"/>
        <v>0</v>
      </c>
      <c r="S135">
        <v>3.2405867241320002E-3</v>
      </c>
      <c r="T135">
        <f t="shared" si="18"/>
        <v>0</v>
      </c>
      <c r="U135" s="1">
        <v>0.59002690000000002</v>
      </c>
      <c r="V135">
        <v>0</v>
      </c>
    </row>
    <row r="136" spans="1:22">
      <c r="A136" s="1">
        <v>0</v>
      </c>
      <c r="B136" s="1" t="s">
        <v>145</v>
      </c>
      <c r="C136" s="1">
        <v>0</v>
      </c>
      <c r="D136" s="33">
        <v>0</v>
      </c>
      <c r="E136" s="36">
        <v>0</v>
      </c>
      <c r="F136" s="37">
        <v>0</v>
      </c>
      <c r="G136">
        <v>0.480093926</v>
      </c>
      <c r="H136">
        <f t="shared" si="13"/>
        <v>0</v>
      </c>
      <c r="I136">
        <v>8.0607816576957994E-2</v>
      </c>
      <c r="J136">
        <f t="shared" si="14"/>
        <v>0</v>
      </c>
      <c r="K136">
        <v>0.33294174075126598</v>
      </c>
      <c r="L136">
        <f t="shared" si="19"/>
        <v>0</v>
      </c>
      <c r="M136">
        <v>1.4860724000000001E-2</v>
      </c>
      <c r="N136">
        <f t="shared" si="20"/>
        <v>0</v>
      </c>
      <c r="O136">
        <v>0.74761152267455999</v>
      </c>
      <c r="P136">
        <f t="shared" si="21"/>
        <v>1</v>
      </c>
      <c r="Q136">
        <v>0.41014361399999999</v>
      </c>
      <c r="R136">
        <f t="shared" si="22"/>
        <v>0</v>
      </c>
      <c r="S136">
        <v>0.12572720646858199</v>
      </c>
      <c r="T136">
        <f t="shared" si="18"/>
        <v>0</v>
      </c>
      <c r="U136" s="1">
        <v>0.62879529999999995</v>
      </c>
      <c r="V136">
        <v>1</v>
      </c>
    </row>
    <row r="137" spans="1:22">
      <c r="A137" s="1">
        <v>0</v>
      </c>
      <c r="B137" s="1" t="s">
        <v>146</v>
      </c>
      <c r="C137" s="1">
        <v>0</v>
      </c>
      <c r="D137" s="33">
        <v>0</v>
      </c>
      <c r="E137" s="36">
        <v>0</v>
      </c>
      <c r="F137" s="37">
        <v>0</v>
      </c>
      <c r="G137" s="30">
        <v>9.7542100000000007E-2</v>
      </c>
      <c r="H137">
        <f t="shared" si="13"/>
        <v>0</v>
      </c>
      <c r="I137" s="30">
        <v>1.2297108769417E-2</v>
      </c>
      <c r="J137">
        <f t="shared" si="14"/>
        <v>0</v>
      </c>
      <c r="K137">
        <v>2.5239685550332E-2</v>
      </c>
      <c r="L137">
        <f t="shared" si="19"/>
        <v>0</v>
      </c>
      <c r="M137" s="30">
        <v>9.6719300000000001E-6</v>
      </c>
      <c r="N137">
        <f t="shared" si="20"/>
        <v>0</v>
      </c>
      <c r="O137">
        <v>0.13465413451194799</v>
      </c>
      <c r="P137">
        <f t="shared" si="21"/>
        <v>0</v>
      </c>
      <c r="Q137">
        <v>0.29796564599999997</v>
      </c>
      <c r="R137">
        <f t="shared" si="22"/>
        <v>0</v>
      </c>
      <c r="S137">
        <v>4.8563748714499998E-4</v>
      </c>
      <c r="T137">
        <f t="shared" si="18"/>
        <v>0</v>
      </c>
      <c r="U137" s="1">
        <v>0.27584920000000002</v>
      </c>
      <c r="V137">
        <v>0</v>
      </c>
    </row>
    <row r="138" spans="1:22">
      <c r="A138" s="1">
        <v>0</v>
      </c>
      <c r="B138" s="1" t="s">
        <v>147</v>
      </c>
      <c r="C138" s="1">
        <v>0</v>
      </c>
      <c r="D138" s="33">
        <v>1</v>
      </c>
      <c r="E138" s="37">
        <v>1</v>
      </c>
      <c r="F138" s="37">
        <v>1</v>
      </c>
      <c r="G138">
        <v>0.51885020699999995</v>
      </c>
      <c r="H138">
        <f t="shared" si="13"/>
        <v>1</v>
      </c>
      <c r="I138">
        <v>0.203592449426651</v>
      </c>
      <c r="J138">
        <f t="shared" si="14"/>
        <v>0</v>
      </c>
      <c r="K138">
        <v>0.60584723949432395</v>
      </c>
      <c r="L138">
        <f t="shared" si="19"/>
        <v>1</v>
      </c>
      <c r="M138">
        <v>1.2495559E-2</v>
      </c>
      <c r="N138">
        <f t="shared" si="20"/>
        <v>0</v>
      </c>
      <c r="O138">
        <v>9.1527611017227006E-2</v>
      </c>
      <c r="P138">
        <f t="shared" si="21"/>
        <v>0</v>
      </c>
      <c r="Q138" s="30">
        <v>0.26090851399999998</v>
      </c>
      <c r="R138">
        <f t="shared" si="22"/>
        <v>0</v>
      </c>
      <c r="S138">
        <v>3.1552799046039998E-2</v>
      </c>
      <c r="T138">
        <f t="shared" si="18"/>
        <v>0</v>
      </c>
      <c r="U138" s="1">
        <v>0.31648248000000001</v>
      </c>
      <c r="V138">
        <v>0</v>
      </c>
    </row>
    <row r="139" spans="1:22">
      <c r="A139" s="1">
        <v>0</v>
      </c>
      <c r="B139" s="1" t="s">
        <v>148</v>
      </c>
      <c r="C139" s="1">
        <v>0</v>
      </c>
      <c r="D139" s="33">
        <v>1</v>
      </c>
      <c r="E139" s="37">
        <v>1</v>
      </c>
      <c r="F139" s="37">
        <v>0</v>
      </c>
      <c r="G139">
        <v>0.49878576400000002</v>
      </c>
      <c r="H139">
        <f t="shared" si="13"/>
        <v>0</v>
      </c>
      <c r="I139">
        <v>0.787461757659912</v>
      </c>
      <c r="J139">
        <f t="shared" si="14"/>
        <v>1</v>
      </c>
      <c r="K139">
        <v>0.49285447597503701</v>
      </c>
      <c r="L139">
        <f t="shared" si="19"/>
        <v>0</v>
      </c>
      <c r="M139">
        <v>0.33441811799999999</v>
      </c>
      <c r="N139">
        <f t="shared" si="20"/>
        <v>0</v>
      </c>
      <c r="O139">
        <v>0.98073709011077903</v>
      </c>
      <c r="P139">
        <f t="shared" si="21"/>
        <v>1</v>
      </c>
      <c r="Q139">
        <v>0.83091557000000005</v>
      </c>
      <c r="R139">
        <f t="shared" si="22"/>
        <v>1</v>
      </c>
      <c r="S139">
        <v>0.86757707595825195</v>
      </c>
      <c r="T139">
        <f t="shared" si="18"/>
        <v>1</v>
      </c>
      <c r="U139" s="1">
        <v>0.71149110000000004</v>
      </c>
      <c r="V139">
        <v>1</v>
      </c>
    </row>
    <row r="140" spans="1:22">
      <c r="A140" s="1">
        <v>0</v>
      </c>
      <c r="B140" s="1" t="s">
        <v>149</v>
      </c>
      <c r="C140" s="1">
        <v>0</v>
      </c>
      <c r="D140" s="33">
        <v>0</v>
      </c>
      <c r="E140" s="36">
        <v>0</v>
      </c>
      <c r="F140" s="37">
        <v>0</v>
      </c>
      <c r="G140">
        <v>0.26931205400000002</v>
      </c>
      <c r="H140">
        <f t="shared" si="13"/>
        <v>0</v>
      </c>
      <c r="I140">
        <v>3.8888841867446997E-2</v>
      </c>
      <c r="J140">
        <f t="shared" si="14"/>
        <v>0</v>
      </c>
      <c r="K140">
        <v>0.29234361648559598</v>
      </c>
      <c r="L140">
        <f t="shared" si="19"/>
        <v>0</v>
      </c>
      <c r="M140">
        <v>0.122110307</v>
      </c>
      <c r="N140">
        <f t="shared" si="20"/>
        <v>0</v>
      </c>
      <c r="O140">
        <v>0.31948825716972301</v>
      </c>
      <c r="P140">
        <f t="shared" si="21"/>
        <v>0</v>
      </c>
      <c r="Q140">
        <v>0.49828493600000001</v>
      </c>
      <c r="R140">
        <f t="shared" si="22"/>
        <v>0</v>
      </c>
      <c r="S140">
        <v>0.56539106369018499</v>
      </c>
      <c r="T140">
        <f t="shared" si="18"/>
        <v>1</v>
      </c>
      <c r="U140" s="1">
        <v>0.34305330000000001</v>
      </c>
      <c r="V140">
        <v>0</v>
      </c>
    </row>
    <row r="141" spans="1:22">
      <c r="A141" s="1">
        <v>0</v>
      </c>
      <c r="B141" s="1" t="s">
        <v>150</v>
      </c>
      <c r="C141" s="1">
        <v>0</v>
      </c>
      <c r="D141" s="33">
        <v>0</v>
      </c>
      <c r="E141" s="36">
        <v>0</v>
      </c>
      <c r="F141" s="37">
        <v>0</v>
      </c>
      <c r="G141" s="30">
        <v>0.18000856000000001</v>
      </c>
      <c r="H141">
        <f t="shared" si="13"/>
        <v>0</v>
      </c>
      <c r="I141" s="30">
        <v>2.0754089578986001E-2</v>
      </c>
      <c r="J141">
        <f t="shared" si="14"/>
        <v>0</v>
      </c>
      <c r="K141" s="30">
        <v>5.6533470749855E-2</v>
      </c>
      <c r="L141">
        <f t="shared" si="19"/>
        <v>0</v>
      </c>
      <c r="M141">
        <v>3.7158299999999998E-4</v>
      </c>
      <c r="N141">
        <f t="shared" si="20"/>
        <v>0</v>
      </c>
      <c r="O141">
        <v>3.0333788599819999E-3</v>
      </c>
      <c r="P141">
        <f t="shared" si="21"/>
        <v>0</v>
      </c>
      <c r="Q141">
        <v>5.6485674999999999E-2</v>
      </c>
      <c r="R141">
        <f t="shared" si="22"/>
        <v>0</v>
      </c>
      <c r="S141">
        <v>1.84214062756E-4</v>
      </c>
      <c r="T141">
        <f t="shared" si="18"/>
        <v>0</v>
      </c>
      <c r="U141" s="1">
        <v>0.27318870000000001</v>
      </c>
      <c r="V141">
        <v>0</v>
      </c>
    </row>
    <row r="142" spans="1:22">
      <c r="A142" s="1">
        <v>0</v>
      </c>
      <c r="B142" s="1" t="s">
        <v>151</v>
      </c>
      <c r="C142" s="1">
        <v>0</v>
      </c>
      <c r="D142" s="33">
        <v>0</v>
      </c>
      <c r="E142" s="36">
        <v>0</v>
      </c>
      <c r="F142" s="37">
        <v>0</v>
      </c>
      <c r="G142" s="30">
        <v>2.6953392E-2</v>
      </c>
      <c r="H142">
        <f t="shared" ref="H142:H199" si="23">IF(G142&gt;$A$2,1,0)</f>
        <v>0</v>
      </c>
      <c r="I142" s="30">
        <v>5.8104677009396302E-5</v>
      </c>
      <c r="J142">
        <f t="shared" ref="J142:J199" si="24">IF(I142&gt;$A$2,1,0)</f>
        <v>0</v>
      </c>
      <c r="K142" s="30">
        <v>2.0711647812280002E-3</v>
      </c>
      <c r="L142">
        <f t="shared" si="19"/>
        <v>0</v>
      </c>
      <c r="M142" s="30">
        <v>2.4864500000000001E-8</v>
      </c>
      <c r="N142">
        <f t="shared" si="20"/>
        <v>0</v>
      </c>
      <c r="O142" s="30">
        <v>1.4055217434361101E-6</v>
      </c>
      <c r="P142">
        <f t="shared" si="21"/>
        <v>0</v>
      </c>
      <c r="Q142">
        <v>9.5551549999999999E-2</v>
      </c>
      <c r="R142">
        <f t="shared" si="22"/>
        <v>0</v>
      </c>
      <c r="S142">
        <v>2.4139223387500001E-4</v>
      </c>
      <c r="T142">
        <f>IF(S142&gt;$A$2,1,0)</f>
        <v>0</v>
      </c>
      <c r="U142" s="1">
        <v>0.23419860000000001</v>
      </c>
      <c r="V142">
        <v>0</v>
      </c>
    </row>
    <row r="143" spans="1:22">
      <c r="A143" s="1">
        <v>0</v>
      </c>
      <c r="B143" s="1" t="s">
        <v>152</v>
      </c>
      <c r="C143" s="1">
        <v>0</v>
      </c>
      <c r="D143" s="33">
        <v>1</v>
      </c>
      <c r="E143" s="36">
        <v>0</v>
      </c>
      <c r="F143" s="37">
        <v>0</v>
      </c>
      <c r="G143">
        <v>8.3646432000000007E-2</v>
      </c>
      <c r="H143">
        <f t="shared" si="23"/>
        <v>0</v>
      </c>
      <c r="I143">
        <v>0.179393336176872</v>
      </c>
      <c r="J143">
        <f t="shared" si="24"/>
        <v>0</v>
      </c>
      <c r="K143">
        <v>0.12419074773788399</v>
      </c>
      <c r="L143">
        <f t="shared" si="19"/>
        <v>0</v>
      </c>
      <c r="M143">
        <v>8.1253590000000004E-3</v>
      </c>
      <c r="N143">
        <f t="shared" si="20"/>
        <v>0</v>
      </c>
      <c r="O143">
        <v>1.3750459067524E-2</v>
      </c>
      <c r="P143">
        <f t="shared" si="21"/>
        <v>0</v>
      </c>
      <c r="Q143">
        <v>0.21928529399999999</v>
      </c>
      <c r="R143">
        <f t="shared" si="22"/>
        <v>0</v>
      </c>
      <c r="S143">
        <v>1.9354801625013001E-2</v>
      </c>
      <c r="T143">
        <f>IF(S143&gt;$A$2,1,0)</f>
        <v>0</v>
      </c>
      <c r="U143" s="1">
        <v>0.44073072000000002</v>
      </c>
      <c r="V143">
        <v>0</v>
      </c>
    </row>
    <row r="144" spans="1:22">
      <c r="A144" s="1">
        <v>0</v>
      </c>
      <c r="B144" s="1" t="s">
        <v>153</v>
      </c>
      <c r="C144" s="1">
        <v>0</v>
      </c>
      <c r="D144" s="33">
        <v>0</v>
      </c>
      <c r="E144" s="36">
        <v>0</v>
      </c>
      <c r="F144" s="37">
        <v>0</v>
      </c>
      <c r="G144" s="30">
        <v>8.5052646999999995E-2</v>
      </c>
      <c r="H144">
        <f t="shared" si="23"/>
        <v>0</v>
      </c>
      <c r="I144">
        <v>4.0601689368486002E-2</v>
      </c>
      <c r="J144">
        <f t="shared" si="24"/>
        <v>0</v>
      </c>
      <c r="K144">
        <v>0.57854628562927202</v>
      </c>
      <c r="L144">
        <f t="shared" si="19"/>
        <v>1</v>
      </c>
      <c r="M144">
        <v>2.4025343000000001E-2</v>
      </c>
      <c r="N144">
        <f t="shared" si="20"/>
        <v>0</v>
      </c>
      <c r="O144">
        <v>0.170042499899864</v>
      </c>
      <c r="P144">
        <f t="shared" si="21"/>
        <v>0</v>
      </c>
      <c r="Q144">
        <v>0.70592337800000005</v>
      </c>
      <c r="R144">
        <f t="shared" si="22"/>
        <v>1</v>
      </c>
      <c r="S144">
        <v>1.4734447468070001E-3</v>
      </c>
      <c r="T144">
        <f t="shared" ref="T144:T201" si="25">IF(S144&gt;$A$2,1,0)</f>
        <v>0</v>
      </c>
      <c r="U144" s="1">
        <v>0.56365350000000003</v>
      </c>
      <c r="V144">
        <v>0</v>
      </c>
    </row>
    <row r="145" spans="1:22">
      <c r="A145" s="1">
        <v>0</v>
      </c>
      <c r="B145" s="1" t="s">
        <v>154</v>
      </c>
      <c r="C145" s="1">
        <v>0</v>
      </c>
      <c r="D145" s="33">
        <v>0</v>
      </c>
      <c r="E145" s="36">
        <v>0</v>
      </c>
      <c r="F145" s="37">
        <v>0</v>
      </c>
      <c r="G145">
        <v>0.22388434400000001</v>
      </c>
      <c r="H145">
        <f t="shared" si="23"/>
        <v>0</v>
      </c>
      <c r="I145">
        <v>4.7187488526105999E-2</v>
      </c>
      <c r="J145">
        <f t="shared" si="24"/>
        <v>0</v>
      </c>
      <c r="K145">
        <v>0.15592107176780701</v>
      </c>
      <c r="L145">
        <f t="shared" si="19"/>
        <v>0</v>
      </c>
      <c r="M145">
        <v>9.7057856999999997E-2</v>
      </c>
      <c r="N145">
        <f t="shared" si="20"/>
        <v>0</v>
      </c>
      <c r="O145">
        <v>0.13737861812114699</v>
      </c>
      <c r="P145">
        <f t="shared" si="21"/>
        <v>0</v>
      </c>
      <c r="Q145" s="30">
        <v>0.258897245</v>
      </c>
      <c r="R145">
        <f t="shared" si="22"/>
        <v>0</v>
      </c>
      <c r="S145" s="30">
        <v>3.72492778115E-3</v>
      </c>
      <c r="T145">
        <f t="shared" si="25"/>
        <v>0</v>
      </c>
      <c r="U145" s="1">
        <v>0.2063016</v>
      </c>
      <c r="V145">
        <v>0</v>
      </c>
    </row>
    <row r="146" spans="1:22">
      <c r="A146" s="1">
        <v>0</v>
      </c>
      <c r="B146" s="1" t="s">
        <v>155</v>
      </c>
      <c r="C146" s="1">
        <v>0</v>
      </c>
      <c r="D146" s="33">
        <v>0</v>
      </c>
      <c r="E146" s="36">
        <v>0</v>
      </c>
      <c r="F146" s="37">
        <v>0</v>
      </c>
      <c r="G146" s="30">
        <v>0.120762035</v>
      </c>
      <c r="H146">
        <f t="shared" si="23"/>
        <v>0</v>
      </c>
      <c r="I146" s="30">
        <v>2.7721582446250002E-3</v>
      </c>
      <c r="J146">
        <f t="shared" si="24"/>
        <v>0</v>
      </c>
      <c r="K146">
        <v>0.10207210481166799</v>
      </c>
      <c r="L146">
        <f t="shared" si="19"/>
        <v>0</v>
      </c>
      <c r="M146" s="30">
        <v>6.2529599999999998E-5</v>
      </c>
      <c r="N146">
        <f t="shared" si="20"/>
        <v>0</v>
      </c>
      <c r="O146">
        <v>2.857612678781E-3</v>
      </c>
      <c r="P146">
        <f t="shared" si="21"/>
        <v>0</v>
      </c>
      <c r="Q146">
        <v>0.22087503999999999</v>
      </c>
      <c r="R146">
        <f t="shared" si="22"/>
        <v>0</v>
      </c>
      <c r="S146" s="30">
        <v>2.0339797629276301E-5</v>
      </c>
      <c r="T146">
        <f t="shared" si="25"/>
        <v>0</v>
      </c>
      <c r="U146" s="1">
        <v>0.22746738999999999</v>
      </c>
      <c r="V146">
        <v>0</v>
      </c>
    </row>
    <row r="147" spans="1:22">
      <c r="A147" s="1">
        <v>0</v>
      </c>
      <c r="B147" s="1" t="s">
        <v>156</v>
      </c>
      <c r="C147" s="1">
        <v>0</v>
      </c>
      <c r="D147" s="33">
        <v>0</v>
      </c>
      <c r="E147" s="37">
        <v>0</v>
      </c>
      <c r="F147" s="37">
        <v>0</v>
      </c>
      <c r="G147" s="30">
        <v>1.0256015E-2</v>
      </c>
      <c r="H147">
        <f t="shared" si="23"/>
        <v>0</v>
      </c>
      <c r="I147" s="30">
        <v>3.9635601569899999E-4</v>
      </c>
      <c r="J147">
        <f t="shared" si="24"/>
        <v>0</v>
      </c>
      <c r="K147">
        <v>1.4108120463789E-2</v>
      </c>
      <c r="L147">
        <f t="shared" si="19"/>
        <v>0</v>
      </c>
      <c r="M147" s="30">
        <v>6.8720399999999999E-6</v>
      </c>
      <c r="N147">
        <f t="shared" si="20"/>
        <v>0</v>
      </c>
      <c r="O147">
        <v>6.2934886664150003E-3</v>
      </c>
      <c r="P147">
        <f t="shared" si="21"/>
        <v>0</v>
      </c>
      <c r="Q147">
        <v>0.52321320800000004</v>
      </c>
      <c r="R147">
        <f t="shared" si="22"/>
        <v>1</v>
      </c>
      <c r="S147" s="30">
        <v>2.05876604013611E-5</v>
      </c>
      <c r="T147">
        <f t="shared" si="25"/>
        <v>0</v>
      </c>
      <c r="U147" s="1">
        <v>0.25919439999999999</v>
      </c>
      <c r="V147">
        <v>0</v>
      </c>
    </row>
    <row r="148" spans="1:22">
      <c r="A148" s="1">
        <v>0</v>
      </c>
      <c r="B148" s="2" t="s">
        <v>157</v>
      </c>
      <c r="C148" s="1">
        <v>0</v>
      </c>
      <c r="D148" s="33">
        <v>1</v>
      </c>
      <c r="E148" s="37">
        <v>1</v>
      </c>
      <c r="F148" s="37">
        <v>1</v>
      </c>
      <c r="G148">
        <v>0.7284621</v>
      </c>
      <c r="H148">
        <f t="shared" si="23"/>
        <v>1</v>
      </c>
      <c r="I148">
        <v>0.96122372150421098</v>
      </c>
      <c r="J148">
        <f t="shared" si="24"/>
        <v>1</v>
      </c>
      <c r="K148">
        <v>0.91862046718597401</v>
      </c>
      <c r="L148">
        <f t="shared" si="19"/>
        <v>1</v>
      </c>
      <c r="M148">
        <v>0.69003331700000003</v>
      </c>
      <c r="N148">
        <f t="shared" si="20"/>
        <v>1</v>
      </c>
      <c r="O148">
        <v>0.61932009458541903</v>
      </c>
      <c r="P148">
        <f t="shared" si="21"/>
        <v>1</v>
      </c>
      <c r="Q148">
        <v>0.77480167200000005</v>
      </c>
      <c r="R148">
        <f t="shared" si="22"/>
        <v>1</v>
      </c>
      <c r="S148">
        <v>0.29754430055618297</v>
      </c>
      <c r="T148">
        <f t="shared" si="25"/>
        <v>0</v>
      </c>
      <c r="U148" s="2">
        <v>0.64433384000000005</v>
      </c>
      <c r="V148">
        <v>1</v>
      </c>
    </row>
    <row r="149" spans="1:22">
      <c r="A149" s="1">
        <v>1</v>
      </c>
      <c r="B149" s="1" t="s">
        <v>158</v>
      </c>
      <c r="C149" s="1">
        <v>1</v>
      </c>
      <c r="D149" s="33">
        <v>1</v>
      </c>
      <c r="E149" s="37">
        <v>1</v>
      </c>
      <c r="F149" s="37">
        <v>1</v>
      </c>
      <c r="G149">
        <v>0.951753497</v>
      </c>
      <c r="H149">
        <f t="shared" si="23"/>
        <v>1</v>
      </c>
      <c r="I149">
        <v>0.97385513782501198</v>
      </c>
      <c r="J149">
        <f t="shared" si="24"/>
        <v>1</v>
      </c>
      <c r="K149">
        <v>0.82945275306701705</v>
      </c>
      <c r="L149">
        <f t="shared" si="19"/>
        <v>1</v>
      </c>
      <c r="M149">
        <v>0.99892103700000001</v>
      </c>
      <c r="N149">
        <f t="shared" si="20"/>
        <v>1</v>
      </c>
      <c r="O149">
        <v>0.99973422288894598</v>
      </c>
      <c r="P149">
        <f t="shared" si="21"/>
        <v>1</v>
      </c>
      <c r="Q149">
        <v>0.66198575500000001</v>
      </c>
      <c r="R149">
        <f t="shared" si="22"/>
        <v>1</v>
      </c>
      <c r="S149">
        <v>0.33785822987556502</v>
      </c>
      <c r="T149">
        <f t="shared" si="25"/>
        <v>0</v>
      </c>
      <c r="U149" s="1">
        <v>0.76604240000000001</v>
      </c>
      <c r="V149">
        <v>1</v>
      </c>
    </row>
    <row r="150" spans="1:22">
      <c r="A150" s="1">
        <v>1</v>
      </c>
      <c r="B150" s="1" t="s">
        <v>159</v>
      </c>
      <c r="C150" s="1">
        <v>1</v>
      </c>
      <c r="D150" s="33">
        <v>1</v>
      </c>
      <c r="E150" s="37">
        <v>1</v>
      </c>
      <c r="F150" s="37">
        <v>1</v>
      </c>
      <c r="G150">
        <v>0.92899352300000004</v>
      </c>
      <c r="H150">
        <f t="shared" si="23"/>
        <v>1</v>
      </c>
      <c r="I150">
        <v>0.96038240194320701</v>
      </c>
      <c r="J150">
        <f t="shared" si="24"/>
        <v>1</v>
      </c>
      <c r="K150">
        <v>0.69298899173736594</v>
      </c>
      <c r="L150">
        <f t="shared" si="19"/>
        <v>1</v>
      </c>
      <c r="M150">
        <v>0.60896396600000002</v>
      </c>
      <c r="N150">
        <f t="shared" si="20"/>
        <v>1</v>
      </c>
      <c r="O150">
        <v>0.97859585285186801</v>
      </c>
      <c r="P150">
        <f t="shared" si="21"/>
        <v>1</v>
      </c>
      <c r="Q150">
        <v>0.60716915100000002</v>
      </c>
      <c r="R150">
        <f t="shared" si="22"/>
        <v>1</v>
      </c>
      <c r="S150">
        <v>0.25257992744445801</v>
      </c>
      <c r="T150">
        <f t="shared" si="25"/>
        <v>0</v>
      </c>
      <c r="U150" s="1">
        <v>0.66527760000000002</v>
      </c>
      <c r="V150">
        <v>1</v>
      </c>
    </row>
    <row r="151" spans="1:22">
      <c r="A151" s="1">
        <v>1</v>
      </c>
      <c r="B151" s="1" t="s">
        <v>160</v>
      </c>
      <c r="C151" s="1">
        <v>1</v>
      </c>
      <c r="D151" s="33">
        <v>0</v>
      </c>
      <c r="E151" s="36">
        <v>0</v>
      </c>
      <c r="F151" s="37">
        <v>1</v>
      </c>
      <c r="G151">
        <v>0.66261649099999997</v>
      </c>
      <c r="H151">
        <f t="shared" si="23"/>
        <v>1</v>
      </c>
      <c r="I151">
        <v>0.746865034103394</v>
      </c>
      <c r="J151">
        <f t="shared" si="24"/>
        <v>1</v>
      </c>
      <c r="K151">
        <v>0.86566096544265803</v>
      </c>
      <c r="L151">
        <f t="shared" si="19"/>
        <v>1</v>
      </c>
      <c r="M151">
        <v>0.32747551800000002</v>
      </c>
      <c r="N151">
        <f t="shared" si="20"/>
        <v>0</v>
      </c>
      <c r="O151">
        <v>0.87151700258255005</v>
      </c>
      <c r="P151">
        <f t="shared" si="21"/>
        <v>1</v>
      </c>
      <c r="Q151">
        <v>0.72051554900000003</v>
      </c>
      <c r="R151">
        <f t="shared" si="22"/>
        <v>1</v>
      </c>
      <c r="S151">
        <v>0.73025667667388905</v>
      </c>
      <c r="T151">
        <f t="shared" si="25"/>
        <v>1</v>
      </c>
      <c r="U151" s="1">
        <v>0.62181306000000003</v>
      </c>
      <c r="V151">
        <v>1</v>
      </c>
    </row>
    <row r="152" spans="1:22">
      <c r="A152" s="1">
        <v>1</v>
      </c>
      <c r="B152" s="1" t="s">
        <v>161</v>
      </c>
      <c r="C152" s="1">
        <v>1</v>
      </c>
      <c r="D152" s="33">
        <v>1</v>
      </c>
      <c r="E152" s="37">
        <v>1</v>
      </c>
      <c r="F152" s="37">
        <v>1</v>
      </c>
      <c r="G152">
        <v>0.91414183400000004</v>
      </c>
      <c r="H152">
        <f t="shared" si="23"/>
        <v>1</v>
      </c>
      <c r="I152">
        <v>0.99228787422180198</v>
      </c>
      <c r="J152">
        <f t="shared" si="24"/>
        <v>1</v>
      </c>
      <c r="K152">
        <v>0.96219348907470703</v>
      </c>
      <c r="L152">
        <f t="shared" si="19"/>
        <v>1</v>
      </c>
      <c r="M152">
        <v>0.96780628000000002</v>
      </c>
      <c r="N152">
        <f t="shared" si="20"/>
        <v>1</v>
      </c>
      <c r="O152">
        <v>0.99706536531448298</v>
      </c>
      <c r="P152">
        <f t="shared" si="21"/>
        <v>1</v>
      </c>
      <c r="Q152">
        <v>0.77005606900000001</v>
      </c>
      <c r="R152">
        <f t="shared" si="22"/>
        <v>1</v>
      </c>
      <c r="S152">
        <v>0.99839681386947599</v>
      </c>
      <c r="T152">
        <f t="shared" si="25"/>
        <v>1</v>
      </c>
      <c r="U152" s="1">
        <v>0.78444104999999997</v>
      </c>
      <c r="V152">
        <v>1</v>
      </c>
    </row>
    <row r="153" spans="1:22">
      <c r="A153" s="1">
        <v>1</v>
      </c>
      <c r="B153" s="1" t="s">
        <v>162</v>
      </c>
      <c r="C153" s="1">
        <v>1</v>
      </c>
      <c r="D153" s="33">
        <v>1</v>
      </c>
      <c r="E153" s="37">
        <v>1</v>
      </c>
      <c r="F153" s="37">
        <v>1</v>
      </c>
      <c r="G153">
        <v>0.91461300800000001</v>
      </c>
      <c r="H153">
        <f t="shared" si="23"/>
        <v>1</v>
      </c>
      <c r="I153">
        <v>0.99892246723175004</v>
      </c>
      <c r="J153">
        <f t="shared" si="24"/>
        <v>1</v>
      </c>
      <c r="K153">
        <v>0.96316492557525601</v>
      </c>
      <c r="L153">
        <f t="shared" si="19"/>
        <v>1</v>
      </c>
      <c r="M153">
        <v>0.97104191799999995</v>
      </c>
      <c r="N153">
        <f t="shared" si="20"/>
        <v>1</v>
      </c>
      <c r="O153">
        <v>0.99936908483505205</v>
      </c>
      <c r="P153">
        <f t="shared" si="21"/>
        <v>1</v>
      </c>
      <c r="Q153">
        <v>0.77063125399999999</v>
      </c>
      <c r="R153">
        <f t="shared" si="22"/>
        <v>1</v>
      </c>
      <c r="S153">
        <v>0.992045879364014</v>
      </c>
      <c r="T153">
        <f t="shared" si="25"/>
        <v>1</v>
      </c>
      <c r="U153" s="1">
        <v>0.67350847000000003</v>
      </c>
      <c r="V153">
        <v>1</v>
      </c>
    </row>
    <row r="154" spans="1:22">
      <c r="A154" s="1">
        <v>1</v>
      </c>
      <c r="B154" s="1" t="s">
        <v>163</v>
      </c>
      <c r="C154" s="1">
        <v>1</v>
      </c>
      <c r="D154" s="33">
        <v>1</v>
      </c>
      <c r="E154" s="37">
        <v>1</v>
      </c>
      <c r="F154" s="37">
        <v>1</v>
      </c>
      <c r="G154">
        <v>0.96402287499999995</v>
      </c>
      <c r="H154">
        <f t="shared" si="23"/>
        <v>1</v>
      </c>
      <c r="I154">
        <v>0.99600285291671797</v>
      </c>
      <c r="J154">
        <f t="shared" si="24"/>
        <v>1</v>
      </c>
      <c r="K154">
        <v>0.99957531690597501</v>
      </c>
      <c r="L154">
        <f t="shared" si="19"/>
        <v>1</v>
      </c>
      <c r="M154">
        <v>0.99985861799999998</v>
      </c>
      <c r="N154">
        <f t="shared" si="20"/>
        <v>1</v>
      </c>
      <c r="O154">
        <v>0.99947923421859697</v>
      </c>
      <c r="P154">
        <f t="shared" si="21"/>
        <v>1</v>
      </c>
      <c r="Q154">
        <v>0.93931639200000006</v>
      </c>
      <c r="R154">
        <f t="shared" si="22"/>
        <v>1</v>
      </c>
      <c r="S154">
        <v>0.99945503473281905</v>
      </c>
      <c r="T154">
        <f t="shared" si="25"/>
        <v>1</v>
      </c>
      <c r="U154" s="1">
        <v>0.78379345</v>
      </c>
      <c r="V154">
        <v>1</v>
      </c>
    </row>
    <row r="155" spans="1:22">
      <c r="A155" s="1">
        <v>1</v>
      </c>
      <c r="B155" s="1" t="s">
        <v>164</v>
      </c>
      <c r="C155" s="1">
        <v>1</v>
      </c>
      <c r="D155" s="33">
        <v>1</v>
      </c>
      <c r="E155" s="37">
        <v>1</v>
      </c>
      <c r="F155" s="37">
        <v>1</v>
      </c>
      <c r="G155">
        <v>0.97498524200000003</v>
      </c>
      <c r="H155">
        <f t="shared" si="23"/>
        <v>1</v>
      </c>
      <c r="I155">
        <v>0.99994099140167203</v>
      </c>
      <c r="J155">
        <f t="shared" si="24"/>
        <v>1</v>
      </c>
      <c r="K155">
        <v>0.99879455566406194</v>
      </c>
      <c r="L155">
        <f t="shared" si="19"/>
        <v>1</v>
      </c>
      <c r="M155">
        <v>0.99941682799999998</v>
      </c>
      <c r="N155">
        <f t="shared" si="20"/>
        <v>1</v>
      </c>
      <c r="O155">
        <v>0.99999904632568404</v>
      </c>
      <c r="P155">
        <f t="shared" si="21"/>
        <v>1</v>
      </c>
      <c r="Q155">
        <v>0.92631036</v>
      </c>
      <c r="R155">
        <f t="shared" si="22"/>
        <v>1</v>
      </c>
      <c r="S155">
        <v>0.999989032745361</v>
      </c>
      <c r="T155">
        <f t="shared" si="25"/>
        <v>1</v>
      </c>
      <c r="U155" s="1">
        <v>0.789497</v>
      </c>
      <c r="V155">
        <v>1</v>
      </c>
    </row>
    <row r="156" spans="1:22">
      <c r="A156" s="1">
        <v>1</v>
      </c>
      <c r="B156" s="1" t="s">
        <v>165</v>
      </c>
      <c r="C156" s="1">
        <v>1</v>
      </c>
      <c r="D156" s="33">
        <v>1</v>
      </c>
      <c r="E156" s="37">
        <v>1</v>
      </c>
      <c r="F156" s="37">
        <v>1</v>
      </c>
      <c r="G156">
        <v>0.77401894299999996</v>
      </c>
      <c r="H156">
        <f t="shared" si="23"/>
        <v>1</v>
      </c>
      <c r="I156">
        <v>0.82083934545517001</v>
      </c>
      <c r="J156">
        <f t="shared" si="24"/>
        <v>1</v>
      </c>
      <c r="K156">
        <v>0.51227575540542603</v>
      </c>
      <c r="L156">
        <f t="shared" si="19"/>
        <v>1</v>
      </c>
      <c r="M156">
        <v>0.91363877100000002</v>
      </c>
      <c r="N156">
        <f t="shared" si="20"/>
        <v>1</v>
      </c>
      <c r="O156">
        <v>0.99320316314697299</v>
      </c>
      <c r="P156">
        <f t="shared" si="21"/>
        <v>1</v>
      </c>
      <c r="Q156">
        <v>0.70496475700000005</v>
      </c>
      <c r="R156">
        <f t="shared" si="22"/>
        <v>1</v>
      </c>
      <c r="S156">
        <v>0.70711374282836903</v>
      </c>
      <c r="T156">
        <f t="shared" si="25"/>
        <v>1</v>
      </c>
      <c r="U156" s="1">
        <v>0.61346970000000001</v>
      </c>
      <c r="V156">
        <v>1</v>
      </c>
    </row>
    <row r="157" spans="1:22">
      <c r="A157" s="1">
        <v>1</v>
      </c>
      <c r="B157" s="1" t="s">
        <v>166</v>
      </c>
      <c r="C157" s="1">
        <v>1</v>
      </c>
      <c r="D157" s="33">
        <v>1</v>
      </c>
      <c r="E157" s="37">
        <v>1</v>
      </c>
      <c r="F157" s="37">
        <v>1</v>
      </c>
      <c r="G157">
        <v>0.94853001800000003</v>
      </c>
      <c r="H157">
        <f t="shared" si="23"/>
        <v>1</v>
      </c>
      <c r="I157">
        <v>0.999414682388306</v>
      </c>
      <c r="J157">
        <f t="shared" si="24"/>
        <v>1</v>
      </c>
      <c r="K157">
        <v>0.99249237775802601</v>
      </c>
      <c r="L157">
        <f t="shared" si="19"/>
        <v>1</v>
      </c>
      <c r="M157">
        <v>0.96189099600000005</v>
      </c>
      <c r="N157">
        <f t="shared" si="20"/>
        <v>1</v>
      </c>
      <c r="O157">
        <v>0.99993705749511697</v>
      </c>
      <c r="P157">
        <f t="shared" si="21"/>
        <v>1</v>
      </c>
      <c r="Q157">
        <v>0.88016325200000001</v>
      </c>
      <c r="R157">
        <f t="shared" si="22"/>
        <v>1</v>
      </c>
      <c r="S157">
        <v>0.99615967273712203</v>
      </c>
      <c r="T157">
        <f t="shared" si="25"/>
        <v>1</v>
      </c>
      <c r="U157" s="1">
        <v>0.76760680000000003</v>
      </c>
      <c r="V157">
        <v>1</v>
      </c>
    </row>
    <row r="158" spans="1:22">
      <c r="A158" s="1">
        <v>1</v>
      </c>
      <c r="B158" s="1" t="s">
        <v>168</v>
      </c>
      <c r="C158" s="1">
        <v>1</v>
      </c>
      <c r="D158" s="33">
        <v>1</v>
      </c>
      <c r="E158" s="37">
        <v>1</v>
      </c>
      <c r="F158" s="37">
        <v>1</v>
      </c>
      <c r="G158">
        <v>0.68547755499999996</v>
      </c>
      <c r="H158">
        <f t="shared" si="23"/>
        <v>1</v>
      </c>
      <c r="I158">
        <v>0.52470785379409801</v>
      </c>
      <c r="J158">
        <f t="shared" si="24"/>
        <v>1</v>
      </c>
      <c r="K158">
        <v>0.86440020799636796</v>
      </c>
      <c r="L158">
        <f t="shared" si="19"/>
        <v>1</v>
      </c>
      <c r="M158">
        <v>0.94643092200000001</v>
      </c>
      <c r="N158">
        <f t="shared" si="20"/>
        <v>1</v>
      </c>
      <c r="O158">
        <v>0.66450870037078902</v>
      </c>
      <c r="P158">
        <f t="shared" si="21"/>
        <v>1</v>
      </c>
      <c r="Q158">
        <v>0.59338670999999998</v>
      </c>
      <c r="R158">
        <f t="shared" si="22"/>
        <v>1</v>
      </c>
      <c r="S158">
        <v>0.99636155366897605</v>
      </c>
      <c r="T158">
        <f t="shared" si="25"/>
        <v>1</v>
      </c>
      <c r="U158" s="1">
        <v>0.62300350000000004</v>
      </c>
      <c r="V158">
        <v>1</v>
      </c>
    </row>
    <row r="159" spans="1:22">
      <c r="A159" s="1">
        <v>1</v>
      </c>
      <c r="B159" s="1" t="s">
        <v>169</v>
      </c>
      <c r="C159" s="1">
        <v>1</v>
      </c>
      <c r="D159" s="33">
        <v>1</v>
      </c>
      <c r="E159" s="37">
        <v>1</v>
      </c>
      <c r="F159" s="37">
        <v>1</v>
      </c>
      <c r="G159">
        <v>0.95854389699999998</v>
      </c>
      <c r="H159">
        <f t="shared" si="23"/>
        <v>1</v>
      </c>
      <c r="I159">
        <v>0.99859529733657804</v>
      </c>
      <c r="J159">
        <f t="shared" si="24"/>
        <v>1</v>
      </c>
      <c r="K159">
        <v>0.99076217412948597</v>
      </c>
      <c r="L159">
        <f t="shared" si="19"/>
        <v>1</v>
      </c>
      <c r="M159">
        <v>0.99999988100000003</v>
      </c>
      <c r="N159">
        <f t="shared" si="20"/>
        <v>1</v>
      </c>
      <c r="O159">
        <v>0.99918586015701305</v>
      </c>
      <c r="P159">
        <f t="shared" si="21"/>
        <v>1</v>
      </c>
      <c r="Q159">
        <v>0.88797730200000002</v>
      </c>
      <c r="R159">
        <f t="shared" si="22"/>
        <v>1</v>
      </c>
      <c r="S159">
        <v>0.998801589012146</v>
      </c>
      <c r="T159">
        <f t="shared" si="25"/>
        <v>1</v>
      </c>
      <c r="U159" s="1">
        <v>0.78445430000000005</v>
      </c>
      <c r="V159">
        <v>1</v>
      </c>
    </row>
    <row r="160" spans="1:22">
      <c r="A160" s="1">
        <v>1</v>
      </c>
      <c r="B160" s="1" t="s">
        <v>170</v>
      </c>
      <c r="C160" s="1">
        <v>1</v>
      </c>
      <c r="D160" s="33">
        <v>1</v>
      </c>
      <c r="E160" s="37">
        <v>1</v>
      </c>
      <c r="F160" s="37">
        <v>1</v>
      </c>
      <c r="G160">
        <v>0.92466378199999999</v>
      </c>
      <c r="H160">
        <f t="shared" si="23"/>
        <v>1</v>
      </c>
      <c r="I160">
        <v>0.99888485670089699</v>
      </c>
      <c r="J160">
        <f t="shared" si="24"/>
        <v>1</v>
      </c>
      <c r="K160">
        <v>0.99670571088790905</v>
      </c>
      <c r="L160">
        <f t="shared" si="19"/>
        <v>1</v>
      </c>
      <c r="M160">
        <v>0.99982172300000005</v>
      </c>
      <c r="N160">
        <f t="shared" si="20"/>
        <v>1</v>
      </c>
      <c r="O160">
        <v>0.99538689851760798</v>
      </c>
      <c r="P160">
        <f t="shared" si="21"/>
        <v>1</v>
      </c>
      <c r="Q160">
        <v>0.88884687399999995</v>
      </c>
      <c r="R160">
        <f t="shared" si="22"/>
        <v>1</v>
      </c>
      <c r="S160">
        <v>0.99763393402099598</v>
      </c>
      <c r="T160">
        <f t="shared" si="25"/>
        <v>1</v>
      </c>
      <c r="U160" s="1">
        <v>0.78915869999999999</v>
      </c>
      <c r="V160">
        <v>1</v>
      </c>
    </row>
    <row r="161" spans="1:22">
      <c r="A161" s="1">
        <v>1</v>
      </c>
      <c r="B161" s="1" t="s">
        <v>171</v>
      </c>
      <c r="C161" s="1">
        <v>1</v>
      </c>
      <c r="D161" s="33">
        <v>1</v>
      </c>
      <c r="E161" s="37">
        <v>1</v>
      </c>
      <c r="F161" s="37">
        <v>1</v>
      </c>
      <c r="G161">
        <v>0.96637392</v>
      </c>
      <c r="H161">
        <f t="shared" si="23"/>
        <v>1</v>
      </c>
      <c r="I161">
        <v>0.99998390674590998</v>
      </c>
      <c r="J161">
        <f t="shared" si="24"/>
        <v>1</v>
      </c>
      <c r="K161">
        <v>0.99991714954376198</v>
      </c>
      <c r="L161">
        <f t="shared" si="19"/>
        <v>1</v>
      </c>
      <c r="M161">
        <v>1</v>
      </c>
      <c r="N161">
        <f t="shared" si="20"/>
        <v>1</v>
      </c>
      <c r="O161">
        <v>0.99999988079071001</v>
      </c>
      <c r="P161">
        <f t="shared" si="21"/>
        <v>1</v>
      </c>
      <c r="Q161">
        <v>0.91909283399999997</v>
      </c>
      <c r="R161">
        <f t="shared" si="22"/>
        <v>1</v>
      </c>
      <c r="S161">
        <v>0.99862873554229703</v>
      </c>
      <c r="T161">
        <f t="shared" si="25"/>
        <v>1</v>
      </c>
      <c r="U161" s="1">
        <v>0.78546786000000002</v>
      </c>
      <c r="V161">
        <v>1</v>
      </c>
    </row>
    <row r="162" spans="1:22">
      <c r="A162" s="1">
        <v>1</v>
      </c>
      <c r="B162" s="1" t="s">
        <v>172</v>
      </c>
      <c r="C162" s="1">
        <v>1</v>
      </c>
      <c r="D162" s="33">
        <v>1</v>
      </c>
      <c r="E162" s="37">
        <v>1</v>
      </c>
      <c r="F162" s="37">
        <v>1</v>
      </c>
      <c r="G162">
        <v>0.98288744699999997</v>
      </c>
      <c r="H162">
        <f t="shared" si="23"/>
        <v>1</v>
      </c>
      <c r="I162">
        <v>0.99992060661315896</v>
      </c>
      <c r="J162">
        <f t="shared" si="24"/>
        <v>1</v>
      </c>
      <c r="K162">
        <v>0.99979633092880205</v>
      </c>
      <c r="L162">
        <f t="shared" si="19"/>
        <v>1</v>
      </c>
      <c r="M162">
        <v>0.99995327000000001</v>
      </c>
      <c r="N162">
        <f t="shared" si="20"/>
        <v>1</v>
      </c>
      <c r="O162">
        <v>0.99999821186065696</v>
      </c>
      <c r="P162">
        <f t="shared" si="21"/>
        <v>1</v>
      </c>
      <c r="Q162">
        <v>0.82486683100000002</v>
      </c>
      <c r="R162">
        <f t="shared" si="22"/>
        <v>1</v>
      </c>
      <c r="S162">
        <v>0.99989640712738004</v>
      </c>
      <c r="T162">
        <f t="shared" si="25"/>
        <v>1</v>
      </c>
      <c r="U162" s="1">
        <v>0.78414200000000001</v>
      </c>
      <c r="V162">
        <v>1</v>
      </c>
    </row>
    <row r="163" spans="1:22">
      <c r="A163" s="1">
        <v>1</v>
      </c>
      <c r="B163" s="1" t="s">
        <v>173</v>
      </c>
      <c r="C163" s="1">
        <v>1</v>
      </c>
      <c r="D163" s="33">
        <v>1</v>
      </c>
      <c r="E163" s="36">
        <v>1</v>
      </c>
      <c r="F163" s="37">
        <v>1</v>
      </c>
      <c r="G163">
        <v>0.96901524100000003</v>
      </c>
      <c r="H163">
        <f t="shared" si="23"/>
        <v>1</v>
      </c>
      <c r="I163">
        <v>0.97698944807052601</v>
      </c>
      <c r="J163">
        <f t="shared" si="24"/>
        <v>1</v>
      </c>
      <c r="K163">
        <v>0.99535608291625999</v>
      </c>
      <c r="L163">
        <f t="shared" si="19"/>
        <v>1</v>
      </c>
      <c r="M163">
        <v>0.994500995</v>
      </c>
      <c r="N163">
        <f t="shared" si="20"/>
        <v>1</v>
      </c>
      <c r="O163">
        <v>0.99147135019302401</v>
      </c>
      <c r="P163">
        <f t="shared" si="21"/>
        <v>1</v>
      </c>
      <c r="Q163">
        <v>0.61031997199999999</v>
      </c>
      <c r="R163">
        <f t="shared" si="22"/>
        <v>1</v>
      </c>
      <c r="S163">
        <v>0.99968314170837402</v>
      </c>
      <c r="T163">
        <f t="shared" si="25"/>
        <v>1</v>
      </c>
      <c r="U163" s="1">
        <v>0.78819819999999996</v>
      </c>
      <c r="V163">
        <v>1</v>
      </c>
    </row>
    <row r="164" spans="1:22">
      <c r="A164" s="1">
        <v>1</v>
      </c>
      <c r="B164" s="1" t="s">
        <v>174</v>
      </c>
      <c r="C164" s="1">
        <v>1</v>
      </c>
      <c r="D164" s="33">
        <v>1</v>
      </c>
      <c r="E164" s="37">
        <v>1</v>
      </c>
      <c r="F164" s="37">
        <v>1</v>
      </c>
      <c r="G164">
        <v>0.98644083699999996</v>
      </c>
      <c r="H164">
        <f t="shared" si="23"/>
        <v>1</v>
      </c>
      <c r="I164">
        <v>0.99984812736511197</v>
      </c>
      <c r="J164">
        <f t="shared" si="24"/>
        <v>1</v>
      </c>
      <c r="K164">
        <v>0.99772113561630205</v>
      </c>
      <c r="L164">
        <f t="shared" si="19"/>
        <v>1</v>
      </c>
      <c r="M164">
        <v>0.99997651600000004</v>
      </c>
      <c r="N164">
        <f t="shared" si="20"/>
        <v>1</v>
      </c>
      <c r="O164">
        <v>0.99990034103393599</v>
      </c>
      <c r="P164">
        <f t="shared" si="21"/>
        <v>1</v>
      </c>
      <c r="Q164">
        <v>0.70484340199999995</v>
      </c>
      <c r="R164">
        <f t="shared" si="22"/>
        <v>1</v>
      </c>
      <c r="S164">
        <v>0.99977332353591897</v>
      </c>
      <c r="T164">
        <f t="shared" si="25"/>
        <v>1</v>
      </c>
      <c r="U164" s="1">
        <v>0.78440803000000003</v>
      </c>
      <c r="V164">
        <v>1</v>
      </c>
    </row>
    <row r="165" spans="1:22">
      <c r="A165" s="1">
        <v>1</v>
      </c>
      <c r="B165" s="1" t="s">
        <v>175</v>
      </c>
      <c r="C165" s="1">
        <v>1</v>
      </c>
      <c r="D165" s="33">
        <v>1</v>
      </c>
      <c r="E165" s="37">
        <v>1</v>
      </c>
      <c r="F165" s="37">
        <v>1</v>
      </c>
      <c r="G165">
        <v>0.84925526399999995</v>
      </c>
      <c r="H165">
        <f t="shared" si="23"/>
        <v>1</v>
      </c>
      <c r="I165">
        <v>0.90576964616775502</v>
      </c>
      <c r="J165">
        <f t="shared" si="24"/>
        <v>1</v>
      </c>
      <c r="K165">
        <v>0.73708331584930398</v>
      </c>
      <c r="L165">
        <f t="shared" si="19"/>
        <v>1</v>
      </c>
      <c r="M165">
        <v>0.74036133299999995</v>
      </c>
      <c r="N165">
        <f t="shared" si="20"/>
        <v>1</v>
      </c>
      <c r="O165">
        <v>0.87227249145507801</v>
      </c>
      <c r="P165">
        <f t="shared" si="21"/>
        <v>1</v>
      </c>
      <c r="Q165">
        <v>0.51148438500000004</v>
      </c>
      <c r="R165">
        <f t="shared" si="22"/>
        <v>1</v>
      </c>
      <c r="S165">
        <v>1.767020556144E-3</v>
      </c>
      <c r="T165">
        <f t="shared" si="25"/>
        <v>0</v>
      </c>
      <c r="U165" s="1">
        <v>0.62645569999999995</v>
      </c>
      <c r="V165">
        <v>1</v>
      </c>
    </row>
    <row r="166" spans="1:22">
      <c r="A166" s="1">
        <v>1</v>
      </c>
      <c r="B166" s="1" t="s">
        <v>176</v>
      </c>
      <c r="C166" s="1">
        <v>1</v>
      </c>
      <c r="D166" s="33">
        <v>1</v>
      </c>
      <c r="E166" s="37">
        <v>1</v>
      </c>
      <c r="F166" s="37">
        <v>1</v>
      </c>
      <c r="G166">
        <v>0.97260081799999998</v>
      </c>
      <c r="H166">
        <f t="shared" si="23"/>
        <v>1</v>
      </c>
      <c r="I166">
        <v>0.98661500215530396</v>
      </c>
      <c r="J166">
        <f t="shared" si="24"/>
        <v>1</v>
      </c>
      <c r="K166">
        <v>0.88752269744873102</v>
      </c>
      <c r="L166">
        <f t="shared" si="19"/>
        <v>1</v>
      </c>
      <c r="M166">
        <v>0.96249943999999998</v>
      </c>
      <c r="N166">
        <f t="shared" si="20"/>
        <v>1</v>
      </c>
      <c r="O166">
        <v>0.99639707803726196</v>
      </c>
      <c r="P166">
        <f t="shared" si="21"/>
        <v>1</v>
      </c>
      <c r="Q166">
        <v>0.73944407700000003</v>
      </c>
      <c r="R166">
        <f t="shared" si="22"/>
        <v>1</v>
      </c>
      <c r="S166">
        <v>0.97486627101898204</v>
      </c>
      <c r="T166">
        <f t="shared" si="25"/>
        <v>1</v>
      </c>
      <c r="U166" s="1">
        <v>0.73548040000000003</v>
      </c>
      <c r="V166">
        <v>1</v>
      </c>
    </row>
    <row r="167" spans="1:22">
      <c r="A167" s="1">
        <v>1</v>
      </c>
      <c r="B167" s="1" t="s">
        <v>177</v>
      </c>
      <c r="C167" s="1">
        <v>1</v>
      </c>
      <c r="D167" s="33">
        <v>1</v>
      </c>
      <c r="E167" s="37">
        <v>1</v>
      </c>
      <c r="F167" s="37">
        <v>1</v>
      </c>
      <c r="G167">
        <v>0.87854695299999996</v>
      </c>
      <c r="H167">
        <f t="shared" si="23"/>
        <v>1</v>
      </c>
      <c r="I167">
        <v>0.990400731563568</v>
      </c>
      <c r="J167">
        <f t="shared" si="24"/>
        <v>1</v>
      </c>
      <c r="K167">
        <v>0.99903702735900901</v>
      </c>
      <c r="L167">
        <f t="shared" ref="L167:L187" si="26">IF(K167&gt;$A$2,1,0)</f>
        <v>1</v>
      </c>
      <c r="M167">
        <v>0.99897396599999999</v>
      </c>
      <c r="N167">
        <f t="shared" ref="N167:N187" si="27">IF(M167&gt;$A$2,1,0)</f>
        <v>1</v>
      </c>
      <c r="O167">
        <v>0.99978584051132202</v>
      </c>
      <c r="P167">
        <f t="shared" ref="P167:P187" si="28">IF(O167&gt;$A$2,1,0)</f>
        <v>1</v>
      </c>
      <c r="Q167">
        <v>0.784743309</v>
      </c>
      <c r="R167">
        <f t="shared" ref="R167:R187" si="29">IF(Q167&gt;$A$2,1,0)</f>
        <v>1</v>
      </c>
      <c r="S167">
        <v>0.96214693784713701</v>
      </c>
      <c r="T167">
        <f t="shared" si="25"/>
        <v>1</v>
      </c>
      <c r="U167" s="1">
        <v>0.78337692999999997</v>
      </c>
      <c r="V167">
        <v>1</v>
      </c>
    </row>
    <row r="168" spans="1:22">
      <c r="A168" s="1">
        <v>1</v>
      </c>
      <c r="B168" s="1" t="s">
        <v>178</v>
      </c>
      <c r="C168" s="1">
        <v>1</v>
      </c>
      <c r="D168" s="33">
        <v>1</v>
      </c>
      <c r="E168" s="36">
        <v>0</v>
      </c>
      <c r="F168" s="37">
        <v>1</v>
      </c>
      <c r="G168">
        <v>0.75058478100000003</v>
      </c>
      <c r="H168">
        <f t="shared" si="23"/>
        <v>1</v>
      </c>
      <c r="I168">
        <v>0.18933263421058599</v>
      </c>
      <c r="J168">
        <f t="shared" si="24"/>
        <v>0</v>
      </c>
      <c r="K168">
        <v>0.191745400428772</v>
      </c>
      <c r="L168">
        <f t="shared" si="26"/>
        <v>0</v>
      </c>
      <c r="M168">
        <v>0.641244233</v>
      </c>
      <c r="N168">
        <f t="shared" si="27"/>
        <v>1</v>
      </c>
      <c r="O168">
        <v>0.82284164428710904</v>
      </c>
      <c r="P168">
        <f t="shared" si="28"/>
        <v>1</v>
      </c>
      <c r="Q168">
        <v>0.405273467</v>
      </c>
      <c r="R168">
        <f t="shared" si="29"/>
        <v>0</v>
      </c>
      <c r="S168">
        <v>0.71235847473144498</v>
      </c>
      <c r="T168">
        <f t="shared" si="25"/>
        <v>1</v>
      </c>
      <c r="U168" s="1">
        <v>0.6867067</v>
      </c>
      <c r="V168">
        <v>1</v>
      </c>
    </row>
    <row r="169" spans="1:22">
      <c r="A169" s="1">
        <v>1</v>
      </c>
      <c r="B169" s="1" t="s">
        <v>180</v>
      </c>
      <c r="C169" s="1">
        <v>1</v>
      </c>
      <c r="D169" s="33">
        <v>0</v>
      </c>
      <c r="E169" s="37">
        <v>1</v>
      </c>
      <c r="F169" s="37">
        <v>1</v>
      </c>
      <c r="G169">
        <v>0.95950061099999995</v>
      </c>
      <c r="H169">
        <f t="shared" si="23"/>
        <v>1</v>
      </c>
      <c r="I169">
        <v>0.99728286266326904</v>
      </c>
      <c r="J169">
        <f t="shared" si="24"/>
        <v>1</v>
      </c>
      <c r="K169">
        <v>0.95281523466110196</v>
      </c>
      <c r="L169">
        <f t="shared" si="26"/>
        <v>1</v>
      </c>
      <c r="M169">
        <v>0.99995708500000002</v>
      </c>
      <c r="N169">
        <f t="shared" si="27"/>
        <v>1</v>
      </c>
      <c r="O169">
        <v>0.99515128135681197</v>
      </c>
      <c r="P169">
        <f t="shared" si="28"/>
        <v>1</v>
      </c>
      <c r="Q169">
        <v>0.86046510899999995</v>
      </c>
      <c r="R169">
        <f t="shared" si="29"/>
        <v>1</v>
      </c>
      <c r="S169">
        <v>0.99998033046722401</v>
      </c>
      <c r="T169">
        <f t="shared" si="25"/>
        <v>1</v>
      </c>
      <c r="U169" s="1">
        <v>0.75095254</v>
      </c>
      <c r="V169">
        <v>1</v>
      </c>
    </row>
    <row r="170" spans="1:22">
      <c r="A170" s="1">
        <v>1</v>
      </c>
      <c r="B170" s="1" t="s">
        <v>181</v>
      </c>
      <c r="C170" s="1">
        <v>1</v>
      </c>
      <c r="D170" s="33">
        <v>1</v>
      </c>
      <c r="E170" s="37">
        <v>1</v>
      </c>
      <c r="F170" s="37">
        <v>1</v>
      </c>
      <c r="G170">
        <v>0.69427484299999997</v>
      </c>
      <c r="H170">
        <f t="shared" si="23"/>
        <v>1</v>
      </c>
      <c r="I170">
        <v>0.95199233293533303</v>
      </c>
      <c r="J170">
        <f t="shared" si="24"/>
        <v>1</v>
      </c>
      <c r="K170">
        <v>0.63739013671875</v>
      </c>
      <c r="L170">
        <f t="shared" si="26"/>
        <v>1</v>
      </c>
      <c r="M170">
        <v>0.96729594500000005</v>
      </c>
      <c r="N170">
        <f t="shared" si="27"/>
        <v>1</v>
      </c>
      <c r="O170">
        <v>0.99965393543243397</v>
      </c>
      <c r="P170">
        <f t="shared" si="28"/>
        <v>1</v>
      </c>
      <c r="Q170">
        <v>0.67467314</v>
      </c>
      <c r="R170">
        <f t="shared" si="29"/>
        <v>1</v>
      </c>
      <c r="S170">
        <v>0.20745959877967801</v>
      </c>
      <c r="T170">
        <f t="shared" si="25"/>
        <v>0</v>
      </c>
      <c r="U170" s="1">
        <v>0.69879159999999996</v>
      </c>
      <c r="V170">
        <v>1</v>
      </c>
    </row>
    <row r="171" spans="1:22">
      <c r="A171" s="1">
        <v>1</v>
      </c>
      <c r="B171" s="1" t="s">
        <v>182</v>
      </c>
      <c r="C171" s="1">
        <v>1</v>
      </c>
      <c r="D171" s="33">
        <v>1</v>
      </c>
      <c r="E171" s="37">
        <v>1</v>
      </c>
      <c r="F171" s="37">
        <v>1</v>
      </c>
      <c r="G171">
        <v>0.97955882500000002</v>
      </c>
      <c r="H171">
        <f t="shared" si="23"/>
        <v>1</v>
      </c>
      <c r="I171">
        <v>0.99468803405761697</v>
      </c>
      <c r="J171">
        <f t="shared" si="24"/>
        <v>1</v>
      </c>
      <c r="K171">
        <v>0.98302000761032104</v>
      </c>
      <c r="L171">
        <f t="shared" si="26"/>
        <v>1</v>
      </c>
      <c r="M171">
        <v>0.98597031800000001</v>
      </c>
      <c r="N171">
        <f t="shared" si="27"/>
        <v>1</v>
      </c>
      <c r="O171">
        <v>0.99991512298583995</v>
      </c>
      <c r="P171">
        <f t="shared" si="28"/>
        <v>1</v>
      </c>
      <c r="Q171">
        <v>0.762994587</v>
      </c>
      <c r="R171">
        <f t="shared" si="29"/>
        <v>1</v>
      </c>
      <c r="S171">
        <v>0.96141266822814897</v>
      </c>
      <c r="T171">
        <f t="shared" si="25"/>
        <v>1</v>
      </c>
      <c r="U171" s="1">
        <v>0.77751950000000003</v>
      </c>
      <c r="V171">
        <v>1</v>
      </c>
    </row>
    <row r="172" spans="1:22">
      <c r="A172" s="1">
        <v>1</v>
      </c>
      <c r="B172" s="1" t="s">
        <v>183</v>
      </c>
      <c r="C172" s="1">
        <v>1</v>
      </c>
      <c r="D172" s="33">
        <v>0</v>
      </c>
      <c r="E172" s="36">
        <v>0</v>
      </c>
      <c r="F172" s="37">
        <v>1</v>
      </c>
      <c r="G172">
        <v>0.943632841</v>
      </c>
      <c r="H172">
        <f t="shared" si="23"/>
        <v>1</v>
      </c>
      <c r="I172">
        <v>0.96301025152206399</v>
      </c>
      <c r="J172">
        <f t="shared" si="24"/>
        <v>1</v>
      </c>
      <c r="K172">
        <v>0.65186285972595204</v>
      </c>
      <c r="L172">
        <f t="shared" si="26"/>
        <v>1</v>
      </c>
      <c r="M172">
        <v>0.89918571700000005</v>
      </c>
      <c r="N172">
        <f t="shared" si="27"/>
        <v>1</v>
      </c>
      <c r="O172">
        <v>0.99735969305038397</v>
      </c>
      <c r="P172">
        <f t="shared" si="28"/>
        <v>1</v>
      </c>
      <c r="Q172">
        <v>0.67199623600000002</v>
      </c>
      <c r="R172">
        <f t="shared" si="29"/>
        <v>1</v>
      </c>
      <c r="S172">
        <v>0.99414271116256703</v>
      </c>
      <c r="T172">
        <f t="shared" si="25"/>
        <v>1</v>
      </c>
      <c r="U172" s="1">
        <v>0.73739845000000004</v>
      </c>
      <c r="V172">
        <v>1</v>
      </c>
    </row>
    <row r="173" spans="1:22">
      <c r="A173" s="1">
        <v>1</v>
      </c>
      <c r="B173" s="1" t="s">
        <v>184</v>
      </c>
      <c r="C173" s="1">
        <v>1</v>
      </c>
      <c r="D173" s="33">
        <v>1</v>
      </c>
      <c r="E173" s="36">
        <v>0</v>
      </c>
      <c r="F173" s="37">
        <v>1</v>
      </c>
      <c r="G173">
        <v>0.58631819500000004</v>
      </c>
      <c r="H173">
        <f t="shared" si="23"/>
        <v>1</v>
      </c>
      <c r="I173">
        <v>0.926188945770264</v>
      </c>
      <c r="J173">
        <f t="shared" si="24"/>
        <v>1</v>
      </c>
      <c r="K173">
        <v>0.85639375448226895</v>
      </c>
      <c r="L173">
        <f t="shared" si="26"/>
        <v>1</v>
      </c>
      <c r="M173">
        <v>0.60847348000000001</v>
      </c>
      <c r="N173">
        <f t="shared" si="27"/>
        <v>1</v>
      </c>
      <c r="O173">
        <v>0.97730231285095204</v>
      </c>
      <c r="P173">
        <f t="shared" si="28"/>
        <v>1</v>
      </c>
      <c r="Q173">
        <v>0.87659305300000001</v>
      </c>
      <c r="R173">
        <f t="shared" si="29"/>
        <v>1</v>
      </c>
      <c r="S173">
        <v>0.62853485345840499</v>
      </c>
      <c r="T173">
        <f t="shared" si="25"/>
        <v>1</v>
      </c>
      <c r="U173" s="1">
        <v>0.75643134000000001</v>
      </c>
      <c r="V173">
        <v>1</v>
      </c>
    </row>
    <row r="174" spans="1:22">
      <c r="A174" s="1">
        <v>1</v>
      </c>
      <c r="B174" s="1" t="s">
        <v>186</v>
      </c>
      <c r="C174" s="1">
        <v>1</v>
      </c>
      <c r="D174" s="33">
        <v>1</v>
      </c>
      <c r="E174" s="37">
        <v>1</v>
      </c>
      <c r="F174" s="37">
        <v>1</v>
      </c>
      <c r="G174">
        <v>0.52585691199999995</v>
      </c>
      <c r="H174">
        <f t="shared" si="23"/>
        <v>1</v>
      </c>
      <c r="I174">
        <v>0.74071770906448298</v>
      </c>
      <c r="J174">
        <f t="shared" si="24"/>
        <v>1</v>
      </c>
      <c r="K174">
        <v>0.83604699373245195</v>
      </c>
      <c r="L174">
        <f t="shared" si="26"/>
        <v>1</v>
      </c>
      <c r="M174">
        <v>0.85154163800000005</v>
      </c>
      <c r="N174">
        <f t="shared" si="27"/>
        <v>1</v>
      </c>
      <c r="O174">
        <v>0.93605935573577903</v>
      </c>
      <c r="P174">
        <f t="shared" si="28"/>
        <v>1</v>
      </c>
      <c r="Q174">
        <v>0.53547602900000002</v>
      </c>
      <c r="R174">
        <f t="shared" si="29"/>
        <v>1</v>
      </c>
      <c r="S174">
        <v>0.67413663864135698</v>
      </c>
      <c r="T174">
        <f t="shared" si="25"/>
        <v>1</v>
      </c>
      <c r="U174" s="1">
        <v>0.62535490000000005</v>
      </c>
      <c r="V174">
        <v>1</v>
      </c>
    </row>
    <row r="175" spans="1:22">
      <c r="A175" s="1">
        <v>1</v>
      </c>
      <c r="B175" s="1" t="s">
        <v>187</v>
      </c>
      <c r="C175" s="1">
        <v>1</v>
      </c>
      <c r="D175" s="33">
        <v>1</v>
      </c>
      <c r="E175" s="37">
        <v>1</v>
      </c>
      <c r="F175" s="37">
        <v>1</v>
      </c>
      <c r="G175">
        <v>0.70910638599999998</v>
      </c>
      <c r="H175">
        <f t="shared" si="23"/>
        <v>1</v>
      </c>
      <c r="I175">
        <v>0.80172997713089</v>
      </c>
      <c r="J175">
        <f t="shared" si="24"/>
        <v>1</v>
      </c>
      <c r="K175">
        <v>0.77533918619155895</v>
      </c>
      <c r="L175">
        <f t="shared" si="26"/>
        <v>1</v>
      </c>
      <c r="M175">
        <v>0.88464140899999999</v>
      </c>
      <c r="N175">
        <f t="shared" si="27"/>
        <v>1</v>
      </c>
      <c r="O175">
        <v>0.94826036691665605</v>
      </c>
      <c r="P175">
        <f t="shared" si="28"/>
        <v>1</v>
      </c>
      <c r="Q175">
        <v>0.53502112599999996</v>
      </c>
      <c r="R175">
        <f t="shared" si="29"/>
        <v>1</v>
      </c>
      <c r="S175">
        <v>0.66585642099380504</v>
      </c>
      <c r="T175">
        <f t="shared" si="25"/>
        <v>1</v>
      </c>
      <c r="U175" s="1">
        <v>0.51115299999999997</v>
      </c>
      <c r="V175">
        <v>0</v>
      </c>
    </row>
    <row r="176" spans="1:22">
      <c r="A176" s="1">
        <v>1</v>
      </c>
      <c r="B176" s="1" t="s">
        <v>188</v>
      </c>
      <c r="C176" s="1">
        <v>1</v>
      </c>
      <c r="D176" s="33">
        <v>1</v>
      </c>
      <c r="E176" s="37">
        <v>1</v>
      </c>
      <c r="F176" s="37">
        <v>1</v>
      </c>
      <c r="G176">
        <v>0.54213434500000002</v>
      </c>
      <c r="H176">
        <f t="shared" si="23"/>
        <v>1</v>
      </c>
      <c r="I176">
        <v>0.22583311796188299</v>
      </c>
      <c r="J176">
        <f t="shared" si="24"/>
        <v>0</v>
      </c>
      <c r="K176">
        <v>0.192471697926521</v>
      </c>
      <c r="L176">
        <f t="shared" si="26"/>
        <v>0</v>
      </c>
      <c r="M176">
        <v>0.16623365900000001</v>
      </c>
      <c r="N176">
        <f t="shared" si="27"/>
        <v>0</v>
      </c>
      <c r="O176">
        <v>0.63423556089401201</v>
      </c>
      <c r="P176">
        <f t="shared" si="28"/>
        <v>1</v>
      </c>
      <c r="Q176">
        <v>0.57256513799999997</v>
      </c>
      <c r="R176">
        <f t="shared" si="29"/>
        <v>1</v>
      </c>
      <c r="S176">
        <v>2.0569717511535E-2</v>
      </c>
      <c r="T176">
        <f t="shared" si="25"/>
        <v>0</v>
      </c>
      <c r="U176" s="1">
        <v>0.59792124999999996</v>
      </c>
      <c r="V176">
        <v>1</v>
      </c>
    </row>
    <row r="177" spans="1:22">
      <c r="A177" s="1">
        <v>1</v>
      </c>
      <c r="B177" s="1" t="s">
        <v>189</v>
      </c>
      <c r="C177" s="1">
        <v>1</v>
      </c>
      <c r="D177" s="33">
        <v>0</v>
      </c>
      <c r="E177" s="36">
        <v>0</v>
      </c>
      <c r="F177" s="37">
        <v>1</v>
      </c>
      <c r="G177">
        <v>0.94837260199999995</v>
      </c>
      <c r="H177">
        <f t="shared" si="23"/>
        <v>1</v>
      </c>
      <c r="I177">
        <v>0.99933087825775102</v>
      </c>
      <c r="J177">
        <f t="shared" si="24"/>
        <v>1</v>
      </c>
      <c r="K177">
        <v>0.99811553955078103</v>
      </c>
      <c r="L177">
        <f t="shared" si="26"/>
        <v>1</v>
      </c>
      <c r="M177">
        <v>0.99999844999999998</v>
      </c>
      <c r="N177">
        <f t="shared" si="27"/>
        <v>1</v>
      </c>
      <c r="O177">
        <v>0.99976342916488603</v>
      </c>
      <c r="P177">
        <f t="shared" si="28"/>
        <v>1</v>
      </c>
      <c r="Q177">
        <v>0.87879157100000005</v>
      </c>
      <c r="R177">
        <f t="shared" si="29"/>
        <v>1</v>
      </c>
      <c r="S177">
        <v>0.998626708984375</v>
      </c>
      <c r="T177">
        <f t="shared" si="25"/>
        <v>1</v>
      </c>
      <c r="U177" s="1">
        <v>0.76878314999999997</v>
      </c>
      <c r="V177">
        <v>1</v>
      </c>
    </row>
    <row r="178" spans="1:22">
      <c r="A178" s="1">
        <v>1</v>
      </c>
      <c r="B178" s="1" t="s">
        <v>190</v>
      </c>
      <c r="C178" s="1">
        <v>1</v>
      </c>
      <c r="D178" s="33">
        <v>1</v>
      </c>
      <c r="E178" s="37">
        <v>1</v>
      </c>
      <c r="F178" s="37">
        <v>1</v>
      </c>
      <c r="G178">
        <v>0.88208562099999999</v>
      </c>
      <c r="H178">
        <f t="shared" si="23"/>
        <v>1</v>
      </c>
      <c r="I178">
        <v>0.97910302877426203</v>
      </c>
      <c r="J178">
        <f t="shared" si="24"/>
        <v>1</v>
      </c>
      <c r="K178">
        <v>0.63316011428832997</v>
      </c>
      <c r="L178">
        <f t="shared" si="26"/>
        <v>1</v>
      </c>
      <c r="M178">
        <v>0.60881167700000005</v>
      </c>
      <c r="N178">
        <f t="shared" si="27"/>
        <v>1</v>
      </c>
      <c r="O178">
        <v>0.98869228363037098</v>
      </c>
      <c r="P178">
        <f t="shared" si="28"/>
        <v>1</v>
      </c>
      <c r="Q178">
        <v>0.39436817200000002</v>
      </c>
      <c r="R178">
        <f t="shared" si="29"/>
        <v>0</v>
      </c>
      <c r="S178">
        <v>0.93524259328842196</v>
      </c>
      <c r="T178">
        <f t="shared" si="25"/>
        <v>1</v>
      </c>
      <c r="U178" s="1">
        <v>0.72717489999999996</v>
      </c>
      <c r="V178">
        <v>1</v>
      </c>
    </row>
    <row r="179" spans="1:22">
      <c r="A179" s="1">
        <v>1</v>
      </c>
      <c r="B179" s="1" t="s">
        <v>191</v>
      </c>
      <c r="C179" s="1">
        <v>1</v>
      </c>
      <c r="D179" s="33">
        <v>1</v>
      </c>
      <c r="E179" s="37">
        <v>1</v>
      </c>
      <c r="F179" s="37">
        <v>1</v>
      </c>
      <c r="G179">
        <v>0.97745454300000001</v>
      </c>
      <c r="H179">
        <f t="shared" si="23"/>
        <v>1</v>
      </c>
      <c r="I179">
        <v>0.99947875738143899</v>
      </c>
      <c r="J179">
        <f t="shared" si="24"/>
        <v>1</v>
      </c>
      <c r="K179">
        <v>0.99937361478805498</v>
      </c>
      <c r="L179">
        <f t="shared" si="26"/>
        <v>1</v>
      </c>
      <c r="M179">
        <v>0.99999284700000002</v>
      </c>
      <c r="N179">
        <f t="shared" si="27"/>
        <v>1</v>
      </c>
      <c r="O179">
        <v>0.99994754791259799</v>
      </c>
      <c r="P179">
        <f t="shared" si="28"/>
        <v>1</v>
      </c>
      <c r="Q179">
        <v>0.88859653500000002</v>
      </c>
      <c r="R179">
        <f t="shared" si="29"/>
        <v>1</v>
      </c>
      <c r="S179">
        <v>0.99999701976776101</v>
      </c>
      <c r="T179">
        <f t="shared" si="25"/>
        <v>1</v>
      </c>
      <c r="U179" s="1">
        <v>0.80023056000000004</v>
      </c>
      <c r="V179">
        <v>1</v>
      </c>
    </row>
    <row r="180" spans="1:22">
      <c r="A180" s="1">
        <v>1</v>
      </c>
      <c r="B180" s="1" t="s">
        <v>192</v>
      </c>
      <c r="C180" s="1">
        <v>1</v>
      </c>
      <c r="D180" s="33">
        <v>1</v>
      </c>
      <c r="E180" s="37">
        <v>1</v>
      </c>
      <c r="F180" s="37">
        <v>1</v>
      </c>
      <c r="G180">
        <v>0.96042382699999995</v>
      </c>
      <c r="H180">
        <f t="shared" si="23"/>
        <v>1</v>
      </c>
      <c r="I180">
        <v>0.997633576393127</v>
      </c>
      <c r="J180">
        <f t="shared" si="24"/>
        <v>1</v>
      </c>
      <c r="K180">
        <v>0.99498158693313599</v>
      </c>
      <c r="L180">
        <f t="shared" si="26"/>
        <v>1</v>
      </c>
      <c r="M180">
        <v>0.99987423399999997</v>
      </c>
      <c r="N180">
        <f t="shared" si="27"/>
        <v>1</v>
      </c>
      <c r="O180">
        <v>0.99999976158142101</v>
      </c>
      <c r="P180">
        <f t="shared" si="28"/>
        <v>1</v>
      </c>
      <c r="Q180">
        <v>0.86394268299999999</v>
      </c>
      <c r="R180">
        <f t="shared" si="29"/>
        <v>1</v>
      </c>
      <c r="S180">
        <v>0.99707603454589799</v>
      </c>
      <c r="T180">
        <f t="shared" si="25"/>
        <v>1</v>
      </c>
      <c r="U180" s="1">
        <v>0.77091836999999996</v>
      </c>
      <c r="V180">
        <v>1</v>
      </c>
    </row>
    <row r="181" spans="1:22">
      <c r="A181" s="1">
        <v>1</v>
      </c>
      <c r="B181" s="1" t="s">
        <v>194</v>
      </c>
      <c r="C181" s="1">
        <v>1</v>
      </c>
      <c r="D181" s="33">
        <v>1</v>
      </c>
      <c r="E181" s="37">
        <v>1</v>
      </c>
      <c r="F181" s="37">
        <v>1</v>
      </c>
      <c r="G181">
        <v>0.96347898200000004</v>
      </c>
      <c r="H181">
        <f t="shared" si="23"/>
        <v>1</v>
      </c>
      <c r="I181">
        <v>0.99419021606445301</v>
      </c>
      <c r="J181">
        <f t="shared" si="24"/>
        <v>1</v>
      </c>
      <c r="K181">
        <v>0.93427777290344205</v>
      </c>
      <c r="L181">
        <f t="shared" si="26"/>
        <v>1</v>
      </c>
      <c r="M181">
        <v>0.99103373299999997</v>
      </c>
      <c r="N181">
        <f t="shared" si="27"/>
        <v>1</v>
      </c>
      <c r="O181">
        <v>0.99999725818634</v>
      </c>
      <c r="P181">
        <f t="shared" si="28"/>
        <v>1</v>
      </c>
      <c r="Q181">
        <v>0.812456548</v>
      </c>
      <c r="R181">
        <f t="shared" si="29"/>
        <v>1</v>
      </c>
      <c r="S181">
        <v>0.97734069824218806</v>
      </c>
      <c r="T181">
        <f t="shared" si="25"/>
        <v>1</v>
      </c>
      <c r="U181" s="1">
        <v>0.74813819999999998</v>
      </c>
      <c r="V181">
        <v>1</v>
      </c>
    </row>
    <row r="182" spans="1:22">
      <c r="A182" s="1">
        <v>1</v>
      </c>
      <c r="B182" s="1" t="s">
        <v>195</v>
      </c>
      <c r="C182" s="1">
        <v>1</v>
      </c>
      <c r="D182" s="33">
        <v>0</v>
      </c>
      <c r="E182" s="36">
        <v>0</v>
      </c>
      <c r="F182" s="37">
        <v>1</v>
      </c>
      <c r="G182">
        <v>0.79727435099999999</v>
      </c>
      <c r="H182">
        <f t="shared" si="23"/>
        <v>1</v>
      </c>
      <c r="I182">
        <v>0.194515630602837</v>
      </c>
      <c r="J182">
        <f t="shared" si="24"/>
        <v>0</v>
      </c>
      <c r="K182">
        <v>0.25899839401245101</v>
      </c>
      <c r="L182">
        <f t="shared" si="26"/>
        <v>0</v>
      </c>
      <c r="M182">
        <v>0.105383985</v>
      </c>
      <c r="N182">
        <f t="shared" si="27"/>
        <v>0</v>
      </c>
      <c r="O182">
        <v>0.70803952217102095</v>
      </c>
      <c r="P182">
        <f t="shared" si="28"/>
        <v>1</v>
      </c>
      <c r="Q182">
        <v>0.27213731400000002</v>
      </c>
      <c r="R182">
        <f t="shared" si="29"/>
        <v>0</v>
      </c>
      <c r="S182">
        <v>4.8411488533019999E-2</v>
      </c>
      <c r="T182">
        <f t="shared" si="25"/>
        <v>0</v>
      </c>
      <c r="U182" s="1">
        <v>0.48359545999999998</v>
      </c>
      <c r="V182">
        <v>0</v>
      </c>
    </row>
    <row r="183" spans="1:22">
      <c r="A183" s="1">
        <v>1</v>
      </c>
      <c r="B183" s="1" t="s">
        <v>196</v>
      </c>
      <c r="C183" s="1">
        <v>1</v>
      </c>
      <c r="D183" s="33">
        <v>0</v>
      </c>
      <c r="E183" s="37">
        <v>1</v>
      </c>
      <c r="F183" s="37">
        <v>1</v>
      </c>
      <c r="G183">
        <v>0.92074060400000002</v>
      </c>
      <c r="H183">
        <f t="shared" si="23"/>
        <v>1</v>
      </c>
      <c r="I183">
        <v>0.99907243251800504</v>
      </c>
      <c r="J183">
        <f t="shared" si="24"/>
        <v>1</v>
      </c>
      <c r="K183">
        <v>0.94930565357208196</v>
      </c>
      <c r="L183">
        <f t="shared" si="26"/>
        <v>1</v>
      </c>
      <c r="M183">
        <v>0.98487687099999999</v>
      </c>
      <c r="N183">
        <f t="shared" si="27"/>
        <v>1</v>
      </c>
      <c r="O183">
        <v>0.94346219301223799</v>
      </c>
      <c r="P183">
        <f t="shared" si="28"/>
        <v>1</v>
      </c>
      <c r="Q183">
        <v>0.880360484</v>
      </c>
      <c r="R183">
        <f t="shared" si="29"/>
        <v>1</v>
      </c>
      <c r="S183">
        <v>0.95791560411453203</v>
      </c>
      <c r="T183">
        <f t="shared" si="25"/>
        <v>1</v>
      </c>
      <c r="U183" s="1">
        <v>0.79044619999999999</v>
      </c>
      <c r="V183">
        <v>1</v>
      </c>
    </row>
    <row r="184" spans="1:22">
      <c r="A184" s="1">
        <v>1</v>
      </c>
      <c r="B184" s="1" t="s">
        <v>197</v>
      </c>
      <c r="C184" s="1">
        <v>1</v>
      </c>
      <c r="D184" s="33">
        <v>1</v>
      </c>
      <c r="E184" s="37">
        <v>1</v>
      </c>
      <c r="F184" s="37">
        <v>1</v>
      </c>
      <c r="G184">
        <v>0.69038468600000003</v>
      </c>
      <c r="H184">
        <f t="shared" si="23"/>
        <v>1</v>
      </c>
      <c r="I184">
        <v>0.89783912897109996</v>
      </c>
      <c r="J184">
        <f t="shared" si="24"/>
        <v>1</v>
      </c>
      <c r="K184">
        <v>0.94791728258132901</v>
      </c>
      <c r="L184">
        <f t="shared" si="26"/>
        <v>1</v>
      </c>
      <c r="M184">
        <v>0.78733301200000005</v>
      </c>
      <c r="N184">
        <f t="shared" si="27"/>
        <v>1</v>
      </c>
      <c r="O184">
        <v>0.993552446365356</v>
      </c>
      <c r="P184">
        <f t="shared" si="28"/>
        <v>1</v>
      </c>
      <c r="Q184">
        <v>0.58230233200000003</v>
      </c>
      <c r="R184">
        <f t="shared" si="29"/>
        <v>1</v>
      </c>
      <c r="S184">
        <v>0.986344695091248</v>
      </c>
      <c r="T184">
        <f t="shared" si="25"/>
        <v>1</v>
      </c>
      <c r="U184" s="1">
        <v>0.73606132999999996</v>
      </c>
      <c r="V184">
        <v>1</v>
      </c>
    </row>
    <row r="185" spans="1:22">
      <c r="A185" s="1">
        <v>1</v>
      </c>
      <c r="B185" s="1" t="s">
        <v>198</v>
      </c>
      <c r="C185" s="1">
        <v>1</v>
      </c>
      <c r="D185" s="33">
        <v>1</v>
      </c>
      <c r="E185" s="37">
        <v>1</v>
      </c>
      <c r="F185" s="37">
        <v>1</v>
      </c>
      <c r="G185">
        <v>0.92840242399999995</v>
      </c>
      <c r="H185">
        <f t="shared" si="23"/>
        <v>1</v>
      </c>
      <c r="I185">
        <v>0.99361491203308105</v>
      </c>
      <c r="J185">
        <f t="shared" si="24"/>
        <v>1</v>
      </c>
      <c r="K185">
        <v>0.85175526142120395</v>
      </c>
      <c r="L185">
        <f t="shared" si="26"/>
        <v>1</v>
      </c>
      <c r="M185">
        <v>0.97025638800000003</v>
      </c>
      <c r="N185">
        <f t="shared" si="27"/>
        <v>1</v>
      </c>
      <c r="O185">
        <v>0.99850201606750499</v>
      </c>
      <c r="P185">
        <f t="shared" si="28"/>
        <v>1</v>
      </c>
      <c r="Q185">
        <v>0.78067928600000003</v>
      </c>
      <c r="R185">
        <f t="shared" si="29"/>
        <v>1</v>
      </c>
      <c r="S185">
        <v>0.98143529891967796</v>
      </c>
      <c r="T185">
        <f t="shared" si="25"/>
        <v>1</v>
      </c>
      <c r="U185" s="1">
        <v>0.63605535000000002</v>
      </c>
      <c r="V185">
        <v>1</v>
      </c>
    </row>
    <row r="186" spans="1:22">
      <c r="A186" s="1">
        <v>1</v>
      </c>
      <c r="B186" s="1" t="s">
        <v>199</v>
      </c>
      <c r="C186" s="1">
        <v>1</v>
      </c>
      <c r="D186" s="33">
        <v>1</v>
      </c>
      <c r="E186" s="37">
        <v>1</v>
      </c>
      <c r="F186" s="37">
        <v>1</v>
      </c>
      <c r="G186">
        <v>0.91891896699999998</v>
      </c>
      <c r="H186">
        <f t="shared" si="23"/>
        <v>1</v>
      </c>
      <c r="I186">
        <v>0.99885451793670599</v>
      </c>
      <c r="J186">
        <f t="shared" si="24"/>
        <v>1</v>
      </c>
      <c r="K186">
        <v>0.99769079685211204</v>
      </c>
      <c r="L186">
        <f t="shared" si="26"/>
        <v>1</v>
      </c>
      <c r="M186">
        <v>0.99998986700000003</v>
      </c>
      <c r="N186">
        <f t="shared" si="27"/>
        <v>1</v>
      </c>
      <c r="O186">
        <v>0.98434329032898005</v>
      </c>
      <c r="P186">
        <f t="shared" si="28"/>
        <v>1</v>
      </c>
      <c r="Q186">
        <v>0.90673440699999996</v>
      </c>
      <c r="R186">
        <f t="shared" si="29"/>
        <v>1</v>
      </c>
      <c r="S186">
        <v>0.99949836730956998</v>
      </c>
      <c r="T186">
        <f t="shared" si="25"/>
        <v>1</v>
      </c>
      <c r="U186" s="1">
        <v>0.76462036</v>
      </c>
      <c r="V186">
        <v>1</v>
      </c>
    </row>
    <row r="187" spans="1:22">
      <c r="A187" s="1">
        <v>1</v>
      </c>
      <c r="B187" s="1" t="s">
        <v>200</v>
      </c>
      <c r="C187" s="1">
        <v>1</v>
      </c>
      <c r="D187" s="33">
        <v>1</v>
      </c>
      <c r="E187" s="37">
        <v>1</v>
      </c>
      <c r="F187" s="37">
        <v>1</v>
      </c>
      <c r="G187">
        <v>0.52428317099999999</v>
      </c>
      <c r="H187">
        <f t="shared" si="23"/>
        <v>1</v>
      </c>
      <c r="I187">
        <v>0.96962296962738004</v>
      </c>
      <c r="J187">
        <f t="shared" si="24"/>
        <v>1</v>
      </c>
      <c r="K187">
        <v>0.90361142158508301</v>
      </c>
      <c r="L187">
        <f t="shared" si="26"/>
        <v>1</v>
      </c>
      <c r="M187">
        <v>0.62106847799999998</v>
      </c>
      <c r="N187">
        <f t="shared" si="27"/>
        <v>1</v>
      </c>
      <c r="O187">
        <v>0.89797371625900302</v>
      </c>
      <c r="P187">
        <f t="shared" si="28"/>
        <v>1</v>
      </c>
      <c r="Q187">
        <v>0.70016545100000005</v>
      </c>
      <c r="R187">
        <f t="shared" si="29"/>
        <v>1</v>
      </c>
      <c r="S187">
        <v>0.77605879306793202</v>
      </c>
      <c r="T187">
        <f t="shared" si="25"/>
        <v>1</v>
      </c>
      <c r="U187" s="1">
        <v>0.7489247</v>
      </c>
      <c r="V187">
        <v>1</v>
      </c>
    </row>
    <row r="188" spans="1:22">
      <c r="A188" s="1" t="s">
        <v>202</v>
      </c>
      <c r="B188" s="1"/>
      <c r="C188" s="22"/>
      <c r="D188" s="33"/>
      <c r="E188" s="38"/>
      <c r="F188" s="38"/>
    </row>
    <row r="189" spans="1:22">
      <c r="A189" s="1">
        <v>0</v>
      </c>
      <c r="B189" s="1" t="s">
        <v>203</v>
      </c>
      <c r="C189" s="1">
        <v>0</v>
      </c>
      <c r="D189" s="33">
        <v>0</v>
      </c>
      <c r="E189" s="36">
        <v>0</v>
      </c>
      <c r="F189" s="37">
        <v>0</v>
      </c>
      <c r="G189" s="30">
        <v>1.4527917E-2</v>
      </c>
      <c r="H189">
        <f t="shared" si="23"/>
        <v>0</v>
      </c>
      <c r="I189" s="30">
        <v>2.6073595508930001E-3</v>
      </c>
      <c r="J189">
        <f t="shared" si="24"/>
        <v>0</v>
      </c>
      <c r="K189">
        <v>2.2173395380377998E-2</v>
      </c>
      <c r="L189">
        <f t="shared" ref="L189:R203" si="30">IF(K189&gt;$A$2,1,0)</f>
        <v>0</v>
      </c>
      <c r="M189" s="30">
        <v>2.2475630000000002E-3</v>
      </c>
      <c r="N189">
        <f t="shared" ref="N189:N199" si="31">IF(M189&gt;$A$2,1,0)</f>
        <v>0</v>
      </c>
      <c r="O189" s="30">
        <v>5.1191202364859996E-3</v>
      </c>
      <c r="P189">
        <f t="shared" ref="P189:P199" si="32">IF(O189&gt;$A$2,1,0)</f>
        <v>0</v>
      </c>
      <c r="Q189">
        <v>2.3433236E-2</v>
      </c>
      <c r="R189">
        <f t="shared" ref="R189:R199" si="33">IF(Q189&gt;$A$2,1,0)</f>
        <v>0</v>
      </c>
      <c r="S189" s="30">
        <v>5.8965972129953998E-5</v>
      </c>
      <c r="T189">
        <f t="shared" si="25"/>
        <v>0</v>
      </c>
      <c r="U189" s="1">
        <v>0.10931726999999999</v>
      </c>
      <c r="V189">
        <v>0</v>
      </c>
    </row>
    <row r="190" spans="1:22">
      <c r="A190" s="1">
        <v>0</v>
      </c>
      <c r="B190" s="1" t="s">
        <v>205</v>
      </c>
      <c r="C190" s="1">
        <v>0</v>
      </c>
      <c r="D190" s="33">
        <v>0</v>
      </c>
      <c r="E190" s="36">
        <v>0</v>
      </c>
      <c r="F190" s="37">
        <v>0</v>
      </c>
      <c r="G190">
        <v>0.43332353200000001</v>
      </c>
      <c r="H190">
        <f t="shared" si="23"/>
        <v>0</v>
      </c>
      <c r="I190">
        <v>7.0423446595669001E-2</v>
      </c>
      <c r="J190">
        <f t="shared" si="24"/>
        <v>0</v>
      </c>
      <c r="K190">
        <v>0.54478931427001998</v>
      </c>
      <c r="L190">
        <f t="shared" si="30"/>
        <v>1</v>
      </c>
      <c r="M190">
        <v>0.17307065399999999</v>
      </c>
      <c r="N190">
        <f t="shared" si="31"/>
        <v>0</v>
      </c>
      <c r="O190">
        <v>0.457837164402008</v>
      </c>
      <c r="P190">
        <f t="shared" si="32"/>
        <v>0</v>
      </c>
      <c r="Q190">
        <v>0.343589425</v>
      </c>
      <c r="R190">
        <f t="shared" si="33"/>
        <v>0</v>
      </c>
      <c r="S190">
        <v>2.4736955761909998E-2</v>
      </c>
      <c r="T190">
        <f t="shared" si="25"/>
        <v>0</v>
      </c>
      <c r="U190" s="1">
        <v>0.57371885</v>
      </c>
      <c r="V190">
        <v>0</v>
      </c>
    </row>
    <row r="191" spans="1:22">
      <c r="A191" s="1">
        <v>0</v>
      </c>
      <c r="B191" s="1" t="s">
        <v>206</v>
      </c>
      <c r="C191" s="1">
        <v>0</v>
      </c>
      <c r="D191" s="33">
        <v>0</v>
      </c>
      <c r="E191" s="37">
        <v>1</v>
      </c>
      <c r="F191" s="37">
        <v>1</v>
      </c>
      <c r="G191">
        <v>0.228688434</v>
      </c>
      <c r="H191">
        <f t="shared" si="23"/>
        <v>0</v>
      </c>
      <c r="I191">
        <v>0.54706043004989602</v>
      </c>
      <c r="J191">
        <f t="shared" si="24"/>
        <v>1</v>
      </c>
      <c r="K191">
        <v>0.39867532253265398</v>
      </c>
      <c r="L191">
        <f t="shared" si="30"/>
        <v>0</v>
      </c>
      <c r="M191">
        <v>3.7731899999999998E-4</v>
      </c>
      <c r="N191">
        <f t="shared" si="31"/>
        <v>0</v>
      </c>
      <c r="O191">
        <v>0.71415215730667103</v>
      </c>
      <c r="P191">
        <f t="shared" si="32"/>
        <v>1</v>
      </c>
      <c r="Q191">
        <v>0.560272098</v>
      </c>
      <c r="R191">
        <f t="shared" si="33"/>
        <v>1</v>
      </c>
      <c r="S191">
        <v>0.149173468351364</v>
      </c>
      <c r="T191">
        <f t="shared" si="25"/>
        <v>0</v>
      </c>
      <c r="U191" s="1">
        <v>0.69571749999999999</v>
      </c>
      <c r="V191">
        <v>1</v>
      </c>
    </row>
    <row r="192" spans="1:22">
      <c r="A192" s="1">
        <v>0</v>
      </c>
      <c r="B192" s="1" t="s">
        <v>207</v>
      </c>
      <c r="C192" s="1">
        <v>0</v>
      </c>
      <c r="D192" s="33">
        <v>0</v>
      </c>
      <c r="E192" s="37">
        <v>0</v>
      </c>
      <c r="F192" s="37">
        <v>0</v>
      </c>
      <c r="G192">
        <v>0.77319461099999998</v>
      </c>
      <c r="H192">
        <f t="shared" si="23"/>
        <v>1</v>
      </c>
      <c r="I192">
        <v>0.98236751556396495</v>
      </c>
      <c r="J192">
        <f t="shared" si="24"/>
        <v>1</v>
      </c>
      <c r="K192">
        <v>0.74268549680709794</v>
      </c>
      <c r="L192">
        <f t="shared" si="30"/>
        <v>1</v>
      </c>
      <c r="M192" s="30">
        <v>0.35144063800000003</v>
      </c>
      <c r="N192">
        <f t="shared" si="31"/>
        <v>0</v>
      </c>
      <c r="O192">
        <v>0.978107750415802</v>
      </c>
      <c r="P192">
        <f t="shared" si="32"/>
        <v>1</v>
      </c>
      <c r="Q192">
        <v>0.90694260599999998</v>
      </c>
      <c r="R192">
        <f t="shared" si="33"/>
        <v>1</v>
      </c>
      <c r="S192">
        <v>0.45270577073097201</v>
      </c>
      <c r="T192">
        <f t="shared" si="25"/>
        <v>0</v>
      </c>
      <c r="U192" s="1">
        <v>0.64907044000000003</v>
      </c>
      <c r="V192">
        <v>1</v>
      </c>
    </row>
    <row r="193" spans="1:22">
      <c r="A193" s="1">
        <v>0</v>
      </c>
      <c r="B193" s="1" t="s">
        <v>208</v>
      </c>
      <c r="C193" s="1">
        <v>0</v>
      </c>
      <c r="D193" s="33">
        <v>0</v>
      </c>
      <c r="E193" s="36">
        <v>0</v>
      </c>
      <c r="F193" s="37">
        <v>0</v>
      </c>
      <c r="G193" s="30">
        <v>2.8848242E-2</v>
      </c>
      <c r="H193">
        <f t="shared" si="23"/>
        <v>0</v>
      </c>
      <c r="I193" s="30">
        <v>0.14720626175403601</v>
      </c>
      <c r="J193">
        <f t="shared" si="24"/>
        <v>0</v>
      </c>
      <c r="K193" s="30">
        <v>0.123777337372303</v>
      </c>
      <c r="L193">
        <f t="shared" si="30"/>
        <v>0</v>
      </c>
      <c r="M193">
        <v>2.1969599999999999E-4</v>
      </c>
      <c r="N193">
        <f t="shared" si="31"/>
        <v>0</v>
      </c>
      <c r="O193">
        <v>0.14420580863952601</v>
      </c>
      <c r="P193">
        <f t="shared" si="32"/>
        <v>0</v>
      </c>
      <c r="Q193">
        <v>0.108036987</v>
      </c>
      <c r="R193">
        <f t="shared" si="33"/>
        <v>0</v>
      </c>
      <c r="S193">
        <v>2.2930139675740001E-3</v>
      </c>
      <c r="T193">
        <f t="shared" si="25"/>
        <v>0</v>
      </c>
      <c r="U193" s="1">
        <v>0.63056343999999998</v>
      </c>
      <c r="V193">
        <v>1</v>
      </c>
    </row>
    <row r="194" spans="1:22">
      <c r="A194" s="1">
        <v>0</v>
      </c>
      <c r="B194" s="1" t="s">
        <v>209</v>
      </c>
      <c r="C194" s="1">
        <v>0</v>
      </c>
      <c r="D194" s="33">
        <v>0</v>
      </c>
      <c r="E194" s="36">
        <v>0</v>
      </c>
      <c r="F194" s="37">
        <v>0</v>
      </c>
      <c r="G194" s="30">
        <v>6.5099187000000003E-2</v>
      </c>
      <c r="H194">
        <f t="shared" si="23"/>
        <v>0</v>
      </c>
      <c r="I194" s="30">
        <v>4.5381576637699999E-4</v>
      </c>
      <c r="J194">
        <f t="shared" si="24"/>
        <v>0</v>
      </c>
      <c r="K194">
        <v>3.1933058053254998E-2</v>
      </c>
      <c r="L194">
        <f t="shared" si="30"/>
        <v>0</v>
      </c>
      <c r="M194" s="30">
        <v>4.5986599999999998E-5</v>
      </c>
      <c r="N194">
        <f t="shared" si="31"/>
        <v>0</v>
      </c>
      <c r="O194">
        <v>3.3563375473020002E-3</v>
      </c>
      <c r="P194">
        <f t="shared" si="32"/>
        <v>0</v>
      </c>
      <c r="Q194">
        <v>1.8799831999999999E-2</v>
      </c>
      <c r="R194">
        <f t="shared" si="33"/>
        <v>0</v>
      </c>
      <c r="S194" s="30">
        <v>1.8768563677440401E-5</v>
      </c>
      <c r="T194">
        <f t="shared" si="25"/>
        <v>0</v>
      </c>
      <c r="U194" s="1">
        <v>0.16532922999999999</v>
      </c>
      <c r="V194">
        <v>0</v>
      </c>
    </row>
    <row r="195" spans="1:22">
      <c r="A195" s="1">
        <v>0</v>
      </c>
      <c r="B195" s="1" t="s">
        <v>210</v>
      </c>
      <c r="C195" s="1">
        <v>0</v>
      </c>
      <c r="D195" s="33">
        <v>0</v>
      </c>
      <c r="E195" s="36">
        <v>0</v>
      </c>
      <c r="F195" s="37">
        <v>0</v>
      </c>
      <c r="G195" s="30">
        <v>0.148161232</v>
      </c>
      <c r="H195">
        <f t="shared" si="23"/>
        <v>0</v>
      </c>
      <c r="I195" s="30">
        <v>1.3556784950197E-2</v>
      </c>
      <c r="J195">
        <f t="shared" si="24"/>
        <v>0</v>
      </c>
      <c r="K195">
        <v>6.3244812190533004E-2</v>
      </c>
      <c r="L195">
        <f t="shared" si="30"/>
        <v>0</v>
      </c>
      <c r="M195">
        <v>1.3149958E-2</v>
      </c>
      <c r="N195">
        <f t="shared" si="31"/>
        <v>0</v>
      </c>
      <c r="O195">
        <v>7.0197694003582001E-2</v>
      </c>
      <c r="P195">
        <f t="shared" si="32"/>
        <v>0</v>
      </c>
      <c r="Q195">
        <v>0.31156709799999999</v>
      </c>
      <c r="R195">
        <f t="shared" si="33"/>
        <v>0</v>
      </c>
      <c r="S195" s="30">
        <v>8.3307713794056292E-6</v>
      </c>
      <c r="T195">
        <f t="shared" si="25"/>
        <v>0</v>
      </c>
      <c r="U195" s="1">
        <v>0.30512685000000001</v>
      </c>
      <c r="V195">
        <v>0</v>
      </c>
    </row>
    <row r="196" spans="1:22">
      <c r="A196" s="1">
        <v>0</v>
      </c>
      <c r="B196" s="1" t="s">
        <v>211</v>
      </c>
      <c r="C196" s="1">
        <v>0</v>
      </c>
      <c r="D196" s="33">
        <v>0</v>
      </c>
      <c r="E196" s="36">
        <v>0</v>
      </c>
      <c r="F196" s="37">
        <v>0</v>
      </c>
      <c r="G196" s="30">
        <v>2.6748072000000001E-2</v>
      </c>
      <c r="H196">
        <f t="shared" si="23"/>
        <v>0</v>
      </c>
      <c r="I196" s="30">
        <v>5.7657514698799999E-3</v>
      </c>
      <c r="J196">
        <f t="shared" si="24"/>
        <v>0</v>
      </c>
      <c r="K196">
        <v>9.8681170493359997E-3</v>
      </c>
      <c r="L196">
        <f t="shared" si="30"/>
        <v>0</v>
      </c>
      <c r="M196">
        <v>4.1617340000000003E-3</v>
      </c>
      <c r="N196">
        <f t="shared" si="31"/>
        <v>0</v>
      </c>
      <c r="O196">
        <v>5.2840288728476001E-2</v>
      </c>
      <c r="P196">
        <f t="shared" si="32"/>
        <v>0</v>
      </c>
      <c r="Q196">
        <v>7.0173605999999999E-2</v>
      </c>
      <c r="R196">
        <f t="shared" si="33"/>
        <v>0</v>
      </c>
      <c r="S196" s="30">
        <v>9.9685239547397901E-5</v>
      </c>
      <c r="T196">
        <f t="shared" si="25"/>
        <v>0</v>
      </c>
      <c r="U196" s="1">
        <v>0.31345043</v>
      </c>
      <c r="V196">
        <v>0</v>
      </c>
    </row>
    <row r="197" spans="1:22">
      <c r="A197" s="1">
        <v>0</v>
      </c>
      <c r="B197" s="1" t="s">
        <v>212</v>
      </c>
      <c r="C197" s="1">
        <v>0</v>
      </c>
      <c r="D197" s="33">
        <v>0</v>
      </c>
      <c r="E197" s="36">
        <v>0</v>
      </c>
      <c r="F197" s="37">
        <v>0</v>
      </c>
      <c r="G197" s="30">
        <v>0.21377550100000001</v>
      </c>
      <c r="H197">
        <f t="shared" si="23"/>
        <v>0</v>
      </c>
      <c r="I197">
        <v>3.0502930749209999E-3</v>
      </c>
      <c r="J197">
        <f t="shared" si="24"/>
        <v>0</v>
      </c>
      <c r="K197">
        <v>0.94968879222869895</v>
      </c>
      <c r="L197">
        <f t="shared" si="30"/>
        <v>1</v>
      </c>
      <c r="M197" s="30">
        <v>7.8079359999999997E-3</v>
      </c>
      <c r="N197">
        <f t="shared" si="31"/>
        <v>0</v>
      </c>
      <c r="O197">
        <v>0.58986848592758201</v>
      </c>
      <c r="P197">
        <f t="shared" si="32"/>
        <v>1</v>
      </c>
      <c r="Q197">
        <v>0.67589747899999997</v>
      </c>
      <c r="R197">
        <f t="shared" si="33"/>
        <v>1</v>
      </c>
      <c r="S197">
        <v>0.73087418079376198</v>
      </c>
      <c r="T197">
        <f t="shared" si="25"/>
        <v>1</v>
      </c>
      <c r="U197" s="1">
        <v>0.65199786000000004</v>
      </c>
      <c r="V197">
        <v>1</v>
      </c>
    </row>
    <row r="198" spans="1:22">
      <c r="A198" s="1">
        <v>0</v>
      </c>
      <c r="B198" s="1" t="s">
        <v>213</v>
      </c>
      <c r="C198" s="1">
        <v>0</v>
      </c>
      <c r="D198" s="33">
        <v>1</v>
      </c>
      <c r="E198" s="37">
        <v>1</v>
      </c>
      <c r="F198" s="37">
        <v>0</v>
      </c>
      <c r="G198" s="30">
        <v>4.0333226E-2</v>
      </c>
      <c r="H198">
        <f t="shared" si="23"/>
        <v>0</v>
      </c>
      <c r="I198">
        <v>4.4143549166600002E-4</v>
      </c>
      <c r="J198">
        <f t="shared" si="24"/>
        <v>0</v>
      </c>
      <c r="K198">
        <v>3.8055725395680001E-2</v>
      </c>
      <c r="L198">
        <f t="shared" si="30"/>
        <v>0</v>
      </c>
      <c r="M198">
        <v>3.7931999999999999E-4</v>
      </c>
      <c r="N198">
        <f t="shared" si="31"/>
        <v>0</v>
      </c>
      <c r="O198">
        <v>3.0504597350954999E-2</v>
      </c>
      <c r="P198">
        <f t="shared" si="32"/>
        <v>0</v>
      </c>
      <c r="Q198">
        <v>3.8849697000000002E-2</v>
      </c>
      <c r="R198">
        <f t="shared" si="33"/>
        <v>0</v>
      </c>
      <c r="S198" s="30">
        <v>1.76430637566227E-6</v>
      </c>
      <c r="T198">
        <f t="shared" si="25"/>
        <v>0</v>
      </c>
      <c r="U198" s="1">
        <v>0.16186516000000001</v>
      </c>
      <c r="V198">
        <v>0</v>
      </c>
    </row>
    <row r="199" spans="1:22">
      <c r="A199" s="1">
        <v>0</v>
      </c>
      <c r="B199" s="1" t="s">
        <v>214</v>
      </c>
      <c r="C199" s="1">
        <v>0</v>
      </c>
      <c r="D199" s="33">
        <v>0</v>
      </c>
      <c r="E199" s="37">
        <v>0</v>
      </c>
      <c r="F199" s="37">
        <v>1</v>
      </c>
      <c r="G199" s="30">
        <v>0.13573212900000001</v>
      </c>
      <c r="H199">
        <f t="shared" si="23"/>
        <v>0</v>
      </c>
      <c r="I199">
        <v>0.14583328366279599</v>
      </c>
      <c r="J199">
        <f t="shared" si="24"/>
        <v>0</v>
      </c>
      <c r="K199">
        <v>0.63489454984664895</v>
      </c>
      <c r="L199">
        <f t="shared" si="30"/>
        <v>1</v>
      </c>
      <c r="M199">
        <v>0.130554169</v>
      </c>
      <c r="N199">
        <f t="shared" si="31"/>
        <v>0</v>
      </c>
      <c r="O199">
        <v>0.16815902292728399</v>
      </c>
      <c r="P199">
        <f t="shared" si="32"/>
        <v>0</v>
      </c>
      <c r="Q199">
        <v>0.28648903999999997</v>
      </c>
      <c r="R199">
        <f t="shared" si="33"/>
        <v>0</v>
      </c>
      <c r="S199">
        <v>0.118073306977749</v>
      </c>
      <c r="T199">
        <f t="shared" si="25"/>
        <v>0</v>
      </c>
      <c r="U199" s="1">
        <v>0.47328615000000002</v>
      </c>
      <c r="V199">
        <v>0</v>
      </c>
    </row>
    <row r="200" spans="1:22">
      <c r="A200" s="1">
        <v>0</v>
      </c>
      <c r="B200" s="1" t="s">
        <v>215</v>
      </c>
      <c r="C200" s="1">
        <v>0</v>
      </c>
      <c r="D200" s="33">
        <v>0</v>
      </c>
      <c r="E200" s="36">
        <v>0</v>
      </c>
      <c r="F200" s="37">
        <v>0</v>
      </c>
      <c r="G200">
        <v>0.174631551</v>
      </c>
      <c r="H200">
        <f t="shared" ref="H200:H255" si="34">IF(G200&gt;$A$2,1,0)</f>
        <v>0</v>
      </c>
      <c r="I200">
        <v>2.0261282101274002E-2</v>
      </c>
      <c r="J200">
        <f t="shared" ref="J200:J255" si="35">IF(I200&gt;$A$2,1,0)</f>
        <v>0</v>
      </c>
      <c r="K200">
        <v>0.20566251873970001</v>
      </c>
      <c r="L200">
        <f t="shared" si="30"/>
        <v>0</v>
      </c>
      <c r="M200">
        <v>3.4830324000000003E-2</v>
      </c>
      <c r="N200">
        <f t="shared" si="30"/>
        <v>0</v>
      </c>
      <c r="O200">
        <v>2.5156332179904001E-2</v>
      </c>
      <c r="P200">
        <f t="shared" si="30"/>
        <v>0</v>
      </c>
      <c r="Q200">
        <v>8.1648178000000002E-2</v>
      </c>
      <c r="R200">
        <f t="shared" si="30"/>
        <v>0</v>
      </c>
      <c r="S200">
        <v>2.9544048011299999E-3</v>
      </c>
      <c r="T200">
        <f t="shared" si="25"/>
        <v>0</v>
      </c>
      <c r="U200" s="1">
        <v>0.17021850999999999</v>
      </c>
      <c r="V200">
        <v>0</v>
      </c>
    </row>
    <row r="201" spans="1:22">
      <c r="A201" s="1">
        <v>0</v>
      </c>
      <c r="B201" s="1" t="s">
        <v>216</v>
      </c>
      <c r="C201" s="1">
        <v>0</v>
      </c>
      <c r="D201" s="33">
        <v>0</v>
      </c>
      <c r="E201" s="37">
        <v>0</v>
      </c>
      <c r="F201" s="37">
        <v>0</v>
      </c>
      <c r="G201">
        <v>0.39353618000000001</v>
      </c>
      <c r="H201">
        <f t="shared" si="34"/>
        <v>0</v>
      </c>
      <c r="I201">
        <v>7.0800748653710001E-3</v>
      </c>
      <c r="J201">
        <f t="shared" si="35"/>
        <v>0</v>
      </c>
      <c r="K201">
        <v>0.21863681077957101</v>
      </c>
      <c r="L201">
        <f t="shared" si="30"/>
        <v>0</v>
      </c>
      <c r="M201" s="30">
        <v>7.4932500999999999E-2</v>
      </c>
      <c r="N201">
        <f t="shared" si="30"/>
        <v>0</v>
      </c>
      <c r="O201">
        <v>0.20160581171512601</v>
      </c>
      <c r="P201">
        <f t="shared" si="30"/>
        <v>0</v>
      </c>
      <c r="Q201">
        <v>0.560186446</v>
      </c>
      <c r="R201">
        <f t="shared" si="30"/>
        <v>1</v>
      </c>
      <c r="S201">
        <v>0.31809115409851102</v>
      </c>
      <c r="T201">
        <f t="shared" si="25"/>
        <v>0</v>
      </c>
      <c r="U201" s="1">
        <v>0.3858627</v>
      </c>
      <c r="V201">
        <v>0</v>
      </c>
    </row>
    <row r="202" spans="1:22">
      <c r="A202" s="1">
        <v>0</v>
      </c>
      <c r="B202" s="1" t="s">
        <v>217</v>
      </c>
      <c r="C202" s="1">
        <v>0</v>
      </c>
      <c r="D202" s="33">
        <v>0</v>
      </c>
      <c r="E202" s="36">
        <v>0</v>
      </c>
      <c r="F202" s="37">
        <v>0</v>
      </c>
      <c r="G202">
        <v>0.93164646600000001</v>
      </c>
      <c r="H202">
        <f t="shared" si="34"/>
        <v>1</v>
      </c>
      <c r="I202">
        <v>0.99454993009567305</v>
      </c>
      <c r="J202">
        <f t="shared" si="35"/>
        <v>1</v>
      </c>
      <c r="K202">
        <v>0.99177598953247104</v>
      </c>
      <c r="L202">
        <f t="shared" si="30"/>
        <v>1</v>
      </c>
      <c r="M202" s="30">
        <v>0.91598361699999997</v>
      </c>
      <c r="N202">
        <f t="shared" si="30"/>
        <v>1</v>
      </c>
      <c r="O202">
        <v>0.99433064460754395</v>
      </c>
      <c r="P202">
        <f t="shared" si="30"/>
        <v>1</v>
      </c>
      <c r="Q202">
        <v>0.75504934800000001</v>
      </c>
      <c r="R202">
        <f t="shared" si="30"/>
        <v>1</v>
      </c>
      <c r="S202">
        <v>0.97397792339324996</v>
      </c>
      <c r="T202">
        <f t="shared" ref="T202:T254" si="36">IF(S202&gt;$A$2,1,0)</f>
        <v>1</v>
      </c>
      <c r="U202" s="1">
        <v>0.67718</v>
      </c>
      <c r="V202">
        <v>1</v>
      </c>
    </row>
    <row r="203" spans="1:22">
      <c r="A203" s="1">
        <v>0</v>
      </c>
      <c r="B203" s="1" t="s">
        <v>218</v>
      </c>
      <c r="C203" s="1">
        <v>0</v>
      </c>
      <c r="D203" s="33">
        <v>1</v>
      </c>
      <c r="E203" s="36">
        <v>0</v>
      </c>
      <c r="F203" s="37">
        <v>0</v>
      </c>
      <c r="G203" s="30">
        <v>3.6123010999999997E-2</v>
      </c>
      <c r="H203">
        <f t="shared" si="34"/>
        <v>0</v>
      </c>
      <c r="I203">
        <v>1.9136652350426001E-2</v>
      </c>
      <c r="J203">
        <f t="shared" si="35"/>
        <v>0</v>
      </c>
      <c r="K203">
        <v>3.1336112879220002E-3</v>
      </c>
      <c r="L203">
        <f t="shared" si="30"/>
        <v>0</v>
      </c>
      <c r="M203" s="30">
        <v>1.653594E-3</v>
      </c>
      <c r="N203">
        <f t="shared" si="30"/>
        <v>0</v>
      </c>
      <c r="O203">
        <v>2.3513441905379E-2</v>
      </c>
      <c r="P203">
        <f t="shared" si="30"/>
        <v>0</v>
      </c>
      <c r="Q203">
        <v>0.77605682600000003</v>
      </c>
      <c r="R203">
        <f t="shared" si="30"/>
        <v>1</v>
      </c>
      <c r="S203">
        <v>9.6392994746569999E-3</v>
      </c>
      <c r="T203">
        <f t="shared" si="36"/>
        <v>0</v>
      </c>
      <c r="U203" s="1">
        <v>0.19043303</v>
      </c>
      <c r="V203">
        <v>0</v>
      </c>
    </row>
    <row r="204" spans="1:22">
      <c r="A204" s="1">
        <v>0</v>
      </c>
      <c r="B204" s="1" t="s">
        <v>220</v>
      </c>
      <c r="C204" s="1">
        <v>0</v>
      </c>
      <c r="D204" s="33">
        <v>0</v>
      </c>
      <c r="E204" s="36">
        <v>0</v>
      </c>
      <c r="F204" s="37">
        <v>0</v>
      </c>
      <c r="G204" s="30">
        <v>5.0870690000000003E-2</v>
      </c>
      <c r="H204">
        <f t="shared" si="34"/>
        <v>0</v>
      </c>
      <c r="I204">
        <v>0.261840760707855</v>
      </c>
      <c r="J204">
        <f t="shared" si="35"/>
        <v>0</v>
      </c>
      <c r="K204">
        <v>0.54870545864105202</v>
      </c>
      <c r="L204">
        <f t="shared" ref="L204:R258" si="37">IF(K204&gt;$A$2,1,0)</f>
        <v>1</v>
      </c>
      <c r="M204">
        <v>3.1952213E-2</v>
      </c>
      <c r="N204">
        <f t="shared" si="37"/>
        <v>0</v>
      </c>
      <c r="O204">
        <v>0.47366386651992798</v>
      </c>
      <c r="P204">
        <f t="shared" si="37"/>
        <v>0</v>
      </c>
      <c r="Q204">
        <v>0.45964974199999997</v>
      </c>
      <c r="R204">
        <f t="shared" si="37"/>
        <v>0</v>
      </c>
      <c r="S204">
        <v>1.16115268611E-4</v>
      </c>
      <c r="T204">
        <f t="shared" si="36"/>
        <v>0</v>
      </c>
      <c r="U204" s="1">
        <v>0.58506809999999998</v>
      </c>
      <c r="V204">
        <v>0</v>
      </c>
    </row>
    <row r="205" spans="1:22">
      <c r="A205" s="1">
        <v>0</v>
      </c>
      <c r="B205" s="1" t="s">
        <v>221</v>
      </c>
      <c r="C205" s="1">
        <v>0</v>
      </c>
      <c r="D205" s="33">
        <v>0</v>
      </c>
      <c r="E205" s="36">
        <v>0</v>
      </c>
      <c r="F205" s="37">
        <v>0</v>
      </c>
      <c r="G205" s="30">
        <v>1.5739689000000001E-2</v>
      </c>
      <c r="H205">
        <f t="shared" si="34"/>
        <v>0</v>
      </c>
      <c r="I205" s="30">
        <v>5.9841971960850101E-5</v>
      </c>
      <c r="J205">
        <f t="shared" si="35"/>
        <v>0</v>
      </c>
      <c r="K205">
        <v>7.1271024644369999E-3</v>
      </c>
      <c r="L205">
        <f t="shared" si="37"/>
        <v>0</v>
      </c>
      <c r="M205">
        <v>1.41373E-4</v>
      </c>
      <c r="N205">
        <f t="shared" si="37"/>
        <v>0</v>
      </c>
      <c r="O205">
        <v>3.0605434440079998E-3</v>
      </c>
      <c r="P205">
        <f t="shared" si="37"/>
        <v>0</v>
      </c>
      <c r="Q205" s="30">
        <v>1.9572314E-2</v>
      </c>
      <c r="R205">
        <f t="shared" si="37"/>
        <v>0</v>
      </c>
      <c r="S205" s="30">
        <v>8.7875901000344904E-10</v>
      </c>
      <c r="T205">
        <f t="shared" si="36"/>
        <v>0</v>
      </c>
      <c r="U205" s="1">
        <v>7.9143203999999995E-2</v>
      </c>
      <c r="V205">
        <v>0</v>
      </c>
    </row>
    <row r="206" spans="1:22">
      <c r="A206" s="1">
        <v>0</v>
      </c>
      <c r="B206" s="1" t="s">
        <v>222</v>
      </c>
      <c r="C206" s="1">
        <v>0</v>
      </c>
      <c r="D206" s="33">
        <v>0</v>
      </c>
      <c r="E206" s="36">
        <v>0</v>
      </c>
      <c r="F206" s="37">
        <v>0</v>
      </c>
      <c r="G206" s="30">
        <v>5.2167021000000001E-2</v>
      </c>
      <c r="H206">
        <f t="shared" si="34"/>
        <v>0</v>
      </c>
      <c r="I206">
        <v>1.0920687345789999E-3</v>
      </c>
      <c r="J206">
        <f t="shared" si="35"/>
        <v>0</v>
      </c>
      <c r="K206">
        <v>3.1207313761115001E-2</v>
      </c>
      <c r="L206">
        <f t="shared" si="37"/>
        <v>0</v>
      </c>
      <c r="M206" s="30">
        <v>2.2818201999999999E-2</v>
      </c>
      <c r="N206">
        <f t="shared" si="37"/>
        <v>0</v>
      </c>
      <c r="O206">
        <v>0.145915046334267</v>
      </c>
      <c r="P206">
        <f t="shared" si="37"/>
        <v>0</v>
      </c>
      <c r="Q206">
        <v>0.106653623</v>
      </c>
      <c r="R206">
        <f t="shared" si="37"/>
        <v>0</v>
      </c>
      <c r="S206">
        <v>1.9993265159430002E-3</v>
      </c>
      <c r="T206">
        <f t="shared" si="36"/>
        <v>0</v>
      </c>
      <c r="U206" s="1">
        <v>0.38943013999999998</v>
      </c>
      <c r="V206">
        <v>0</v>
      </c>
    </row>
    <row r="207" spans="1:22">
      <c r="A207" s="1">
        <v>0</v>
      </c>
      <c r="B207" s="1" t="s">
        <v>223</v>
      </c>
      <c r="C207" s="1">
        <v>0</v>
      </c>
      <c r="D207" s="33">
        <v>0</v>
      </c>
      <c r="E207" s="36">
        <v>0</v>
      </c>
      <c r="F207" s="37">
        <v>0</v>
      </c>
      <c r="G207" s="30">
        <v>3.0372223E-2</v>
      </c>
      <c r="H207">
        <f t="shared" si="34"/>
        <v>0</v>
      </c>
      <c r="I207" s="30">
        <v>1.3000866165379999E-3</v>
      </c>
      <c r="J207">
        <f t="shared" si="35"/>
        <v>0</v>
      </c>
      <c r="K207">
        <v>5.2534498274325998E-2</v>
      </c>
      <c r="L207">
        <f t="shared" si="37"/>
        <v>0</v>
      </c>
      <c r="M207" s="30">
        <v>2.2449700000000001E-6</v>
      </c>
      <c r="N207">
        <f t="shared" si="37"/>
        <v>0</v>
      </c>
      <c r="O207" s="30">
        <v>6.1556720174799995E-4</v>
      </c>
      <c r="P207">
        <f t="shared" si="37"/>
        <v>0</v>
      </c>
      <c r="Q207" s="30">
        <v>3.7136878999999998E-2</v>
      </c>
      <c r="R207">
        <f t="shared" si="37"/>
        <v>0</v>
      </c>
      <c r="S207" s="30">
        <v>4.2565883973111298E-7</v>
      </c>
      <c r="T207">
        <f t="shared" si="36"/>
        <v>0</v>
      </c>
      <c r="U207" s="1">
        <v>7.5643580000000002E-2</v>
      </c>
      <c r="V207">
        <v>0</v>
      </c>
    </row>
    <row r="208" spans="1:22">
      <c r="A208" s="1">
        <v>0</v>
      </c>
      <c r="B208" s="1" t="s">
        <v>224</v>
      </c>
      <c r="C208" s="1">
        <v>0</v>
      </c>
      <c r="D208" s="33">
        <v>0</v>
      </c>
      <c r="E208" s="36">
        <v>0</v>
      </c>
      <c r="F208" s="37">
        <v>0</v>
      </c>
      <c r="G208">
        <v>0.463535219</v>
      </c>
      <c r="H208">
        <f t="shared" si="34"/>
        <v>0</v>
      </c>
      <c r="I208">
        <v>0.43865379691124001</v>
      </c>
      <c r="J208">
        <f t="shared" si="35"/>
        <v>0</v>
      </c>
      <c r="K208">
        <v>0.77125209569930997</v>
      </c>
      <c r="L208">
        <f t="shared" si="37"/>
        <v>1</v>
      </c>
      <c r="M208">
        <v>0.42588067099999999</v>
      </c>
      <c r="N208">
        <f t="shared" si="37"/>
        <v>0</v>
      </c>
      <c r="O208">
        <v>0.98187941312789895</v>
      </c>
      <c r="P208">
        <f t="shared" si="37"/>
        <v>1</v>
      </c>
      <c r="Q208">
        <v>0.54487705200000003</v>
      </c>
      <c r="R208">
        <f t="shared" si="37"/>
        <v>1</v>
      </c>
      <c r="S208">
        <v>3.5625841468572998E-2</v>
      </c>
      <c r="T208">
        <f t="shared" si="36"/>
        <v>0</v>
      </c>
      <c r="U208" s="1">
        <v>0.65393436000000005</v>
      </c>
      <c r="V208">
        <v>1</v>
      </c>
    </row>
    <row r="209" spans="1:22">
      <c r="A209" s="1">
        <v>0</v>
      </c>
      <c r="B209" s="1" t="s">
        <v>225</v>
      </c>
      <c r="C209" s="1">
        <v>0</v>
      </c>
      <c r="D209" s="33">
        <v>0</v>
      </c>
      <c r="E209" s="37">
        <v>1</v>
      </c>
      <c r="F209" s="37">
        <v>0</v>
      </c>
      <c r="G209" s="30">
        <v>1.8295302999999999E-2</v>
      </c>
      <c r="H209">
        <f t="shared" si="34"/>
        <v>0</v>
      </c>
      <c r="I209" s="30">
        <v>1.6051717102529999E-3</v>
      </c>
      <c r="J209">
        <f t="shared" si="35"/>
        <v>0</v>
      </c>
      <c r="K209">
        <v>1.3588438741862999E-2</v>
      </c>
      <c r="L209">
        <f t="shared" si="37"/>
        <v>0</v>
      </c>
      <c r="M209">
        <v>5.9908400000000005E-4</v>
      </c>
      <c r="N209">
        <f t="shared" si="37"/>
        <v>0</v>
      </c>
      <c r="O209">
        <v>5.8685536496339997E-3</v>
      </c>
      <c r="P209">
        <f t="shared" si="37"/>
        <v>0</v>
      </c>
      <c r="Q209" s="30">
        <v>2.2985522000000001E-2</v>
      </c>
      <c r="R209">
        <f t="shared" si="37"/>
        <v>0</v>
      </c>
      <c r="S209" s="30">
        <v>3.7692552723456201E-7</v>
      </c>
      <c r="T209">
        <f t="shared" si="36"/>
        <v>0</v>
      </c>
      <c r="U209" s="1">
        <v>7.9650133999999997E-2</v>
      </c>
      <c r="V209">
        <v>0</v>
      </c>
    </row>
    <row r="210" spans="1:22">
      <c r="A210" s="1">
        <v>0</v>
      </c>
      <c r="B210" s="1" t="s">
        <v>228</v>
      </c>
      <c r="C210" s="1">
        <v>0</v>
      </c>
      <c r="D210" s="33">
        <v>0</v>
      </c>
      <c r="E210" s="36">
        <v>0</v>
      </c>
      <c r="F210" s="37">
        <v>0</v>
      </c>
      <c r="G210">
        <v>0.71819508099999996</v>
      </c>
      <c r="H210">
        <f t="shared" si="34"/>
        <v>1</v>
      </c>
      <c r="I210">
        <v>0.21127130091190299</v>
      </c>
      <c r="J210">
        <f t="shared" si="35"/>
        <v>0</v>
      </c>
      <c r="K210">
        <v>0.86083382368087802</v>
      </c>
      <c r="L210">
        <f t="shared" si="37"/>
        <v>1</v>
      </c>
      <c r="M210">
        <v>0.93516677599999998</v>
      </c>
      <c r="N210">
        <f t="shared" si="37"/>
        <v>1</v>
      </c>
      <c r="O210">
        <v>0.24266149103641499</v>
      </c>
      <c r="P210">
        <f t="shared" si="37"/>
        <v>0</v>
      </c>
      <c r="Q210">
        <v>0.45956867899999998</v>
      </c>
      <c r="R210">
        <f t="shared" si="37"/>
        <v>0</v>
      </c>
      <c r="S210">
        <v>0.93618446588516202</v>
      </c>
      <c r="T210">
        <f t="shared" si="36"/>
        <v>1</v>
      </c>
      <c r="U210" s="1">
        <v>0.39041720000000002</v>
      </c>
      <c r="V210">
        <v>0</v>
      </c>
    </row>
    <row r="211" spans="1:22">
      <c r="A211" s="1">
        <v>0</v>
      </c>
      <c r="B211" s="1" t="s">
        <v>230</v>
      </c>
      <c r="C211" s="1">
        <v>0</v>
      </c>
      <c r="D211" s="33">
        <v>1</v>
      </c>
      <c r="E211" s="36">
        <v>0</v>
      </c>
      <c r="F211" s="37">
        <v>0</v>
      </c>
      <c r="G211" s="30">
        <v>0.13459195199999999</v>
      </c>
      <c r="H211">
        <f t="shared" si="34"/>
        <v>0</v>
      </c>
      <c r="I211">
        <v>7.9665757715702001E-2</v>
      </c>
      <c r="J211">
        <f t="shared" si="35"/>
        <v>0</v>
      </c>
      <c r="K211">
        <v>6.2958076596260001E-2</v>
      </c>
      <c r="L211">
        <f t="shared" si="37"/>
        <v>0</v>
      </c>
      <c r="M211" s="30">
        <v>0.28770986199999998</v>
      </c>
      <c r="N211">
        <f t="shared" si="37"/>
        <v>0</v>
      </c>
      <c r="O211">
        <v>7.5163520872592995E-2</v>
      </c>
      <c r="P211">
        <f t="shared" si="37"/>
        <v>0</v>
      </c>
      <c r="Q211">
        <v>0.33570232999999999</v>
      </c>
      <c r="R211">
        <f t="shared" si="37"/>
        <v>0</v>
      </c>
      <c r="S211">
        <v>8.2166418433189999E-3</v>
      </c>
      <c r="T211">
        <f t="shared" si="36"/>
        <v>0</v>
      </c>
      <c r="U211" s="1">
        <v>0.34495710000000002</v>
      </c>
      <c r="V211">
        <v>0</v>
      </c>
    </row>
    <row r="212" spans="1:22">
      <c r="A212" s="1">
        <v>0</v>
      </c>
      <c r="B212" s="1" t="s">
        <v>231</v>
      </c>
      <c r="C212" s="1">
        <v>0</v>
      </c>
      <c r="D212" s="33">
        <v>0</v>
      </c>
      <c r="E212" s="36">
        <v>0</v>
      </c>
      <c r="F212" s="37">
        <v>0</v>
      </c>
      <c r="G212" s="30">
        <v>2.6455266000000002E-2</v>
      </c>
      <c r="H212">
        <f t="shared" si="34"/>
        <v>0</v>
      </c>
      <c r="I212" s="30">
        <v>6.4777286024800002E-4</v>
      </c>
      <c r="J212">
        <f t="shared" si="35"/>
        <v>0</v>
      </c>
      <c r="K212">
        <v>3.3236879855394003E-2</v>
      </c>
      <c r="L212">
        <f t="shared" si="37"/>
        <v>0</v>
      </c>
      <c r="M212">
        <v>4.8659134999999999E-2</v>
      </c>
      <c r="N212">
        <f t="shared" si="37"/>
        <v>0</v>
      </c>
      <c r="O212">
        <v>5.4755336605009997E-3</v>
      </c>
      <c r="P212">
        <f t="shared" si="37"/>
        <v>0</v>
      </c>
      <c r="Q212" s="30">
        <v>3.6757603E-2</v>
      </c>
      <c r="R212">
        <f t="shared" si="37"/>
        <v>0</v>
      </c>
      <c r="S212" s="30">
        <v>5.5436540691289298E-8</v>
      </c>
      <c r="T212">
        <f t="shared" si="36"/>
        <v>0</v>
      </c>
      <c r="U212" s="1">
        <v>5.9039756999999998E-2</v>
      </c>
      <c r="V212">
        <v>0</v>
      </c>
    </row>
    <row r="213" spans="1:22">
      <c r="A213" s="1">
        <v>0</v>
      </c>
      <c r="B213" s="1" t="s">
        <v>232</v>
      </c>
      <c r="C213" s="1">
        <v>0</v>
      </c>
      <c r="D213" s="33">
        <v>0</v>
      </c>
      <c r="E213" s="36">
        <v>0</v>
      </c>
      <c r="F213" s="37">
        <v>0</v>
      </c>
      <c r="G213" s="30">
        <v>8.545664E-2</v>
      </c>
      <c r="H213">
        <f t="shared" si="34"/>
        <v>0</v>
      </c>
      <c r="I213">
        <v>4.4049430638552003E-2</v>
      </c>
      <c r="J213">
        <f t="shared" si="35"/>
        <v>0</v>
      </c>
      <c r="K213">
        <v>3.7974599748850001E-2</v>
      </c>
      <c r="L213">
        <f t="shared" si="37"/>
        <v>0</v>
      </c>
      <c r="M213">
        <v>3.8258813000000003E-2</v>
      </c>
      <c r="N213">
        <f t="shared" si="37"/>
        <v>0</v>
      </c>
      <c r="O213">
        <v>6.7037224769591994E-2</v>
      </c>
      <c r="P213">
        <f t="shared" si="37"/>
        <v>0</v>
      </c>
      <c r="Q213">
        <v>8.407104E-2</v>
      </c>
      <c r="R213">
        <f t="shared" si="37"/>
        <v>0</v>
      </c>
      <c r="S213">
        <v>1.5182081609963999E-2</v>
      </c>
      <c r="T213">
        <f t="shared" si="36"/>
        <v>0</v>
      </c>
      <c r="U213" s="1">
        <v>0.19648114</v>
      </c>
      <c r="V213">
        <v>0</v>
      </c>
    </row>
    <row r="214" spans="1:22">
      <c r="A214" s="1">
        <v>0</v>
      </c>
      <c r="B214" s="1" t="s">
        <v>233</v>
      </c>
      <c r="C214" s="1">
        <v>0</v>
      </c>
      <c r="D214" s="33">
        <v>0</v>
      </c>
      <c r="E214" s="36">
        <v>0</v>
      </c>
      <c r="F214" s="37">
        <v>0</v>
      </c>
      <c r="G214">
        <v>9.4190656999999997E-2</v>
      </c>
      <c r="H214">
        <f t="shared" si="34"/>
        <v>0</v>
      </c>
      <c r="I214">
        <v>0.310129404067993</v>
      </c>
      <c r="J214">
        <f t="shared" si="35"/>
        <v>0</v>
      </c>
      <c r="K214">
        <v>6.1608098447322998E-2</v>
      </c>
      <c r="L214">
        <f t="shared" si="37"/>
        <v>0</v>
      </c>
      <c r="M214">
        <v>0.16513456400000001</v>
      </c>
      <c r="N214">
        <f t="shared" si="37"/>
        <v>0</v>
      </c>
      <c r="O214">
        <v>0.35909521579742398</v>
      </c>
      <c r="P214">
        <f t="shared" si="37"/>
        <v>0</v>
      </c>
      <c r="Q214">
        <v>4.8873194000000002E-2</v>
      </c>
      <c r="R214">
        <f t="shared" si="37"/>
        <v>0</v>
      </c>
      <c r="S214">
        <v>7.5689255027099999E-4</v>
      </c>
      <c r="T214">
        <f t="shared" si="36"/>
        <v>0</v>
      </c>
      <c r="U214" s="1">
        <v>0.52158979999999999</v>
      </c>
      <c r="V214">
        <v>0</v>
      </c>
    </row>
    <row r="215" spans="1:22">
      <c r="A215" s="1">
        <v>0</v>
      </c>
      <c r="B215" s="1" t="s">
        <v>234</v>
      </c>
      <c r="C215" s="1">
        <v>0</v>
      </c>
      <c r="D215" s="33">
        <v>0</v>
      </c>
      <c r="E215" s="36">
        <v>0</v>
      </c>
      <c r="F215" s="37">
        <v>0</v>
      </c>
      <c r="G215">
        <v>0.22410771299999999</v>
      </c>
      <c r="H215">
        <f t="shared" si="34"/>
        <v>0</v>
      </c>
      <c r="I215">
        <v>3.3168949186802001E-2</v>
      </c>
      <c r="J215">
        <f t="shared" si="35"/>
        <v>0</v>
      </c>
      <c r="K215">
        <v>0.10381226986646599</v>
      </c>
      <c r="L215">
        <f t="shared" si="37"/>
        <v>0</v>
      </c>
      <c r="M215">
        <v>5.7939685999999997E-2</v>
      </c>
      <c r="N215">
        <f t="shared" si="37"/>
        <v>0</v>
      </c>
      <c r="O215">
        <v>0.17672698199749001</v>
      </c>
      <c r="P215">
        <f t="shared" si="37"/>
        <v>0</v>
      </c>
      <c r="Q215">
        <v>4.8428583999999997E-2</v>
      </c>
      <c r="R215">
        <f t="shared" si="37"/>
        <v>0</v>
      </c>
      <c r="S215">
        <v>0.138778761029244</v>
      </c>
      <c r="T215">
        <f t="shared" si="36"/>
        <v>0</v>
      </c>
      <c r="U215" s="1">
        <v>0.42288880000000001</v>
      </c>
      <c r="V215">
        <v>0</v>
      </c>
    </row>
    <row r="216" spans="1:22">
      <c r="A216" s="1">
        <v>0</v>
      </c>
      <c r="B216" s="1" t="s">
        <v>235</v>
      </c>
      <c r="C216" s="1">
        <v>0</v>
      </c>
      <c r="D216" s="33">
        <v>0</v>
      </c>
      <c r="E216" s="36">
        <v>0</v>
      </c>
      <c r="F216" s="37">
        <v>0</v>
      </c>
      <c r="G216">
        <v>0.153670207</v>
      </c>
      <c r="H216">
        <f t="shared" si="34"/>
        <v>0</v>
      </c>
      <c r="I216">
        <v>4.1117682121690003E-3</v>
      </c>
      <c r="J216">
        <f t="shared" si="35"/>
        <v>0</v>
      </c>
      <c r="K216">
        <v>0.24888083338737499</v>
      </c>
      <c r="L216">
        <f t="shared" si="37"/>
        <v>0</v>
      </c>
      <c r="M216" s="30">
        <v>3.9445390000000004E-3</v>
      </c>
      <c r="N216">
        <f t="shared" si="37"/>
        <v>0</v>
      </c>
      <c r="O216">
        <v>5.9564258903264999E-2</v>
      </c>
      <c r="P216">
        <f t="shared" si="37"/>
        <v>0</v>
      </c>
      <c r="Q216">
        <v>0.22318686500000001</v>
      </c>
      <c r="R216">
        <f t="shared" si="37"/>
        <v>0</v>
      </c>
      <c r="S216">
        <v>6.2893833965059999E-3</v>
      </c>
      <c r="T216">
        <f t="shared" si="36"/>
        <v>0</v>
      </c>
      <c r="U216" s="1">
        <v>0.22362493</v>
      </c>
      <c r="V216">
        <v>0</v>
      </c>
    </row>
    <row r="217" spans="1:22">
      <c r="A217" s="1">
        <v>0</v>
      </c>
      <c r="B217" s="1" t="s">
        <v>236</v>
      </c>
      <c r="C217" s="1">
        <v>0</v>
      </c>
      <c r="D217" s="33">
        <v>0</v>
      </c>
      <c r="E217" s="36">
        <v>0</v>
      </c>
      <c r="F217" s="37">
        <v>0</v>
      </c>
      <c r="G217" s="30">
        <v>7.3124758999999998E-2</v>
      </c>
      <c r="H217">
        <f t="shared" si="34"/>
        <v>0</v>
      </c>
      <c r="I217">
        <v>2.4598108138889998E-3</v>
      </c>
      <c r="J217">
        <f t="shared" si="35"/>
        <v>0</v>
      </c>
      <c r="K217">
        <v>4.8644501715899E-2</v>
      </c>
      <c r="L217">
        <f t="shared" si="37"/>
        <v>0</v>
      </c>
      <c r="M217" s="30">
        <v>4.3234304000000001E-2</v>
      </c>
      <c r="N217">
        <f t="shared" si="37"/>
        <v>0</v>
      </c>
      <c r="O217">
        <v>7.7824972569943002E-2</v>
      </c>
      <c r="P217">
        <f t="shared" si="37"/>
        <v>0</v>
      </c>
      <c r="Q217">
        <v>0.40464967499999999</v>
      </c>
      <c r="R217">
        <f t="shared" si="37"/>
        <v>0</v>
      </c>
      <c r="S217">
        <v>4.9595055170360003E-3</v>
      </c>
      <c r="T217">
        <f t="shared" si="36"/>
        <v>0</v>
      </c>
      <c r="U217" s="1">
        <v>0.45713429999999999</v>
      </c>
      <c r="V217">
        <v>0</v>
      </c>
    </row>
    <row r="218" spans="1:22">
      <c r="A218" s="1">
        <v>0</v>
      </c>
      <c r="B218" s="1" t="s">
        <v>237</v>
      </c>
      <c r="C218" s="1">
        <v>0</v>
      </c>
      <c r="D218" s="33">
        <v>0</v>
      </c>
      <c r="E218" s="36">
        <v>0</v>
      </c>
      <c r="F218" s="37">
        <v>0</v>
      </c>
      <c r="G218">
        <v>0.30959805800000001</v>
      </c>
      <c r="H218">
        <f t="shared" si="34"/>
        <v>0</v>
      </c>
      <c r="I218">
        <v>0.81773191690444902</v>
      </c>
      <c r="J218">
        <f t="shared" si="35"/>
        <v>1</v>
      </c>
      <c r="K218">
        <v>0.95640462636947599</v>
      </c>
      <c r="L218">
        <f t="shared" si="37"/>
        <v>1</v>
      </c>
      <c r="M218">
        <v>6.0747615999999997E-2</v>
      </c>
      <c r="N218">
        <f t="shared" si="37"/>
        <v>0</v>
      </c>
      <c r="O218">
        <v>0.72208368778228804</v>
      </c>
      <c r="P218">
        <f t="shared" si="37"/>
        <v>1</v>
      </c>
      <c r="Q218">
        <v>0.499080986</v>
      </c>
      <c r="R218">
        <f t="shared" si="37"/>
        <v>0</v>
      </c>
      <c r="S218">
        <v>0.31865608692169201</v>
      </c>
      <c r="T218">
        <f t="shared" si="36"/>
        <v>0</v>
      </c>
      <c r="U218" s="1">
        <v>0.66637800000000003</v>
      </c>
      <c r="V218">
        <v>1</v>
      </c>
    </row>
    <row r="219" spans="1:22">
      <c r="A219" s="1">
        <v>0</v>
      </c>
      <c r="B219" s="1" t="s">
        <v>238</v>
      </c>
      <c r="C219" s="1">
        <v>0</v>
      </c>
      <c r="D219" s="33">
        <v>1</v>
      </c>
      <c r="E219" s="37">
        <v>1</v>
      </c>
      <c r="F219" s="37">
        <v>0</v>
      </c>
      <c r="G219">
        <v>0.31889307500000003</v>
      </c>
      <c r="H219">
        <f t="shared" si="34"/>
        <v>0</v>
      </c>
      <c r="I219">
        <v>0.20761299133300801</v>
      </c>
      <c r="J219">
        <f t="shared" si="35"/>
        <v>0</v>
      </c>
      <c r="K219">
        <v>0.67867684364318903</v>
      </c>
      <c r="L219">
        <f t="shared" si="37"/>
        <v>1</v>
      </c>
      <c r="M219">
        <v>0.81577622900000002</v>
      </c>
      <c r="N219">
        <f t="shared" si="37"/>
        <v>1</v>
      </c>
      <c r="O219">
        <v>0.39198237657547003</v>
      </c>
      <c r="P219">
        <f t="shared" si="37"/>
        <v>0</v>
      </c>
      <c r="Q219">
        <v>0.50797122699999997</v>
      </c>
      <c r="R219">
        <f t="shared" si="37"/>
        <v>1</v>
      </c>
      <c r="S219">
        <v>0.94742178916931197</v>
      </c>
      <c r="T219">
        <f t="shared" si="36"/>
        <v>1</v>
      </c>
      <c r="U219" s="1">
        <v>0.47755396</v>
      </c>
      <c r="V219">
        <v>0</v>
      </c>
    </row>
    <row r="220" spans="1:22">
      <c r="A220" s="1">
        <v>0</v>
      </c>
      <c r="B220" s="1" t="s">
        <v>240</v>
      </c>
      <c r="C220" s="1">
        <v>0</v>
      </c>
      <c r="D220" s="33">
        <v>0</v>
      </c>
      <c r="E220" s="36">
        <v>0</v>
      </c>
      <c r="F220" s="37">
        <v>1</v>
      </c>
      <c r="G220" s="30">
        <v>3.4688465000000002E-2</v>
      </c>
      <c r="H220">
        <f t="shared" si="34"/>
        <v>0</v>
      </c>
      <c r="I220" s="30">
        <v>4.1596991941329998E-3</v>
      </c>
      <c r="J220">
        <f t="shared" si="35"/>
        <v>0</v>
      </c>
      <c r="K220">
        <v>3.2770484685898001E-2</v>
      </c>
      <c r="L220">
        <f t="shared" si="37"/>
        <v>0</v>
      </c>
      <c r="M220" s="30">
        <v>3.5236399999999998E-4</v>
      </c>
      <c r="N220">
        <f t="shared" si="37"/>
        <v>0</v>
      </c>
      <c r="O220" s="30">
        <v>8.9205271797300001E-4</v>
      </c>
      <c r="P220">
        <f t="shared" si="37"/>
        <v>0</v>
      </c>
      <c r="Q220">
        <v>2.3774424999999998E-2</v>
      </c>
      <c r="R220">
        <f t="shared" si="37"/>
        <v>0</v>
      </c>
      <c r="S220" s="30">
        <v>7.6945418925333797E-9</v>
      </c>
      <c r="T220">
        <f t="shared" si="36"/>
        <v>0</v>
      </c>
      <c r="U220" s="1">
        <v>5.8552264999999999E-2</v>
      </c>
      <c r="V220">
        <v>0</v>
      </c>
    </row>
    <row r="221" spans="1:22">
      <c r="A221" s="1">
        <v>0</v>
      </c>
      <c r="B221" s="1" t="s">
        <v>241</v>
      </c>
      <c r="C221" s="1">
        <v>0</v>
      </c>
      <c r="D221" s="33">
        <v>0</v>
      </c>
      <c r="E221" s="36">
        <v>0</v>
      </c>
      <c r="F221" s="37">
        <v>0</v>
      </c>
      <c r="G221" s="30">
        <v>5.9167478000000003E-2</v>
      </c>
      <c r="H221">
        <f t="shared" si="34"/>
        <v>0</v>
      </c>
      <c r="I221" s="30">
        <v>4.2384788393970002E-3</v>
      </c>
      <c r="J221">
        <f t="shared" si="35"/>
        <v>0</v>
      </c>
      <c r="K221">
        <v>1.2883144430816E-2</v>
      </c>
      <c r="L221">
        <f t="shared" si="37"/>
        <v>0</v>
      </c>
      <c r="M221">
        <v>7.7657230000000004E-3</v>
      </c>
      <c r="N221">
        <f t="shared" si="37"/>
        <v>0</v>
      </c>
      <c r="O221">
        <v>6.5649328753349997E-3</v>
      </c>
      <c r="P221">
        <f t="shared" si="37"/>
        <v>0</v>
      </c>
      <c r="Q221">
        <v>5.8521523999999998E-2</v>
      </c>
      <c r="R221">
        <f t="shared" si="37"/>
        <v>0</v>
      </c>
      <c r="S221">
        <v>3.4873623400926999E-2</v>
      </c>
      <c r="T221">
        <f t="shared" si="36"/>
        <v>0</v>
      </c>
      <c r="U221" s="1">
        <v>0.13239923000000001</v>
      </c>
      <c r="V221">
        <v>0</v>
      </c>
    </row>
    <row r="222" spans="1:22">
      <c r="A222" s="1">
        <v>0</v>
      </c>
      <c r="B222" s="1" t="s">
        <v>242</v>
      </c>
      <c r="C222" s="1">
        <v>0</v>
      </c>
      <c r="D222" s="33">
        <v>0</v>
      </c>
      <c r="E222" s="36">
        <v>0</v>
      </c>
      <c r="F222" s="37">
        <v>0</v>
      </c>
      <c r="G222">
        <v>0.201213643</v>
      </c>
      <c r="H222">
        <f t="shared" si="34"/>
        <v>0</v>
      </c>
      <c r="I222" s="30">
        <v>4.5922484248877002E-2</v>
      </c>
      <c r="J222">
        <f t="shared" si="35"/>
        <v>0</v>
      </c>
      <c r="K222">
        <v>0.45271393656730602</v>
      </c>
      <c r="L222">
        <f t="shared" si="37"/>
        <v>0</v>
      </c>
      <c r="M222">
        <v>0.138680995</v>
      </c>
      <c r="N222">
        <f t="shared" si="37"/>
        <v>0</v>
      </c>
      <c r="O222">
        <v>0.69178241491317805</v>
      </c>
      <c r="P222">
        <f t="shared" si="37"/>
        <v>1</v>
      </c>
      <c r="Q222">
        <v>0.30790999499999999</v>
      </c>
      <c r="R222">
        <f t="shared" si="37"/>
        <v>0</v>
      </c>
      <c r="S222">
        <v>1.1234183330090001E-3</v>
      </c>
      <c r="T222">
        <f t="shared" si="36"/>
        <v>0</v>
      </c>
      <c r="U222" s="1">
        <v>0.55190969999999995</v>
      </c>
      <c r="V222">
        <v>0</v>
      </c>
    </row>
    <row r="223" spans="1:22">
      <c r="A223" s="1">
        <v>0</v>
      </c>
      <c r="B223" s="1" t="s">
        <v>243</v>
      </c>
      <c r="C223" s="1">
        <v>0</v>
      </c>
      <c r="D223" s="33">
        <v>0</v>
      </c>
      <c r="E223" s="36">
        <v>0</v>
      </c>
      <c r="F223" s="37">
        <v>0</v>
      </c>
      <c r="G223">
        <v>0.46505838599999999</v>
      </c>
      <c r="H223">
        <f t="shared" si="34"/>
        <v>0</v>
      </c>
      <c r="I223">
        <v>7.1605414152144997E-2</v>
      </c>
      <c r="J223">
        <f t="shared" si="35"/>
        <v>0</v>
      </c>
      <c r="K223">
        <v>0.89963781833648704</v>
      </c>
      <c r="L223">
        <f t="shared" si="37"/>
        <v>1</v>
      </c>
      <c r="M223">
        <v>0.13926359999999999</v>
      </c>
      <c r="N223">
        <f t="shared" si="37"/>
        <v>0</v>
      </c>
      <c r="O223">
        <v>0.42028352618217502</v>
      </c>
      <c r="P223">
        <f t="shared" si="37"/>
        <v>0</v>
      </c>
      <c r="Q223">
        <v>0.74644070900000004</v>
      </c>
      <c r="R223">
        <f t="shared" si="37"/>
        <v>1</v>
      </c>
      <c r="S223">
        <v>0.98757356405258201</v>
      </c>
      <c r="T223">
        <f t="shared" si="36"/>
        <v>1</v>
      </c>
      <c r="U223" s="1">
        <v>0.71820700000000004</v>
      </c>
      <c r="V223">
        <v>1</v>
      </c>
    </row>
    <row r="224" spans="1:22">
      <c r="A224" s="1">
        <v>0</v>
      </c>
      <c r="B224" s="1" t="s">
        <v>244</v>
      </c>
      <c r="C224" s="1">
        <v>0</v>
      </c>
      <c r="D224" s="33">
        <v>0</v>
      </c>
      <c r="E224" s="36">
        <v>0</v>
      </c>
      <c r="F224" s="37">
        <v>0</v>
      </c>
      <c r="G224" s="30">
        <v>0.12726361999999999</v>
      </c>
      <c r="H224">
        <f t="shared" si="34"/>
        <v>0</v>
      </c>
      <c r="I224">
        <v>3.8625963497909998E-3</v>
      </c>
      <c r="J224">
        <f t="shared" si="35"/>
        <v>0</v>
      </c>
      <c r="K224">
        <v>2.5308830663562001E-2</v>
      </c>
      <c r="L224">
        <f t="shared" si="37"/>
        <v>0</v>
      </c>
      <c r="M224">
        <v>0.141060308</v>
      </c>
      <c r="N224">
        <f t="shared" si="37"/>
        <v>0</v>
      </c>
      <c r="O224">
        <v>9.9873743951320995E-2</v>
      </c>
      <c r="P224">
        <f t="shared" si="37"/>
        <v>0</v>
      </c>
      <c r="Q224">
        <v>0.191303164</v>
      </c>
      <c r="R224">
        <f t="shared" si="37"/>
        <v>0</v>
      </c>
      <c r="S224">
        <v>2.1121434401719999E-3</v>
      </c>
      <c r="T224">
        <f t="shared" si="36"/>
        <v>0</v>
      </c>
      <c r="U224" s="1">
        <v>0.12931662999999999</v>
      </c>
      <c r="V224">
        <v>0</v>
      </c>
    </row>
    <row r="225" spans="1:22">
      <c r="A225" s="1">
        <v>0</v>
      </c>
      <c r="B225" s="1" t="s">
        <v>245</v>
      </c>
      <c r="C225" s="1">
        <v>0</v>
      </c>
      <c r="D225" s="33">
        <v>0</v>
      </c>
      <c r="E225" s="36">
        <v>0</v>
      </c>
      <c r="F225" s="37">
        <v>0</v>
      </c>
      <c r="G225" s="30">
        <v>0.13778099399999999</v>
      </c>
      <c r="H225">
        <f t="shared" si="34"/>
        <v>0</v>
      </c>
      <c r="I225">
        <v>3.5362608730792999E-2</v>
      </c>
      <c r="J225">
        <f t="shared" si="35"/>
        <v>0</v>
      </c>
      <c r="K225">
        <v>0.17758420109748799</v>
      </c>
      <c r="L225">
        <f t="shared" si="37"/>
        <v>0</v>
      </c>
      <c r="M225">
        <v>0.137476608</v>
      </c>
      <c r="N225">
        <f t="shared" si="37"/>
        <v>0</v>
      </c>
      <c r="O225">
        <v>0.18508648872375499</v>
      </c>
      <c r="P225">
        <f t="shared" si="37"/>
        <v>0</v>
      </c>
      <c r="Q225">
        <v>5.2945547000000003E-2</v>
      </c>
      <c r="R225">
        <f t="shared" si="37"/>
        <v>0</v>
      </c>
      <c r="S225">
        <v>8.8485926389689998E-3</v>
      </c>
      <c r="T225">
        <f t="shared" si="36"/>
        <v>0</v>
      </c>
      <c r="U225" s="1">
        <v>0.22572415000000001</v>
      </c>
      <c r="V225">
        <v>0</v>
      </c>
    </row>
    <row r="226" spans="1:22">
      <c r="A226" s="1">
        <v>1</v>
      </c>
      <c r="B226" s="1" t="s">
        <v>246</v>
      </c>
      <c r="C226" s="1">
        <v>1</v>
      </c>
      <c r="D226" s="33">
        <v>1</v>
      </c>
      <c r="E226" s="37">
        <v>1</v>
      </c>
      <c r="F226" s="37">
        <v>1</v>
      </c>
      <c r="G226">
        <v>0.75893402099999996</v>
      </c>
      <c r="H226">
        <f t="shared" si="34"/>
        <v>1</v>
      </c>
      <c r="I226">
        <v>0.92654913663864102</v>
      </c>
      <c r="J226">
        <f t="shared" si="35"/>
        <v>1</v>
      </c>
      <c r="K226">
        <v>0.69658786058425903</v>
      </c>
      <c r="L226">
        <f t="shared" si="37"/>
        <v>1</v>
      </c>
      <c r="M226">
        <v>0.98405206199999995</v>
      </c>
      <c r="N226">
        <f t="shared" si="37"/>
        <v>1</v>
      </c>
      <c r="O226">
        <v>0.94856888055801403</v>
      </c>
      <c r="P226">
        <f t="shared" si="37"/>
        <v>1</v>
      </c>
      <c r="Q226">
        <v>0.53857576799999995</v>
      </c>
      <c r="R226">
        <f t="shared" si="37"/>
        <v>1</v>
      </c>
      <c r="S226">
        <v>0.91637593507766701</v>
      </c>
      <c r="T226">
        <f t="shared" si="36"/>
        <v>1</v>
      </c>
      <c r="U226" s="1">
        <v>0.77251460000000005</v>
      </c>
      <c r="V226">
        <v>1</v>
      </c>
    </row>
    <row r="227" spans="1:22">
      <c r="A227" s="1">
        <v>1</v>
      </c>
      <c r="B227" s="1" t="s">
        <v>247</v>
      </c>
      <c r="C227" s="1">
        <v>1</v>
      </c>
      <c r="D227" s="33">
        <v>1</v>
      </c>
      <c r="E227" s="37">
        <v>1</v>
      </c>
      <c r="F227" s="37">
        <v>1</v>
      </c>
      <c r="G227">
        <v>0.95642894499999997</v>
      </c>
      <c r="H227">
        <f t="shared" si="34"/>
        <v>1</v>
      </c>
      <c r="I227">
        <v>0.99999940395355202</v>
      </c>
      <c r="J227">
        <f t="shared" si="35"/>
        <v>1</v>
      </c>
      <c r="K227">
        <v>0.99964594841003396</v>
      </c>
      <c r="L227">
        <f t="shared" si="37"/>
        <v>1</v>
      </c>
      <c r="M227" s="30">
        <v>0.99492031299999995</v>
      </c>
      <c r="N227">
        <f t="shared" si="37"/>
        <v>1</v>
      </c>
      <c r="O227">
        <v>0.99967181682586703</v>
      </c>
      <c r="P227">
        <f t="shared" si="37"/>
        <v>1</v>
      </c>
      <c r="Q227">
        <v>0.92088967600000005</v>
      </c>
      <c r="R227">
        <f t="shared" si="37"/>
        <v>1</v>
      </c>
      <c r="S227">
        <v>0.99999654293060303</v>
      </c>
      <c r="T227">
        <f t="shared" si="36"/>
        <v>1</v>
      </c>
      <c r="U227" s="1">
        <v>0.78594710000000001</v>
      </c>
      <c r="V227">
        <v>1</v>
      </c>
    </row>
    <row r="228" spans="1:22">
      <c r="A228" s="1">
        <v>1</v>
      </c>
      <c r="B228" s="1" t="s">
        <v>248</v>
      </c>
      <c r="C228" s="1">
        <v>1</v>
      </c>
      <c r="D228" s="33">
        <v>1</v>
      </c>
      <c r="E228" s="37">
        <v>1</v>
      </c>
      <c r="F228" s="37">
        <v>1</v>
      </c>
      <c r="G228">
        <v>0.91211366699999996</v>
      </c>
      <c r="H228">
        <f t="shared" si="34"/>
        <v>1</v>
      </c>
      <c r="I228">
        <v>0.99880027770996105</v>
      </c>
      <c r="J228">
        <f t="shared" si="35"/>
        <v>1</v>
      </c>
      <c r="K228">
        <v>0.93762350082397505</v>
      </c>
      <c r="L228">
        <f t="shared" si="37"/>
        <v>1</v>
      </c>
      <c r="M228">
        <v>0.9818964</v>
      </c>
      <c r="N228">
        <f t="shared" si="37"/>
        <v>1</v>
      </c>
      <c r="O228">
        <v>0.98777812719345104</v>
      </c>
      <c r="P228">
        <f t="shared" si="37"/>
        <v>1</v>
      </c>
      <c r="Q228">
        <v>0.78388422700000004</v>
      </c>
      <c r="R228">
        <f t="shared" si="37"/>
        <v>1</v>
      </c>
      <c r="S228">
        <v>0.99992132186889604</v>
      </c>
      <c r="T228">
        <f t="shared" si="36"/>
        <v>1</v>
      </c>
      <c r="U228" s="1">
        <v>0.78072613000000002</v>
      </c>
      <c r="V228">
        <v>1</v>
      </c>
    </row>
    <row r="229" spans="1:22">
      <c r="A229" s="1">
        <v>1</v>
      </c>
      <c r="B229" s="1" t="s">
        <v>249</v>
      </c>
      <c r="C229" s="1">
        <v>1</v>
      </c>
      <c r="D229" s="33">
        <v>1</v>
      </c>
      <c r="E229" s="37">
        <v>1</v>
      </c>
      <c r="F229" s="37">
        <v>1</v>
      </c>
      <c r="G229">
        <v>0.79895234100000001</v>
      </c>
      <c r="H229">
        <f t="shared" si="34"/>
        <v>1</v>
      </c>
      <c r="I229">
        <v>0.52132534980773904</v>
      </c>
      <c r="J229">
        <f t="shared" si="35"/>
        <v>1</v>
      </c>
      <c r="K229">
        <v>0.58234816789627097</v>
      </c>
      <c r="L229">
        <f t="shared" si="37"/>
        <v>1</v>
      </c>
      <c r="M229">
        <v>0.34200462700000001</v>
      </c>
      <c r="N229">
        <f t="shared" si="37"/>
        <v>0</v>
      </c>
      <c r="O229">
        <v>0.52421462535858199</v>
      </c>
      <c r="P229">
        <f t="shared" si="37"/>
        <v>1</v>
      </c>
      <c r="Q229">
        <v>0.77169203799999997</v>
      </c>
      <c r="R229">
        <f t="shared" si="37"/>
        <v>1</v>
      </c>
      <c r="S229">
        <v>0.24193945527076699</v>
      </c>
      <c r="T229">
        <f t="shared" si="36"/>
        <v>0</v>
      </c>
      <c r="U229" s="1">
        <v>0.59179216999999995</v>
      </c>
      <c r="V229">
        <v>1</v>
      </c>
    </row>
    <row r="230" spans="1:22">
      <c r="A230" s="1">
        <v>1</v>
      </c>
      <c r="B230" s="1" t="s">
        <v>546</v>
      </c>
      <c r="C230" s="1">
        <v>1</v>
      </c>
      <c r="D230" s="33">
        <v>0</v>
      </c>
      <c r="E230" s="37">
        <v>1</v>
      </c>
      <c r="F230" s="37">
        <v>0</v>
      </c>
      <c r="G230" s="30">
        <v>0.14523862300000001</v>
      </c>
      <c r="H230">
        <f t="shared" si="34"/>
        <v>0</v>
      </c>
      <c r="I230" s="30">
        <v>1.8143989145756E-2</v>
      </c>
      <c r="J230">
        <f t="shared" si="35"/>
        <v>0</v>
      </c>
      <c r="K230">
        <v>6.2817990779877E-2</v>
      </c>
      <c r="L230">
        <f t="shared" si="37"/>
        <v>0</v>
      </c>
      <c r="M230" s="30">
        <v>4.4064200000000004E-6</v>
      </c>
      <c r="N230">
        <f t="shared" si="37"/>
        <v>0</v>
      </c>
      <c r="O230">
        <v>0.62363129854202304</v>
      </c>
      <c r="P230">
        <f t="shared" si="37"/>
        <v>1</v>
      </c>
      <c r="Q230">
        <v>0.60843575000000005</v>
      </c>
      <c r="R230">
        <f t="shared" si="37"/>
        <v>1</v>
      </c>
      <c r="S230">
        <v>0.80563050508499101</v>
      </c>
      <c r="T230">
        <f t="shared" si="36"/>
        <v>1</v>
      </c>
      <c r="U230" s="1">
        <v>0.63532155999999995</v>
      </c>
      <c r="V230">
        <v>1</v>
      </c>
    </row>
    <row r="231" spans="1:22">
      <c r="A231" s="1">
        <v>1</v>
      </c>
      <c r="B231" s="1" t="s">
        <v>253</v>
      </c>
      <c r="C231" s="1">
        <v>1</v>
      </c>
      <c r="D231" s="33">
        <v>1</v>
      </c>
      <c r="E231" s="37">
        <v>1</v>
      </c>
      <c r="F231" s="37">
        <v>1</v>
      </c>
      <c r="G231">
        <v>0.84112829</v>
      </c>
      <c r="H231">
        <f t="shared" si="34"/>
        <v>1</v>
      </c>
      <c r="I231">
        <v>0.99831199645996105</v>
      </c>
      <c r="J231">
        <f t="shared" si="35"/>
        <v>1</v>
      </c>
      <c r="K231">
        <v>0.91674697399139404</v>
      </c>
      <c r="L231">
        <f t="shared" si="37"/>
        <v>1</v>
      </c>
      <c r="M231">
        <v>0.99797636300000003</v>
      </c>
      <c r="N231">
        <f t="shared" si="37"/>
        <v>1</v>
      </c>
      <c r="O231">
        <v>0.98022985458374001</v>
      </c>
      <c r="P231">
        <f t="shared" si="37"/>
        <v>1</v>
      </c>
      <c r="Q231">
        <v>0.89890706499999995</v>
      </c>
      <c r="R231">
        <f t="shared" si="37"/>
        <v>1</v>
      </c>
      <c r="S231">
        <v>0.71682518720626798</v>
      </c>
      <c r="T231">
        <f t="shared" si="36"/>
        <v>1</v>
      </c>
      <c r="U231" s="1">
        <v>0.76321059999999996</v>
      </c>
      <c r="V231">
        <v>1</v>
      </c>
    </row>
    <row r="232" spans="1:22">
      <c r="A232" s="1">
        <v>1</v>
      </c>
      <c r="B232" s="1" t="s">
        <v>254</v>
      </c>
      <c r="C232" s="1">
        <v>1</v>
      </c>
      <c r="D232" s="33">
        <v>1</v>
      </c>
      <c r="E232" s="37">
        <v>1</v>
      </c>
      <c r="F232" s="37">
        <v>1</v>
      </c>
      <c r="G232">
        <v>0.59710544300000001</v>
      </c>
      <c r="H232">
        <f t="shared" si="34"/>
        <v>1</v>
      </c>
      <c r="I232">
        <v>0.56536090373992898</v>
      </c>
      <c r="J232">
        <f t="shared" si="35"/>
        <v>1</v>
      </c>
      <c r="K232">
        <v>0.57458060979843095</v>
      </c>
      <c r="L232">
        <f t="shared" si="37"/>
        <v>1</v>
      </c>
      <c r="M232">
        <v>0.94457882599999998</v>
      </c>
      <c r="N232">
        <f t="shared" si="37"/>
        <v>1</v>
      </c>
      <c r="O232">
        <v>0.68842011690139804</v>
      </c>
      <c r="P232">
        <f t="shared" si="37"/>
        <v>1</v>
      </c>
      <c r="Q232">
        <v>0.54013901900000005</v>
      </c>
      <c r="R232">
        <f t="shared" si="37"/>
        <v>1</v>
      </c>
      <c r="S232">
        <v>0.76399862766265902</v>
      </c>
      <c r="T232">
        <f t="shared" si="36"/>
        <v>1</v>
      </c>
      <c r="U232" s="1">
        <v>0.58597149999999998</v>
      </c>
      <c r="V232">
        <v>1</v>
      </c>
    </row>
    <row r="233" spans="1:22">
      <c r="A233" s="1">
        <v>1</v>
      </c>
      <c r="B233" s="1" t="s">
        <v>255</v>
      </c>
      <c r="C233" s="1">
        <v>1</v>
      </c>
      <c r="D233" s="33">
        <v>1</v>
      </c>
      <c r="E233" s="37">
        <v>1</v>
      </c>
      <c r="F233" s="37">
        <v>1</v>
      </c>
      <c r="G233">
        <v>0.68768012499999998</v>
      </c>
      <c r="H233">
        <f t="shared" si="34"/>
        <v>1</v>
      </c>
      <c r="I233">
        <v>0.37472155690193198</v>
      </c>
      <c r="J233">
        <f t="shared" si="35"/>
        <v>0</v>
      </c>
      <c r="K233">
        <v>0.90107989311218295</v>
      </c>
      <c r="L233">
        <f t="shared" si="37"/>
        <v>1</v>
      </c>
      <c r="M233">
        <v>0.59740662600000005</v>
      </c>
      <c r="N233">
        <f t="shared" si="37"/>
        <v>1</v>
      </c>
      <c r="O233">
        <v>0.69519668817520097</v>
      </c>
      <c r="P233">
        <f t="shared" si="37"/>
        <v>1</v>
      </c>
      <c r="Q233">
        <v>4.4389967000000002E-2</v>
      </c>
      <c r="R233">
        <f t="shared" si="37"/>
        <v>0</v>
      </c>
      <c r="S233">
        <v>0.77146142721176203</v>
      </c>
      <c r="T233">
        <f t="shared" si="36"/>
        <v>1</v>
      </c>
      <c r="U233" s="1">
        <v>0.38331767999999999</v>
      </c>
      <c r="V233">
        <v>0</v>
      </c>
    </row>
    <row r="234" spans="1:22">
      <c r="A234" s="1">
        <v>1</v>
      </c>
      <c r="B234" s="1" t="s">
        <v>256</v>
      </c>
      <c r="C234" s="1">
        <v>1</v>
      </c>
      <c r="D234" s="33">
        <v>1</v>
      </c>
      <c r="E234" s="37">
        <v>1</v>
      </c>
      <c r="F234" s="37">
        <v>1</v>
      </c>
      <c r="G234">
        <v>0.863979995</v>
      </c>
      <c r="H234">
        <f t="shared" si="34"/>
        <v>1</v>
      </c>
      <c r="I234">
        <v>0.99823343753814697</v>
      </c>
      <c r="J234">
        <f t="shared" si="35"/>
        <v>1</v>
      </c>
      <c r="K234">
        <v>0.99368155002594005</v>
      </c>
      <c r="L234">
        <f t="shared" si="37"/>
        <v>1</v>
      </c>
      <c r="M234">
        <v>0.99396896400000001</v>
      </c>
      <c r="N234">
        <f t="shared" si="37"/>
        <v>1</v>
      </c>
      <c r="O234">
        <v>0.98468947410583496</v>
      </c>
      <c r="P234">
        <f t="shared" si="37"/>
        <v>1</v>
      </c>
      <c r="Q234">
        <v>0.81453150500000004</v>
      </c>
      <c r="R234">
        <f t="shared" si="37"/>
        <v>1</v>
      </c>
      <c r="S234">
        <v>0.98677539825439398</v>
      </c>
      <c r="T234">
        <f t="shared" si="36"/>
        <v>1</v>
      </c>
      <c r="U234" s="1">
        <v>0.65198299999999998</v>
      </c>
      <c r="V234">
        <v>1</v>
      </c>
    </row>
    <row r="235" spans="1:22">
      <c r="A235" s="1">
        <v>1</v>
      </c>
      <c r="B235" s="1" t="s">
        <v>257</v>
      </c>
      <c r="C235" s="1">
        <v>1</v>
      </c>
      <c r="D235" s="33">
        <v>0</v>
      </c>
      <c r="E235" s="36">
        <v>1</v>
      </c>
      <c r="F235" s="37">
        <v>1</v>
      </c>
      <c r="G235">
        <v>0.52086770500000001</v>
      </c>
      <c r="H235">
        <f t="shared" si="34"/>
        <v>1</v>
      </c>
      <c r="I235">
        <v>9.8160905763509994E-3</v>
      </c>
      <c r="J235">
        <f t="shared" si="35"/>
        <v>0</v>
      </c>
      <c r="K235">
        <v>0.37330803275108299</v>
      </c>
      <c r="L235">
        <f t="shared" si="37"/>
        <v>0</v>
      </c>
      <c r="M235">
        <v>0.139397874</v>
      </c>
      <c r="N235">
        <f t="shared" si="37"/>
        <v>0</v>
      </c>
      <c r="O235">
        <v>3.2642584294080998E-2</v>
      </c>
      <c r="P235">
        <f t="shared" si="37"/>
        <v>0</v>
      </c>
      <c r="Q235">
        <v>0.132310018</v>
      </c>
      <c r="R235">
        <f t="shared" si="37"/>
        <v>0</v>
      </c>
      <c r="S235">
        <v>3.1778022646903999E-2</v>
      </c>
      <c r="T235">
        <f t="shared" si="36"/>
        <v>0</v>
      </c>
      <c r="U235" s="1">
        <v>0.61659280000000005</v>
      </c>
      <c r="V235">
        <v>1</v>
      </c>
    </row>
    <row r="236" spans="1:22">
      <c r="A236" s="1">
        <v>1</v>
      </c>
      <c r="B236" s="1" t="s">
        <v>258</v>
      </c>
      <c r="C236" s="1">
        <v>1</v>
      </c>
      <c r="D236" s="33">
        <v>1</v>
      </c>
      <c r="E236" s="37">
        <v>1</v>
      </c>
      <c r="F236" s="37">
        <v>1</v>
      </c>
      <c r="G236">
        <v>0.80728208999999995</v>
      </c>
      <c r="H236">
        <f t="shared" si="34"/>
        <v>1</v>
      </c>
      <c r="I236">
        <v>0.94643217325210605</v>
      </c>
      <c r="J236">
        <f t="shared" si="35"/>
        <v>1</v>
      </c>
      <c r="K236">
        <v>0.95719838142394997</v>
      </c>
      <c r="L236">
        <f t="shared" si="37"/>
        <v>1</v>
      </c>
      <c r="M236">
        <v>0.68383842699999997</v>
      </c>
      <c r="N236">
        <f t="shared" si="37"/>
        <v>1</v>
      </c>
      <c r="O236">
        <v>0.90297240018844604</v>
      </c>
      <c r="P236">
        <f t="shared" si="37"/>
        <v>1</v>
      </c>
      <c r="Q236">
        <v>0.63029813800000001</v>
      </c>
      <c r="R236">
        <f t="shared" si="37"/>
        <v>1</v>
      </c>
      <c r="S236">
        <v>0.99718636274337802</v>
      </c>
      <c r="T236">
        <f t="shared" si="36"/>
        <v>1</v>
      </c>
      <c r="U236" s="1">
        <v>0.7788292</v>
      </c>
      <c r="V236">
        <v>1</v>
      </c>
    </row>
    <row r="237" spans="1:22">
      <c r="A237" s="1">
        <v>1</v>
      </c>
      <c r="B237" s="1" t="s">
        <v>259</v>
      </c>
      <c r="C237" s="1">
        <v>1</v>
      </c>
      <c r="D237" s="33">
        <v>1</v>
      </c>
      <c r="E237" s="37">
        <v>1</v>
      </c>
      <c r="F237" s="37">
        <v>1</v>
      </c>
      <c r="G237">
        <v>0.93959653399999998</v>
      </c>
      <c r="H237">
        <f t="shared" si="34"/>
        <v>1</v>
      </c>
      <c r="I237">
        <v>0.99983203411102295</v>
      </c>
      <c r="J237">
        <f t="shared" si="35"/>
        <v>1</v>
      </c>
      <c r="K237">
        <v>0.99532556533813499</v>
      </c>
      <c r="L237">
        <f t="shared" si="37"/>
        <v>1</v>
      </c>
      <c r="M237">
        <v>0.99583578100000003</v>
      </c>
      <c r="N237">
        <f t="shared" si="37"/>
        <v>1</v>
      </c>
      <c r="O237">
        <v>0.99367481470107999</v>
      </c>
      <c r="P237">
        <f t="shared" si="37"/>
        <v>1</v>
      </c>
      <c r="Q237">
        <v>0.86375004099999997</v>
      </c>
      <c r="R237">
        <f t="shared" si="37"/>
        <v>1</v>
      </c>
      <c r="S237">
        <v>0.99949681758880604</v>
      </c>
      <c r="T237">
        <f t="shared" si="36"/>
        <v>1</v>
      </c>
      <c r="U237" s="1">
        <v>0.80215139999999996</v>
      </c>
      <c r="V237">
        <v>1</v>
      </c>
    </row>
    <row r="238" spans="1:22">
      <c r="A238" s="1">
        <v>1</v>
      </c>
      <c r="B238" s="1" t="s">
        <v>260</v>
      </c>
      <c r="C238" s="1">
        <v>1</v>
      </c>
      <c r="D238" s="33">
        <v>1</v>
      </c>
      <c r="E238" s="37">
        <v>1</v>
      </c>
      <c r="F238" s="37">
        <v>0</v>
      </c>
      <c r="G238">
        <v>0.90225565399999996</v>
      </c>
      <c r="H238">
        <f t="shared" si="34"/>
        <v>1</v>
      </c>
      <c r="I238">
        <v>0.99954611063003496</v>
      </c>
      <c r="J238">
        <f t="shared" si="35"/>
        <v>1</v>
      </c>
      <c r="K238">
        <v>0.99560475349426303</v>
      </c>
      <c r="L238">
        <f t="shared" si="37"/>
        <v>1</v>
      </c>
      <c r="M238">
        <v>0.928688705</v>
      </c>
      <c r="N238">
        <f t="shared" si="37"/>
        <v>1</v>
      </c>
      <c r="O238">
        <v>0.97936147451400801</v>
      </c>
      <c r="P238">
        <f t="shared" si="37"/>
        <v>1</v>
      </c>
      <c r="Q238">
        <v>0.82419723300000003</v>
      </c>
      <c r="R238">
        <f t="shared" si="37"/>
        <v>1</v>
      </c>
      <c r="S238">
        <v>0.81692034006118797</v>
      </c>
      <c r="T238">
        <f t="shared" si="36"/>
        <v>1</v>
      </c>
      <c r="U238" s="1">
        <v>0.72809409999999997</v>
      </c>
      <c r="V238">
        <v>1</v>
      </c>
    </row>
    <row r="239" spans="1:22">
      <c r="A239" s="1">
        <v>1</v>
      </c>
      <c r="B239" s="1" t="s">
        <v>261</v>
      </c>
      <c r="C239" s="1">
        <v>1</v>
      </c>
      <c r="D239" s="33">
        <v>1</v>
      </c>
      <c r="E239" s="37">
        <v>1</v>
      </c>
      <c r="F239" s="37">
        <v>1</v>
      </c>
      <c r="G239">
        <v>0.48908764100000002</v>
      </c>
      <c r="H239">
        <f t="shared" si="34"/>
        <v>0</v>
      </c>
      <c r="I239">
        <v>0.90788382291793801</v>
      </c>
      <c r="J239">
        <f t="shared" si="35"/>
        <v>1</v>
      </c>
      <c r="K239">
        <v>0.419321209192276</v>
      </c>
      <c r="L239">
        <f t="shared" si="37"/>
        <v>0</v>
      </c>
      <c r="M239">
        <v>0.87529796400000004</v>
      </c>
      <c r="N239">
        <f t="shared" si="37"/>
        <v>1</v>
      </c>
      <c r="O239">
        <v>0.142902135848999</v>
      </c>
      <c r="P239">
        <f t="shared" si="37"/>
        <v>0</v>
      </c>
      <c r="Q239">
        <v>0.36041587600000002</v>
      </c>
      <c r="R239">
        <f t="shared" si="37"/>
        <v>0</v>
      </c>
      <c r="S239">
        <v>0.73175776004791304</v>
      </c>
      <c r="T239">
        <f t="shared" si="36"/>
        <v>1</v>
      </c>
      <c r="U239" s="1">
        <v>0.71431789999999995</v>
      </c>
      <c r="V239">
        <v>1</v>
      </c>
    </row>
    <row r="240" spans="1:22">
      <c r="A240" s="1">
        <v>1</v>
      </c>
      <c r="B240" s="1" t="s">
        <v>262</v>
      </c>
      <c r="C240" s="1">
        <v>1</v>
      </c>
      <c r="D240" s="33">
        <v>1</v>
      </c>
      <c r="E240" s="37">
        <v>1</v>
      </c>
      <c r="F240" s="37">
        <v>1</v>
      </c>
      <c r="G240">
        <v>0.50356793399999999</v>
      </c>
      <c r="H240">
        <f t="shared" si="34"/>
        <v>1</v>
      </c>
      <c r="I240">
        <v>0.59404426813125599</v>
      </c>
      <c r="J240">
        <f t="shared" si="35"/>
        <v>1</v>
      </c>
      <c r="K240">
        <v>0.84508955478668202</v>
      </c>
      <c r="L240">
        <f t="shared" si="37"/>
        <v>1</v>
      </c>
      <c r="M240">
        <v>0.62202692000000004</v>
      </c>
      <c r="N240">
        <f t="shared" si="37"/>
        <v>1</v>
      </c>
      <c r="O240">
        <v>0.89588391780853305</v>
      </c>
      <c r="P240">
        <f t="shared" si="37"/>
        <v>1</v>
      </c>
      <c r="Q240">
        <v>0.60408556499999999</v>
      </c>
      <c r="R240">
        <f t="shared" si="37"/>
        <v>1</v>
      </c>
      <c r="S240">
        <v>0.76127177476882901</v>
      </c>
      <c r="T240">
        <f t="shared" si="36"/>
        <v>1</v>
      </c>
      <c r="U240" s="1">
        <v>0.70986146000000006</v>
      </c>
      <c r="V240">
        <v>1</v>
      </c>
    </row>
    <row r="241" spans="1:22">
      <c r="A241" s="1">
        <v>1</v>
      </c>
      <c r="B241" s="1" t="s">
        <v>263</v>
      </c>
      <c r="C241" s="1">
        <v>1</v>
      </c>
      <c r="D241" s="33">
        <v>1</v>
      </c>
      <c r="E241" s="36">
        <v>1</v>
      </c>
      <c r="F241" s="37">
        <v>1</v>
      </c>
      <c r="G241">
        <v>0.95625788</v>
      </c>
      <c r="H241">
        <f t="shared" si="34"/>
        <v>1</v>
      </c>
      <c r="I241">
        <v>0.99999105930328402</v>
      </c>
      <c r="J241">
        <f t="shared" si="35"/>
        <v>1</v>
      </c>
      <c r="K241">
        <v>0.99565565586090099</v>
      </c>
      <c r="L241">
        <f t="shared" si="37"/>
        <v>1</v>
      </c>
      <c r="M241">
        <v>0.99601030300000004</v>
      </c>
      <c r="N241">
        <f t="shared" si="37"/>
        <v>1</v>
      </c>
      <c r="O241">
        <v>0.99980241060257002</v>
      </c>
      <c r="P241">
        <f t="shared" si="37"/>
        <v>1</v>
      </c>
      <c r="Q241">
        <v>0.91909229800000003</v>
      </c>
      <c r="R241">
        <f t="shared" si="37"/>
        <v>1</v>
      </c>
      <c r="S241">
        <v>0.99973946809768699</v>
      </c>
      <c r="T241">
        <f t="shared" si="36"/>
        <v>1</v>
      </c>
      <c r="U241" s="1">
        <v>0.78130644999999999</v>
      </c>
      <c r="V241">
        <v>1</v>
      </c>
    </row>
    <row r="242" spans="1:22">
      <c r="A242" s="1">
        <v>1</v>
      </c>
      <c r="B242" s="1" t="s">
        <v>264</v>
      </c>
      <c r="C242" s="1">
        <v>1</v>
      </c>
      <c r="D242" s="33">
        <v>1</v>
      </c>
      <c r="E242" s="37">
        <v>1</v>
      </c>
      <c r="F242" s="37">
        <v>1</v>
      </c>
      <c r="G242">
        <v>0.88414204100000005</v>
      </c>
      <c r="H242">
        <f t="shared" si="34"/>
        <v>1</v>
      </c>
      <c r="I242">
        <v>0.99975186586380005</v>
      </c>
      <c r="J242">
        <f t="shared" si="35"/>
        <v>1</v>
      </c>
      <c r="K242">
        <v>0.99264043569564797</v>
      </c>
      <c r="L242">
        <f t="shared" si="37"/>
        <v>1</v>
      </c>
      <c r="M242">
        <v>0.98140865600000005</v>
      </c>
      <c r="N242">
        <f t="shared" si="37"/>
        <v>1</v>
      </c>
      <c r="O242">
        <v>0.99159252643585205</v>
      </c>
      <c r="P242">
        <f t="shared" si="37"/>
        <v>1</v>
      </c>
      <c r="Q242">
        <v>0.67047137000000001</v>
      </c>
      <c r="R242">
        <f t="shared" si="37"/>
        <v>1</v>
      </c>
      <c r="S242">
        <v>0.999650359153748</v>
      </c>
      <c r="T242">
        <f t="shared" si="36"/>
        <v>1</v>
      </c>
      <c r="U242" s="1">
        <v>0.78316569999999996</v>
      </c>
      <c r="V242">
        <v>1</v>
      </c>
    </row>
    <row r="243" spans="1:22">
      <c r="A243" s="1">
        <v>1</v>
      </c>
      <c r="B243" s="1" t="s">
        <v>265</v>
      </c>
      <c r="C243" s="1">
        <v>1</v>
      </c>
      <c r="D243" s="33">
        <v>1</v>
      </c>
      <c r="E243" s="37">
        <v>1</v>
      </c>
      <c r="F243" s="37">
        <v>1</v>
      </c>
      <c r="G243">
        <v>0.86825704599999998</v>
      </c>
      <c r="H243">
        <f t="shared" si="34"/>
        <v>1</v>
      </c>
      <c r="I243">
        <v>0.99968814849853505</v>
      </c>
      <c r="J243">
        <f t="shared" si="35"/>
        <v>1</v>
      </c>
      <c r="K243">
        <v>0.99869954586028997</v>
      </c>
      <c r="L243">
        <f t="shared" si="37"/>
        <v>1</v>
      </c>
      <c r="M243">
        <v>0.99009740400000001</v>
      </c>
      <c r="N243">
        <f t="shared" si="37"/>
        <v>1</v>
      </c>
      <c r="O243">
        <v>0.99460381269455</v>
      </c>
      <c r="P243">
        <f t="shared" si="37"/>
        <v>1</v>
      </c>
      <c r="Q243">
        <v>0.91859203599999995</v>
      </c>
      <c r="R243">
        <f t="shared" si="37"/>
        <v>1</v>
      </c>
      <c r="S243">
        <v>0.99993371963500999</v>
      </c>
      <c r="T243">
        <f t="shared" si="36"/>
        <v>1</v>
      </c>
      <c r="U243" s="1">
        <v>0.78243339999999995</v>
      </c>
      <c r="V243">
        <v>1</v>
      </c>
    </row>
    <row r="244" spans="1:22">
      <c r="A244" s="1">
        <v>1</v>
      </c>
      <c r="B244" s="1" t="s">
        <v>266</v>
      </c>
      <c r="C244" s="1">
        <v>1</v>
      </c>
      <c r="D244" s="33">
        <v>1</v>
      </c>
      <c r="E244" s="36">
        <v>0</v>
      </c>
      <c r="F244" s="37">
        <v>1</v>
      </c>
      <c r="G244">
        <v>0.949647307</v>
      </c>
      <c r="H244">
        <f t="shared" si="34"/>
        <v>1</v>
      </c>
      <c r="I244">
        <v>0.99998664855956998</v>
      </c>
      <c r="J244">
        <f t="shared" si="35"/>
        <v>1</v>
      </c>
      <c r="K244">
        <v>0.99646228551864602</v>
      </c>
      <c r="L244">
        <f t="shared" si="37"/>
        <v>1</v>
      </c>
      <c r="M244">
        <v>0.95508998599999995</v>
      </c>
      <c r="N244">
        <f t="shared" si="37"/>
        <v>1</v>
      </c>
      <c r="O244">
        <v>0.99853563308715798</v>
      </c>
      <c r="P244">
        <f t="shared" si="37"/>
        <v>1</v>
      </c>
      <c r="Q244">
        <v>0.92034655799999998</v>
      </c>
      <c r="R244">
        <f t="shared" si="37"/>
        <v>1</v>
      </c>
      <c r="S244">
        <v>0.99695825576782204</v>
      </c>
      <c r="T244">
        <f t="shared" si="36"/>
        <v>1</v>
      </c>
      <c r="U244" s="1">
        <v>0.74045444000000005</v>
      </c>
      <c r="V244">
        <v>1</v>
      </c>
    </row>
    <row r="245" spans="1:22">
      <c r="A245" s="1">
        <v>1</v>
      </c>
      <c r="B245" s="1" t="s">
        <v>267</v>
      </c>
      <c r="C245" s="1">
        <v>1</v>
      </c>
      <c r="D245" s="33">
        <v>1</v>
      </c>
      <c r="E245" s="36">
        <v>1</v>
      </c>
      <c r="F245" s="37">
        <v>1</v>
      </c>
      <c r="G245">
        <v>8.9899330999999999E-2</v>
      </c>
      <c r="H245">
        <f t="shared" si="34"/>
        <v>0</v>
      </c>
      <c r="I245">
        <v>0.42460808157920799</v>
      </c>
      <c r="J245">
        <f t="shared" si="35"/>
        <v>0</v>
      </c>
      <c r="K245">
        <v>0.13789945840835599</v>
      </c>
      <c r="L245">
        <f t="shared" si="37"/>
        <v>0</v>
      </c>
      <c r="M245">
        <v>6.5814218999999993E-2</v>
      </c>
      <c r="N245">
        <f t="shared" si="37"/>
        <v>0</v>
      </c>
      <c r="O245">
        <v>0.56280887126922596</v>
      </c>
      <c r="P245">
        <f t="shared" si="37"/>
        <v>1</v>
      </c>
      <c r="Q245">
        <v>0.82134205100000002</v>
      </c>
      <c r="R245">
        <f t="shared" si="37"/>
        <v>1</v>
      </c>
      <c r="S245">
        <v>0.66715133190154996</v>
      </c>
      <c r="T245">
        <f t="shared" si="36"/>
        <v>1</v>
      </c>
      <c r="U245" s="1">
        <v>0.34916311999999999</v>
      </c>
      <c r="V245">
        <v>0</v>
      </c>
    </row>
    <row r="246" spans="1:22">
      <c r="A246" s="1">
        <v>1</v>
      </c>
      <c r="B246" s="1" t="s">
        <v>268</v>
      </c>
      <c r="C246" s="1">
        <v>1</v>
      </c>
      <c r="D246" s="33">
        <v>1</v>
      </c>
      <c r="E246" s="37">
        <v>1</v>
      </c>
      <c r="F246" s="37">
        <v>1</v>
      </c>
      <c r="G246">
        <v>0.94823563099999997</v>
      </c>
      <c r="H246">
        <f t="shared" si="34"/>
        <v>1</v>
      </c>
      <c r="I246">
        <v>0.99825972318649303</v>
      </c>
      <c r="J246">
        <f t="shared" si="35"/>
        <v>1</v>
      </c>
      <c r="K246">
        <v>0.99496150016784701</v>
      </c>
      <c r="L246">
        <f t="shared" si="37"/>
        <v>1</v>
      </c>
      <c r="M246">
        <v>0.96801990299999996</v>
      </c>
      <c r="N246">
        <f t="shared" si="37"/>
        <v>1</v>
      </c>
      <c r="O246">
        <v>0.964397013187408</v>
      </c>
      <c r="P246">
        <f t="shared" si="37"/>
        <v>1</v>
      </c>
      <c r="Q246">
        <v>0.92700076099999995</v>
      </c>
      <c r="R246">
        <f t="shared" si="37"/>
        <v>1</v>
      </c>
      <c r="S246">
        <v>0.97095143795013406</v>
      </c>
      <c r="T246">
        <f t="shared" si="36"/>
        <v>1</v>
      </c>
      <c r="U246" s="1">
        <v>0.75826510000000003</v>
      </c>
      <c r="V246">
        <v>1</v>
      </c>
    </row>
    <row r="247" spans="1:22">
      <c r="A247" s="1">
        <v>1</v>
      </c>
      <c r="B247" s="1" t="s">
        <v>269</v>
      </c>
      <c r="C247" s="1">
        <v>1</v>
      </c>
      <c r="D247" s="33">
        <v>0</v>
      </c>
      <c r="E247" s="37">
        <v>1</v>
      </c>
      <c r="F247" s="37">
        <v>1</v>
      </c>
      <c r="G247">
        <v>0.82708543499999998</v>
      </c>
      <c r="H247">
        <f t="shared" si="34"/>
        <v>1</v>
      </c>
      <c r="I247">
        <v>0.96286070346832298</v>
      </c>
      <c r="J247">
        <f t="shared" si="35"/>
        <v>1</v>
      </c>
      <c r="K247">
        <v>0.99439162015914895</v>
      </c>
      <c r="L247">
        <f t="shared" si="37"/>
        <v>1</v>
      </c>
      <c r="M247">
        <v>0.98945367299999998</v>
      </c>
      <c r="N247">
        <f t="shared" si="37"/>
        <v>1</v>
      </c>
      <c r="O247">
        <v>0.97743749618530296</v>
      </c>
      <c r="P247">
        <f t="shared" si="37"/>
        <v>1</v>
      </c>
      <c r="Q247">
        <v>0.94294303700000004</v>
      </c>
      <c r="R247">
        <f t="shared" si="37"/>
        <v>1</v>
      </c>
      <c r="S247">
        <v>0.99721825122833196</v>
      </c>
      <c r="T247">
        <f t="shared" si="36"/>
        <v>1</v>
      </c>
      <c r="U247" s="1">
        <v>0.78693133999999998</v>
      </c>
      <c r="V247">
        <v>1</v>
      </c>
    </row>
    <row r="248" spans="1:22">
      <c r="A248" s="1">
        <v>1</v>
      </c>
      <c r="B248" s="1" t="s">
        <v>270</v>
      </c>
      <c r="C248" s="1">
        <v>1</v>
      </c>
      <c r="D248" s="33">
        <v>1</v>
      </c>
      <c r="E248" s="37">
        <v>1</v>
      </c>
      <c r="F248" s="37">
        <v>1</v>
      </c>
      <c r="G248">
        <v>0.92382252200000003</v>
      </c>
      <c r="H248">
        <f t="shared" si="34"/>
        <v>1</v>
      </c>
      <c r="I248">
        <v>0.99998235702514604</v>
      </c>
      <c r="J248">
        <f t="shared" si="35"/>
        <v>1</v>
      </c>
      <c r="K248">
        <v>0.99108147621154796</v>
      </c>
      <c r="L248">
        <f t="shared" si="37"/>
        <v>1</v>
      </c>
      <c r="M248">
        <v>0.999994516</v>
      </c>
      <c r="N248">
        <f t="shared" si="37"/>
        <v>1</v>
      </c>
      <c r="O248">
        <v>0.99865758419036899</v>
      </c>
      <c r="P248">
        <f t="shared" si="37"/>
        <v>1</v>
      </c>
      <c r="Q248">
        <v>0.89940947299999996</v>
      </c>
      <c r="R248">
        <f t="shared" si="37"/>
        <v>1</v>
      </c>
      <c r="S248">
        <v>0.99606555700302102</v>
      </c>
      <c r="T248">
        <f t="shared" si="36"/>
        <v>1</v>
      </c>
      <c r="U248" s="1">
        <v>0.77917044999999996</v>
      </c>
      <c r="V248">
        <v>1</v>
      </c>
    </row>
    <row r="249" spans="1:22">
      <c r="A249" s="1">
        <v>1</v>
      </c>
      <c r="B249" s="1" t="s">
        <v>271</v>
      </c>
      <c r="C249" s="1">
        <v>1</v>
      </c>
      <c r="D249" s="33">
        <v>1</v>
      </c>
      <c r="E249" s="37">
        <v>1</v>
      </c>
      <c r="F249" s="37">
        <v>1</v>
      </c>
      <c r="G249">
        <v>0.923751235</v>
      </c>
      <c r="H249">
        <f t="shared" si="34"/>
        <v>1</v>
      </c>
      <c r="I249">
        <v>0.99996495246887196</v>
      </c>
      <c r="J249">
        <f t="shared" si="35"/>
        <v>1</v>
      </c>
      <c r="K249">
        <v>0.99783933162689198</v>
      </c>
      <c r="L249">
        <f t="shared" si="37"/>
        <v>1</v>
      </c>
      <c r="M249">
        <v>0.99985289600000005</v>
      </c>
      <c r="N249">
        <f t="shared" si="37"/>
        <v>1</v>
      </c>
      <c r="O249">
        <v>0.99839705228805498</v>
      </c>
      <c r="P249">
        <f t="shared" si="37"/>
        <v>1</v>
      </c>
      <c r="Q249">
        <v>0.783022106</v>
      </c>
      <c r="R249">
        <f t="shared" si="37"/>
        <v>1</v>
      </c>
      <c r="S249">
        <v>1</v>
      </c>
      <c r="T249">
        <f t="shared" si="36"/>
        <v>1</v>
      </c>
      <c r="U249" s="1">
        <v>0.79161429999999999</v>
      </c>
      <c r="V249">
        <v>1</v>
      </c>
    </row>
    <row r="250" spans="1:22">
      <c r="A250" s="1">
        <v>1</v>
      </c>
      <c r="B250" s="1" t="s">
        <v>272</v>
      </c>
      <c r="C250" s="1">
        <v>1</v>
      </c>
      <c r="D250" s="33">
        <v>0</v>
      </c>
      <c r="E250" s="37">
        <v>1</v>
      </c>
      <c r="F250" s="37">
        <v>1</v>
      </c>
      <c r="G250">
        <v>0.84525424199999999</v>
      </c>
      <c r="H250">
        <f t="shared" si="34"/>
        <v>1</v>
      </c>
      <c r="I250">
        <v>0.99428516626357999</v>
      </c>
      <c r="J250">
        <f t="shared" si="35"/>
        <v>1</v>
      </c>
      <c r="K250">
        <v>0.90779888629913297</v>
      </c>
      <c r="L250">
        <f t="shared" si="37"/>
        <v>1</v>
      </c>
      <c r="M250">
        <v>0.98374152199999998</v>
      </c>
      <c r="N250">
        <f t="shared" si="37"/>
        <v>1</v>
      </c>
      <c r="O250">
        <v>0.99478203058242798</v>
      </c>
      <c r="P250">
        <f t="shared" si="37"/>
        <v>1</v>
      </c>
      <c r="Q250">
        <v>0.758611798</v>
      </c>
      <c r="R250">
        <f t="shared" si="37"/>
        <v>1</v>
      </c>
      <c r="S250">
        <v>0.85837996006011996</v>
      </c>
      <c r="T250">
        <f t="shared" si="36"/>
        <v>1</v>
      </c>
      <c r="U250" s="1">
        <v>0.73468129999999998</v>
      </c>
      <c r="V250">
        <v>1</v>
      </c>
    </row>
    <row r="251" spans="1:22">
      <c r="A251" s="1">
        <v>1</v>
      </c>
      <c r="B251" s="1" t="s">
        <v>273</v>
      </c>
      <c r="C251" s="1">
        <v>1</v>
      </c>
      <c r="D251" s="33">
        <v>1</v>
      </c>
      <c r="E251" s="37">
        <v>1</v>
      </c>
      <c r="F251" s="37">
        <v>1</v>
      </c>
      <c r="G251">
        <v>0.95664680000000002</v>
      </c>
      <c r="H251">
        <f t="shared" si="34"/>
        <v>1</v>
      </c>
      <c r="I251">
        <v>1</v>
      </c>
      <c r="J251">
        <f t="shared" si="35"/>
        <v>1</v>
      </c>
      <c r="K251">
        <v>0.99996650218963601</v>
      </c>
      <c r="L251">
        <f t="shared" si="37"/>
        <v>1</v>
      </c>
      <c r="M251">
        <v>0.99999988100000003</v>
      </c>
      <c r="N251">
        <f t="shared" si="37"/>
        <v>1</v>
      </c>
      <c r="O251">
        <v>0.99996185302734397</v>
      </c>
      <c r="P251">
        <f t="shared" si="37"/>
        <v>1</v>
      </c>
      <c r="Q251">
        <v>0.97184902399999995</v>
      </c>
      <c r="R251">
        <f t="shared" si="37"/>
        <v>1</v>
      </c>
      <c r="S251">
        <v>0.99999988079071001</v>
      </c>
      <c r="T251">
        <f t="shared" si="36"/>
        <v>1</v>
      </c>
      <c r="U251" s="1">
        <v>0.79990256000000004</v>
      </c>
      <c r="V251">
        <v>1</v>
      </c>
    </row>
    <row r="252" spans="1:22">
      <c r="A252" s="1">
        <v>1</v>
      </c>
      <c r="B252" s="1" t="s">
        <v>274</v>
      </c>
      <c r="C252" s="1">
        <v>1</v>
      </c>
      <c r="D252" s="33">
        <v>1</v>
      </c>
      <c r="E252" s="37">
        <v>1</v>
      </c>
      <c r="F252" s="37">
        <v>1</v>
      </c>
      <c r="G252">
        <v>0.92862308000000005</v>
      </c>
      <c r="H252">
        <f t="shared" si="34"/>
        <v>1</v>
      </c>
      <c r="I252">
        <v>0.99990487098693803</v>
      </c>
      <c r="J252">
        <f t="shared" si="35"/>
        <v>1</v>
      </c>
      <c r="K252">
        <v>0.99130767583847001</v>
      </c>
      <c r="L252">
        <f t="shared" si="37"/>
        <v>1</v>
      </c>
      <c r="M252">
        <v>0.99992549399999997</v>
      </c>
      <c r="N252">
        <f t="shared" si="37"/>
        <v>1</v>
      </c>
      <c r="O252">
        <v>0.99874842166900601</v>
      </c>
      <c r="P252">
        <f t="shared" si="37"/>
        <v>1</v>
      </c>
      <c r="Q252">
        <v>0.97596269800000002</v>
      </c>
      <c r="R252">
        <f t="shared" si="37"/>
        <v>1</v>
      </c>
      <c r="S252">
        <v>0.99881196022033703</v>
      </c>
      <c r="T252">
        <f t="shared" si="36"/>
        <v>1</v>
      </c>
      <c r="U252" s="1">
        <v>0.75860139999999998</v>
      </c>
      <c r="V252">
        <v>1</v>
      </c>
    </row>
    <row r="253" spans="1:22">
      <c r="A253" s="1">
        <v>1</v>
      </c>
      <c r="B253" s="1" t="s">
        <v>276</v>
      </c>
      <c r="C253" s="1">
        <v>1</v>
      </c>
      <c r="D253" s="33">
        <v>1</v>
      </c>
      <c r="E253" s="37">
        <v>1</v>
      </c>
      <c r="F253" s="37">
        <v>1</v>
      </c>
      <c r="G253">
        <v>0.97080439299999999</v>
      </c>
      <c r="H253">
        <f t="shared" si="34"/>
        <v>1</v>
      </c>
      <c r="I253">
        <v>0.99990713596344005</v>
      </c>
      <c r="J253">
        <f t="shared" si="35"/>
        <v>1</v>
      </c>
      <c r="K253">
        <v>0.99682956933975198</v>
      </c>
      <c r="L253">
        <f t="shared" si="37"/>
        <v>1</v>
      </c>
      <c r="M253">
        <v>0.966047883</v>
      </c>
      <c r="N253">
        <f t="shared" si="37"/>
        <v>1</v>
      </c>
      <c r="O253">
        <v>0.99699413776397705</v>
      </c>
      <c r="P253">
        <f t="shared" si="37"/>
        <v>1</v>
      </c>
      <c r="Q253">
        <v>0.86577504900000002</v>
      </c>
      <c r="R253">
        <f t="shared" si="37"/>
        <v>1</v>
      </c>
      <c r="S253">
        <v>0.99100911617278997</v>
      </c>
      <c r="T253">
        <f t="shared" si="36"/>
        <v>1</v>
      </c>
      <c r="U253" s="1">
        <v>0.79376460000000004</v>
      </c>
      <c r="V253">
        <v>1</v>
      </c>
    </row>
    <row r="254" spans="1:22">
      <c r="A254" s="1">
        <v>1</v>
      </c>
      <c r="B254" s="1" t="s">
        <v>277</v>
      </c>
      <c r="C254" s="1">
        <v>1</v>
      </c>
      <c r="D254" s="33">
        <v>0</v>
      </c>
      <c r="E254" s="37">
        <v>1</v>
      </c>
      <c r="F254" s="37">
        <v>1</v>
      </c>
      <c r="G254">
        <v>0.93808913199999999</v>
      </c>
      <c r="H254">
        <f t="shared" si="34"/>
        <v>1</v>
      </c>
      <c r="I254">
        <v>0.99030590057373002</v>
      </c>
      <c r="J254">
        <f t="shared" si="35"/>
        <v>1</v>
      </c>
      <c r="K254">
        <v>0.98642551898956299</v>
      </c>
      <c r="L254">
        <f t="shared" si="37"/>
        <v>1</v>
      </c>
      <c r="M254">
        <v>0.86016893400000005</v>
      </c>
      <c r="N254">
        <f t="shared" si="37"/>
        <v>1</v>
      </c>
      <c r="O254">
        <v>0.91745865345001198</v>
      </c>
      <c r="P254">
        <f t="shared" si="37"/>
        <v>1</v>
      </c>
      <c r="Q254">
        <v>0.64369404299999999</v>
      </c>
      <c r="R254">
        <f t="shared" si="37"/>
        <v>1</v>
      </c>
      <c r="S254">
        <v>0.99250012636184703</v>
      </c>
      <c r="T254">
        <f t="shared" si="36"/>
        <v>1</v>
      </c>
      <c r="U254" s="1">
        <v>0.80035080000000003</v>
      </c>
      <c r="V254">
        <v>1</v>
      </c>
    </row>
    <row r="255" spans="1:22">
      <c r="A255" s="1">
        <v>1</v>
      </c>
      <c r="B255" s="1" t="s">
        <v>278</v>
      </c>
      <c r="C255" s="1">
        <v>1</v>
      </c>
      <c r="D255" s="33">
        <v>1</v>
      </c>
      <c r="E255" s="37">
        <v>1</v>
      </c>
      <c r="F255" s="37">
        <v>1</v>
      </c>
      <c r="G255">
        <v>0.95638132099999995</v>
      </c>
      <c r="H255">
        <f t="shared" si="34"/>
        <v>1</v>
      </c>
      <c r="I255">
        <v>0.99981003999710105</v>
      </c>
      <c r="J255">
        <f t="shared" si="35"/>
        <v>1</v>
      </c>
      <c r="K255">
        <v>0.99892210960388195</v>
      </c>
      <c r="L255">
        <f t="shared" si="37"/>
        <v>1</v>
      </c>
      <c r="M255">
        <v>0.99675875899999999</v>
      </c>
      <c r="N255">
        <f t="shared" si="37"/>
        <v>1</v>
      </c>
      <c r="O255">
        <v>0.99969959259033203</v>
      </c>
      <c r="P255">
        <f t="shared" si="37"/>
        <v>1</v>
      </c>
      <c r="Q255">
        <v>0.85282844300000005</v>
      </c>
      <c r="R255">
        <f t="shared" si="37"/>
        <v>1</v>
      </c>
      <c r="S255">
        <v>0.99989080429077204</v>
      </c>
      <c r="T255">
        <f>IF(S255&gt;$A$2,1,0)</f>
        <v>1</v>
      </c>
      <c r="U255" s="1">
        <v>0.79188009999999998</v>
      </c>
      <c r="V255">
        <v>1</v>
      </c>
    </row>
    <row r="256" spans="1:22">
      <c r="A256" s="1">
        <v>1</v>
      </c>
      <c r="B256" s="1" t="s">
        <v>280</v>
      </c>
      <c r="C256" s="1">
        <v>1</v>
      </c>
      <c r="D256" s="33">
        <v>1</v>
      </c>
      <c r="E256" s="37">
        <v>1</v>
      </c>
      <c r="F256" s="37">
        <v>1</v>
      </c>
      <c r="G256">
        <v>0.57556396700000001</v>
      </c>
      <c r="H256">
        <f t="shared" ref="H256:H313" si="38">IF(G256&gt;$A$2,1,0)</f>
        <v>1</v>
      </c>
      <c r="I256">
        <v>0.79003852605819702</v>
      </c>
      <c r="J256">
        <f t="shared" ref="J256:J313" si="39">IF(I256&gt;$A$2,1,0)</f>
        <v>1</v>
      </c>
      <c r="K256">
        <v>0.847131848335266</v>
      </c>
      <c r="L256">
        <f t="shared" si="37"/>
        <v>1</v>
      </c>
      <c r="M256">
        <v>0.31608092799999998</v>
      </c>
      <c r="N256">
        <f t="shared" si="37"/>
        <v>0</v>
      </c>
      <c r="O256">
        <v>0.74493533372878995</v>
      </c>
      <c r="P256">
        <f t="shared" si="37"/>
        <v>1</v>
      </c>
      <c r="Q256">
        <v>0.53745078999999996</v>
      </c>
      <c r="R256">
        <f t="shared" si="37"/>
        <v>1</v>
      </c>
      <c r="S256">
        <v>0.60544347763061501</v>
      </c>
      <c r="T256">
        <f>IF(S256&gt;$A$2,1,0)</f>
        <v>1</v>
      </c>
      <c r="U256" s="1">
        <v>0.67395689999999997</v>
      </c>
      <c r="V256">
        <v>1</v>
      </c>
    </row>
    <row r="257" spans="1:22">
      <c r="A257" s="1">
        <v>1</v>
      </c>
      <c r="B257" s="1" t="s">
        <v>281</v>
      </c>
      <c r="C257" s="1">
        <v>1</v>
      </c>
      <c r="D257" s="33">
        <v>1</v>
      </c>
      <c r="E257" s="37">
        <v>1</v>
      </c>
      <c r="F257" s="37">
        <v>1</v>
      </c>
      <c r="G257">
        <v>0.246199742</v>
      </c>
      <c r="H257">
        <f t="shared" si="38"/>
        <v>0</v>
      </c>
      <c r="I257">
        <v>0.42921820282936102</v>
      </c>
      <c r="J257">
        <f t="shared" si="39"/>
        <v>0</v>
      </c>
      <c r="K257">
        <v>0.87073761224746704</v>
      </c>
      <c r="L257">
        <f t="shared" si="37"/>
        <v>1</v>
      </c>
      <c r="M257">
        <v>0.194514781</v>
      </c>
      <c r="N257">
        <f t="shared" si="37"/>
        <v>0</v>
      </c>
      <c r="O257">
        <v>0.88723236322402899</v>
      </c>
      <c r="P257">
        <f t="shared" si="37"/>
        <v>1</v>
      </c>
      <c r="Q257">
        <v>0.81885421300000005</v>
      </c>
      <c r="R257">
        <f t="shared" si="37"/>
        <v>1</v>
      </c>
      <c r="S257">
        <v>0.60616433620452903</v>
      </c>
      <c r="T257">
        <f t="shared" ref="T257:T313" si="40">IF(S257&gt;$A$2,1,0)</f>
        <v>1</v>
      </c>
      <c r="U257" s="1">
        <v>0.52562160000000002</v>
      </c>
      <c r="V257">
        <v>0</v>
      </c>
    </row>
    <row r="258" spans="1:22">
      <c r="A258" s="1">
        <v>1</v>
      </c>
      <c r="B258" s="1" t="s">
        <v>282</v>
      </c>
      <c r="C258" s="1">
        <v>1</v>
      </c>
      <c r="D258" s="33">
        <v>1</v>
      </c>
      <c r="E258" s="37">
        <v>1</v>
      </c>
      <c r="F258" s="37">
        <v>1</v>
      </c>
      <c r="G258">
        <v>0.69199580000000005</v>
      </c>
      <c r="H258">
        <f t="shared" si="38"/>
        <v>1</v>
      </c>
      <c r="I258">
        <v>0.54008936882018999</v>
      </c>
      <c r="J258">
        <f t="shared" si="39"/>
        <v>1</v>
      </c>
      <c r="K258">
        <v>0.64916181564330999</v>
      </c>
      <c r="L258">
        <f t="shared" si="37"/>
        <v>1</v>
      </c>
      <c r="M258">
        <v>0.48421531899999998</v>
      </c>
      <c r="N258">
        <f t="shared" si="37"/>
        <v>0</v>
      </c>
      <c r="O258">
        <v>0.71970677375793501</v>
      </c>
      <c r="P258">
        <f t="shared" si="37"/>
        <v>1</v>
      </c>
      <c r="Q258">
        <v>0.423034996</v>
      </c>
      <c r="R258">
        <f t="shared" ref="R258:R265" si="41">IF(Q258&gt;$A$2,1,0)</f>
        <v>0</v>
      </c>
      <c r="S258">
        <v>9.6211858093739E-2</v>
      </c>
      <c r="T258">
        <f t="shared" si="40"/>
        <v>0</v>
      </c>
      <c r="U258" s="1">
        <v>0.73578613999999998</v>
      </c>
      <c r="V258">
        <v>1</v>
      </c>
    </row>
    <row r="259" spans="1:22">
      <c r="A259" s="1">
        <v>1</v>
      </c>
      <c r="B259" s="1" t="s">
        <v>283</v>
      </c>
      <c r="C259" s="1">
        <v>1</v>
      </c>
      <c r="D259" s="33">
        <v>1</v>
      </c>
      <c r="E259" s="37">
        <v>1</v>
      </c>
      <c r="F259" s="37">
        <v>1</v>
      </c>
      <c r="G259">
        <v>0.74886155099999996</v>
      </c>
      <c r="H259">
        <f t="shared" si="38"/>
        <v>1</v>
      </c>
      <c r="I259">
        <v>0.99914395809173595</v>
      </c>
      <c r="J259">
        <f t="shared" si="39"/>
        <v>1</v>
      </c>
      <c r="K259">
        <v>0.97118109464645397</v>
      </c>
      <c r="L259">
        <f t="shared" ref="L259:L265" si="42">IF(K259&gt;$A$2,1,0)</f>
        <v>1</v>
      </c>
      <c r="M259">
        <v>0.83272248500000001</v>
      </c>
      <c r="N259">
        <f t="shared" ref="N259:N265" si="43">IF(M259&gt;$A$2,1,0)</f>
        <v>1</v>
      </c>
      <c r="O259">
        <v>0.98622989654541005</v>
      </c>
      <c r="P259">
        <f t="shared" ref="P259:P265" si="44">IF(O259&gt;$A$2,1,0)</f>
        <v>1</v>
      </c>
      <c r="Q259">
        <v>0.87439554900000005</v>
      </c>
      <c r="R259">
        <f t="shared" si="41"/>
        <v>1</v>
      </c>
      <c r="S259">
        <v>0.45512166619300798</v>
      </c>
      <c r="T259">
        <f t="shared" si="40"/>
        <v>0</v>
      </c>
      <c r="U259" s="1">
        <v>0.75815290000000002</v>
      </c>
      <c r="V259">
        <v>1</v>
      </c>
    </row>
    <row r="260" spans="1:22">
      <c r="A260" s="1">
        <v>1</v>
      </c>
      <c r="B260" s="1" t="s">
        <v>284</v>
      </c>
      <c r="C260" s="1">
        <v>1</v>
      </c>
      <c r="D260" s="33">
        <v>1</v>
      </c>
      <c r="E260" s="37">
        <v>1</v>
      </c>
      <c r="F260" s="37">
        <v>1</v>
      </c>
      <c r="G260">
        <v>0.90156143899999996</v>
      </c>
      <c r="H260">
        <f t="shared" si="38"/>
        <v>1</v>
      </c>
      <c r="I260">
        <v>0.99958437681198098</v>
      </c>
      <c r="J260">
        <f t="shared" si="39"/>
        <v>1</v>
      </c>
      <c r="K260">
        <v>0.99873799085617099</v>
      </c>
      <c r="L260">
        <f t="shared" si="42"/>
        <v>1</v>
      </c>
      <c r="M260">
        <v>0.737058043</v>
      </c>
      <c r="N260">
        <f t="shared" si="43"/>
        <v>1</v>
      </c>
      <c r="O260">
        <v>0.99901914596557595</v>
      </c>
      <c r="P260">
        <f t="shared" si="44"/>
        <v>1</v>
      </c>
      <c r="Q260">
        <v>0.75279253700000004</v>
      </c>
      <c r="R260">
        <f t="shared" si="41"/>
        <v>1</v>
      </c>
      <c r="S260">
        <v>0.99998223781585704</v>
      </c>
      <c r="T260">
        <f t="shared" si="40"/>
        <v>1</v>
      </c>
      <c r="U260" s="1">
        <v>0.78925869999999998</v>
      </c>
      <c r="V260">
        <v>1</v>
      </c>
    </row>
    <row r="261" spans="1:22">
      <c r="A261" s="1">
        <v>1</v>
      </c>
      <c r="B261" s="1" t="s">
        <v>285</v>
      </c>
      <c r="C261" s="1">
        <v>1</v>
      </c>
      <c r="D261" s="33">
        <v>1</v>
      </c>
      <c r="E261" s="37">
        <v>1</v>
      </c>
      <c r="F261" s="37">
        <v>1</v>
      </c>
      <c r="G261">
        <v>0.89129298899999998</v>
      </c>
      <c r="H261">
        <f t="shared" si="38"/>
        <v>1</v>
      </c>
      <c r="I261">
        <v>0.99941611289978005</v>
      </c>
      <c r="J261">
        <f t="shared" si="39"/>
        <v>1</v>
      </c>
      <c r="K261">
        <v>0.99916350841522195</v>
      </c>
      <c r="L261">
        <f t="shared" si="42"/>
        <v>1</v>
      </c>
      <c r="M261">
        <v>0.98090326800000005</v>
      </c>
      <c r="N261">
        <f t="shared" si="43"/>
        <v>1</v>
      </c>
      <c r="O261">
        <v>0.99848312139511097</v>
      </c>
      <c r="P261">
        <f t="shared" si="44"/>
        <v>1</v>
      </c>
      <c r="Q261">
        <v>0.89687889799999998</v>
      </c>
      <c r="R261">
        <f t="shared" si="41"/>
        <v>1</v>
      </c>
      <c r="S261">
        <v>0.99640512466430597</v>
      </c>
      <c r="T261">
        <f t="shared" si="40"/>
        <v>1</v>
      </c>
      <c r="U261" s="1">
        <v>0.80644179999999999</v>
      </c>
      <c r="V261">
        <v>1</v>
      </c>
    </row>
    <row r="262" spans="1:22">
      <c r="A262" s="1">
        <v>1</v>
      </c>
      <c r="B262" s="5" t="s">
        <v>287</v>
      </c>
      <c r="C262" s="1">
        <v>1</v>
      </c>
      <c r="D262" s="33">
        <v>1</v>
      </c>
      <c r="E262" s="37">
        <v>1</v>
      </c>
      <c r="F262" s="37">
        <v>1</v>
      </c>
      <c r="G262">
        <v>0.951081336</v>
      </c>
      <c r="H262">
        <f t="shared" si="38"/>
        <v>1</v>
      </c>
      <c r="I262">
        <v>0.99999868869781505</v>
      </c>
      <c r="J262">
        <f t="shared" si="39"/>
        <v>1</v>
      </c>
      <c r="K262">
        <v>0.99968457221984897</v>
      </c>
      <c r="L262">
        <f t="shared" si="42"/>
        <v>1</v>
      </c>
      <c r="M262">
        <v>0.99758100500000002</v>
      </c>
      <c r="N262">
        <f t="shared" si="43"/>
        <v>1</v>
      </c>
      <c r="O262">
        <v>0.99997389316558805</v>
      </c>
      <c r="P262">
        <f t="shared" si="44"/>
        <v>1</v>
      </c>
      <c r="Q262">
        <v>0.86988985500000005</v>
      </c>
      <c r="R262">
        <f t="shared" si="41"/>
        <v>1</v>
      </c>
      <c r="S262">
        <v>0.999947309494019</v>
      </c>
      <c r="T262">
        <f t="shared" si="40"/>
        <v>1</v>
      </c>
      <c r="U262" s="5">
        <v>0.75681209999999999</v>
      </c>
      <c r="V262">
        <v>1</v>
      </c>
    </row>
    <row r="263" spans="1:22">
      <c r="A263" s="1">
        <v>1</v>
      </c>
      <c r="B263" s="1" t="s">
        <v>288</v>
      </c>
      <c r="C263" s="1">
        <v>1</v>
      </c>
      <c r="D263" s="33">
        <v>0</v>
      </c>
      <c r="E263" s="36">
        <v>0</v>
      </c>
      <c r="F263" s="37">
        <v>1</v>
      </c>
      <c r="G263">
        <v>0.74124038199999998</v>
      </c>
      <c r="H263">
        <f t="shared" si="38"/>
        <v>1</v>
      </c>
      <c r="I263">
        <v>0.99672532081604004</v>
      </c>
      <c r="J263">
        <f t="shared" si="39"/>
        <v>1</v>
      </c>
      <c r="K263">
        <v>0.93244582414627097</v>
      </c>
      <c r="L263">
        <f t="shared" si="42"/>
        <v>1</v>
      </c>
      <c r="M263">
        <v>0.92881864300000005</v>
      </c>
      <c r="N263">
        <f t="shared" si="43"/>
        <v>1</v>
      </c>
      <c r="O263">
        <v>0.97838973999023404</v>
      </c>
      <c r="P263">
        <f t="shared" si="44"/>
        <v>1</v>
      </c>
      <c r="Q263">
        <v>0.70390349600000002</v>
      </c>
      <c r="R263">
        <f t="shared" si="41"/>
        <v>1</v>
      </c>
      <c r="S263">
        <v>0.99423319101333596</v>
      </c>
      <c r="T263">
        <f t="shared" si="40"/>
        <v>1</v>
      </c>
      <c r="U263" s="1">
        <v>0.78068309999999996</v>
      </c>
      <c r="V263">
        <v>1</v>
      </c>
    </row>
    <row r="264" spans="1:22">
      <c r="A264" s="1">
        <v>1</v>
      </c>
      <c r="B264" s="1" t="s">
        <v>289</v>
      </c>
      <c r="C264" s="1">
        <v>1</v>
      </c>
      <c r="D264" s="33">
        <v>1</v>
      </c>
      <c r="E264" s="37">
        <v>1</v>
      </c>
      <c r="F264" s="37">
        <v>1</v>
      </c>
      <c r="G264">
        <v>0.97913205599999997</v>
      </c>
      <c r="H264">
        <f t="shared" si="38"/>
        <v>1</v>
      </c>
      <c r="I264">
        <v>0.99998164176940896</v>
      </c>
      <c r="J264">
        <f t="shared" si="39"/>
        <v>1</v>
      </c>
      <c r="K264">
        <v>0.99751520156860396</v>
      </c>
      <c r="L264">
        <f t="shared" si="42"/>
        <v>1</v>
      </c>
      <c r="M264">
        <v>0.99937361499999999</v>
      </c>
      <c r="N264">
        <f t="shared" si="43"/>
        <v>1</v>
      </c>
      <c r="O264">
        <v>0.99881589412689198</v>
      </c>
      <c r="P264">
        <f t="shared" si="44"/>
        <v>1</v>
      </c>
      <c r="Q264">
        <v>0.87680989499999995</v>
      </c>
      <c r="R264">
        <f t="shared" si="41"/>
        <v>1</v>
      </c>
      <c r="S264">
        <v>0.99997580051422097</v>
      </c>
      <c r="T264">
        <f t="shared" si="40"/>
        <v>1</v>
      </c>
      <c r="U264" s="1">
        <v>0.79557323000000002</v>
      </c>
      <c r="V264">
        <v>1</v>
      </c>
    </row>
    <row r="265" spans="1:22">
      <c r="A265" s="1">
        <v>1</v>
      </c>
      <c r="B265" s="1" t="s">
        <v>290</v>
      </c>
      <c r="C265" s="1">
        <v>1</v>
      </c>
      <c r="D265" s="33">
        <v>1</v>
      </c>
      <c r="E265" s="37">
        <v>1</v>
      </c>
      <c r="F265" s="37">
        <v>1</v>
      </c>
      <c r="G265">
        <v>0.74775183199999995</v>
      </c>
      <c r="H265">
        <f t="shared" si="38"/>
        <v>1</v>
      </c>
      <c r="I265">
        <v>0.999445021152496</v>
      </c>
      <c r="J265">
        <f t="shared" si="39"/>
        <v>1</v>
      </c>
      <c r="K265">
        <v>0.99655377864837602</v>
      </c>
      <c r="L265">
        <f t="shared" si="42"/>
        <v>1</v>
      </c>
      <c r="M265">
        <v>0.957045496</v>
      </c>
      <c r="N265">
        <f t="shared" si="43"/>
        <v>1</v>
      </c>
      <c r="O265">
        <v>0.99337053298950195</v>
      </c>
      <c r="P265">
        <f t="shared" si="44"/>
        <v>1</v>
      </c>
      <c r="Q265">
        <v>0.61915546700000001</v>
      </c>
      <c r="R265">
        <f t="shared" si="41"/>
        <v>1</v>
      </c>
      <c r="S265">
        <v>0.60825812816619895</v>
      </c>
      <c r="T265">
        <f t="shared" si="40"/>
        <v>1</v>
      </c>
      <c r="U265" s="1">
        <v>0.78602004000000003</v>
      </c>
      <c r="V265">
        <v>1</v>
      </c>
    </row>
    <row r="266" spans="1:22">
      <c r="A266" s="1" t="s">
        <v>291</v>
      </c>
      <c r="B266" s="1"/>
      <c r="C266" s="22"/>
      <c r="D266" s="33"/>
      <c r="E266" s="38"/>
      <c r="F266" s="38"/>
      <c r="M266" s="30"/>
    </row>
    <row r="267" spans="1:22">
      <c r="A267" s="1">
        <v>0</v>
      </c>
      <c r="B267" s="1" t="s">
        <v>292</v>
      </c>
      <c r="C267" s="1">
        <v>0</v>
      </c>
      <c r="D267" s="33">
        <v>0</v>
      </c>
      <c r="E267" s="36">
        <v>0</v>
      </c>
      <c r="F267" s="37">
        <v>1</v>
      </c>
      <c r="G267">
        <v>0.16982708899999999</v>
      </c>
      <c r="H267">
        <f t="shared" si="38"/>
        <v>0</v>
      </c>
      <c r="I267" s="30">
        <v>1.836811890826E-3</v>
      </c>
      <c r="J267">
        <f t="shared" si="39"/>
        <v>0</v>
      </c>
      <c r="K267">
        <v>0.109624423086643</v>
      </c>
      <c r="L267">
        <f t="shared" ref="L267:L324" si="45">IF(K267&gt;$A$2,1,0)</f>
        <v>0</v>
      </c>
      <c r="M267">
        <v>3.5562429999999999E-2</v>
      </c>
      <c r="N267">
        <f t="shared" ref="N267:N324" si="46">IF(M267&gt;$A$2,1,0)</f>
        <v>0</v>
      </c>
      <c r="O267">
        <v>8.6268357932567999E-2</v>
      </c>
      <c r="P267">
        <f t="shared" ref="P267:P324" si="47">IF(O267&gt;$A$2,1,0)</f>
        <v>0</v>
      </c>
      <c r="Q267">
        <v>0.57422268399999998</v>
      </c>
      <c r="R267">
        <f t="shared" ref="R267:R324" si="48">IF(Q267&gt;$A$2,1,0)</f>
        <v>1</v>
      </c>
      <c r="S267">
        <v>6.1084551271100001E-4</v>
      </c>
      <c r="T267">
        <f t="shared" si="40"/>
        <v>0</v>
      </c>
      <c r="U267" s="1">
        <v>0.42220095000000002</v>
      </c>
      <c r="V267">
        <v>0</v>
      </c>
    </row>
    <row r="268" spans="1:22">
      <c r="A268" s="1">
        <v>0</v>
      </c>
      <c r="B268" s="1" t="s">
        <v>293</v>
      </c>
      <c r="C268" s="1">
        <v>0</v>
      </c>
      <c r="D268" s="33">
        <v>0</v>
      </c>
      <c r="E268" s="36">
        <v>0</v>
      </c>
      <c r="F268" s="37">
        <v>0</v>
      </c>
      <c r="G268" s="30">
        <v>1.1388977E-2</v>
      </c>
      <c r="H268">
        <f t="shared" si="38"/>
        <v>0</v>
      </c>
      <c r="I268">
        <v>8.0932589480700004E-4</v>
      </c>
      <c r="J268">
        <f t="shared" si="39"/>
        <v>0</v>
      </c>
      <c r="K268">
        <v>3.3171661198100002E-4</v>
      </c>
      <c r="L268">
        <f t="shared" si="45"/>
        <v>0</v>
      </c>
      <c r="M268">
        <v>5.5696900000000004E-4</v>
      </c>
      <c r="N268">
        <f t="shared" si="46"/>
        <v>0</v>
      </c>
      <c r="O268">
        <v>1.457382924855E-3</v>
      </c>
      <c r="P268">
        <f t="shared" si="47"/>
        <v>0</v>
      </c>
      <c r="Q268" s="30">
        <v>5.5417776000000002E-2</v>
      </c>
      <c r="R268">
        <f t="shared" si="48"/>
        <v>0</v>
      </c>
      <c r="S268" s="30">
        <v>7.6611082477029399E-5</v>
      </c>
      <c r="T268">
        <f t="shared" si="40"/>
        <v>0</v>
      </c>
      <c r="U268" s="1">
        <v>0.19966584000000001</v>
      </c>
      <c r="V268">
        <v>0</v>
      </c>
    </row>
    <row r="269" spans="1:22">
      <c r="A269" s="1">
        <v>0</v>
      </c>
      <c r="B269" s="1" t="s">
        <v>294</v>
      </c>
      <c r="C269" s="1">
        <v>0</v>
      </c>
      <c r="D269" s="33">
        <v>0</v>
      </c>
      <c r="E269" s="36">
        <v>0</v>
      </c>
      <c r="F269" s="37">
        <v>0</v>
      </c>
      <c r="G269" s="30">
        <v>3.2847109999999999E-2</v>
      </c>
      <c r="H269">
        <f t="shared" si="38"/>
        <v>0</v>
      </c>
      <c r="I269" s="30">
        <v>1.05089005956E-4</v>
      </c>
      <c r="J269">
        <f t="shared" si="39"/>
        <v>0</v>
      </c>
      <c r="K269" s="30">
        <v>1.64508106536E-4</v>
      </c>
      <c r="L269">
        <f t="shared" si="45"/>
        <v>0</v>
      </c>
      <c r="M269" s="30">
        <v>3.8219399999999998E-4</v>
      </c>
      <c r="N269">
        <f t="shared" si="46"/>
        <v>0</v>
      </c>
      <c r="O269">
        <v>3.0562514439230002E-3</v>
      </c>
      <c r="P269">
        <f t="shared" si="47"/>
        <v>0</v>
      </c>
      <c r="Q269" s="30">
        <v>3.6517969999999997E-2</v>
      </c>
      <c r="R269">
        <f t="shared" si="48"/>
        <v>0</v>
      </c>
      <c r="S269" s="30">
        <v>1.11414710772806E-5</v>
      </c>
      <c r="T269">
        <f t="shared" si="40"/>
        <v>0</v>
      </c>
      <c r="U269" s="1">
        <v>9.3846395999999999E-2</v>
      </c>
      <c r="V269">
        <v>0</v>
      </c>
    </row>
    <row r="270" spans="1:22">
      <c r="A270" s="1">
        <v>0</v>
      </c>
      <c r="B270" s="1" t="s">
        <v>295</v>
      </c>
      <c r="C270" s="1">
        <v>0</v>
      </c>
      <c r="D270" s="33">
        <v>0</v>
      </c>
      <c r="E270" s="36">
        <v>0</v>
      </c>
      <c r="F270" s="37">
        <v>0</v>
      </c>
      <c r="G270">
        <v>0.17998176799999999</v>
      </c>
      <c r="H270">
        <f t="shared" si="38"/>
        <v>0</v>
      </c>
      <c r="I270" s="30">
        <v>0.18323272466659499</v>
      </c>
      <c r="J270">
        <f t="shared" si="39"/>
        <v>0</v>
      </c>
      <c r="K270" s="30">
        <v>1.2780052609742E-2</v>
      </c>
      <c r="L270">
        <f t="shared" si="45"/>
        <v>0</v>
      </c>
      <c r="M270">
        <v>2.4370775000000001E-2</v>
      </c>
      <c r="N270">
        <f t="shared" si="46"/>
        <v>0</v>
      </c>
      <c r="O270">
        <v>3.3278804272412997E-2</v>
      </c>
      <c r="P270">
        <f t="shared" si="47"/>
        <v>0</v>
      </c>
      <c r="Q270">
        <v>0.114625201</v>
      </c>
      <c r="R270">
        <f t="shared" si="48"/>
        <v>0</v>
      </c>
      <c r="S270">
        <v>3.3182039856910997E-2</v>
      </c>
      <c r="T270">
        <f t="shared" si="40"/>
        <v>0</v>
      </c>
      <c r="U270" s="1">
        <v>0.42358659999999998</v>
      </c>
      <c r="V270">
        <v>0</v>
      </c>
    </row>
    <row r="271" spans="1:22">
      <c r="A271" s="1">
        <v>0</v>
      </c>
      <c r="B271" s="1" t="s">
        <v>296</v>
      </c>
      <c r="C271" s="1">
        <v>0</v>
      </c>
      <c r="D271" s="33">
        <v>0</v>
      </c>
      <c r="E271" s="36">
        <v>0</v>
      </c>
      <c r="F271" s="37">
        <v>0</v>
      </c>
      <c r="G271">
        <v>0.31435236300000002</v>
      </c>
      <c r="H271">
        <f t="shared" si="38"/>
        <v>0</v>
      </c>
      <c r="I271">
        <v>0.685064196586609</v>
      </c>
      <c r="J271">
        <f t="shared" si="39"/>
        <v>1</v>
      </c>
      <c r="K271">
        <v>0.12107417732477201</v>
      </c>
      <c r="L271">
        <f t="shared" si="45"/>
        <v>0</v>
      </c>
      <c r="M271">
        <v>7.7324271E-2</v>
      </c>
      <c r="N271">
        <f t="shared" si="46"/>
        <v>0</v>
      </c>
      <c r="O271">
        <v>2.8602490201593E-2</v>
      </c>
      <c r="P271">
        <f t="shared" si="47"/>
        <v>0</v>
      </c>
      <c r="Q271">
        <v>0.290131211</v>
      </c>
      <c r="R271">
        <f t="shared" si="48"/>
        <v>0</v>
      </c>
      <c r="S271">
        <v>2.5511095300317001E-2</v>
      </c>
      <c r="T271">
        <f t="shared" si="40"/>
        <v>0</v>
      </c>
      <c r="U271" s="1">
        <v>0.5003782</v>
      </c>
      <c r="V271">
        <v>0</v>
      </c>
    </row>
    <row r="272" spans="1:22">
      <c r="A272" s="1">
        <v>0</v>
      </c>
      <c r="B272" s="1" t="s">
        <v>297</v>
      </c>
      <c r="C272" s="1">
        <v>0</v>
      </c>
      <c r="D272" s="33">
        <v>1</v>
      </c>
      <c r="E272" s="36">
        <v>0</v>
      </c>
      <c r="F272" s="37">
        <v>0</v>
      </c>
      <c r="G272">
        <v>0.48031669900000001</v>
      </c>
      <c r="H272">
        <f t="shared" si="38"/>
        <v>0</v>
      </c>
      <c r="I272">
        <v>0.99324482679367099</v>
      </c>
      <c r="J272">
        <f t="shared" si="39"/>
        <v>1</v>
      </c>
      <c r="K272">
        <v>0.89000779390335105</v>
      </c>
      <c r="L272">
        <f t="shared" si="45"/>
        <v>1</v>
      </c>
      <c r="M272">
        <v>0.93544459300000005</v>
      </c>
      <c r="N272">
        <f t="shared" si="46"/>
        <v>1</v>
      </c>
      <c r="O272">
        <v>0.86898970603942904</v>
      </c>
      <c r="P272">
        <f t="shared" si="47"/>
        <v>1</v>
      </c>
      <c r="Q272">
        <v>0.329134017</v>
      </c>
      <c r="R272">
        <f t="shared" si="48"/>
        <v>0</v>
      </c>
      <c r="S272">
        <v>0.578910171985626</v>
      </c>
      <c r="T272">
        <f t="shared" si="40"/>
        <v>1</v>
      </c>
      <c r="U272" s="1">
        <v>0.68140579999999995</v>
      </c>
      <c r="V272">
        <v>1</v>
      </c>
    </row>
    <row r="273" spans="1:22">
      <c r="A273" s="1">
        <v>0</v>
      </c>
      <c r="B273" s="1" t="s">
        <v>298</v>
      </c>
      <c r="C273" s="1">
        <v>0</v>
      </c>
      <c r="D273" s="33">
        <v>0</v>
      </c>
      <c r="E273" s="36">
        <v>0</v>
      </c>
      <c r="F273" s="37">
        <v>0</v>
      </c>
      <c r="G273">
        <v>0.136074319</v>
      </c>
      <c r="H273">
        <f t="shared" si="38"/>
        <v>0</v>
      </c>
      <c r="I273">
        <v>0.45548850297927901</v>
      </c>
      <c r="J273">
        <f t="shared" si="39"/>
        <v>0</v>
      </c>
      <c r="K273">
        <v>0.90508937835693404</v>
      </c>
      <c r="L273">
        <f t="shared" si="45"/>
        <v>1</v>
      </c>
      <c r="M273">
        <v>0.20363360599999999</v>
      </c>
      <c r="N273">
        <f t="shared" si="46"/>
        <v>0</v>
      </c>
      <c r="O273">
        <v>4.2530369013548001E-2</v>
      </c>
      <c r="P273">
        <f t="shared" si="47"/>
        <v>0</v>
      </c>
      <c r="Q273">
        <v>0.86856198299999998</v>
      </c>
      <c r="R273">
        <f t="shared" si="48"/>
        <v>1</v>
      </c>
      <c r="S273">
        <v>0.18484662473201699</v>
      </c>
      <c r="T273">
        <f t="shared" si="40"/>
        <v>0</v>
      </c>
      <c r="U273" s="1">
        <v>0.51271515999999995</v>
      </c>
      <c r="V273">
        <v>0</v>
      </c>
    </row>
    <row r="274" spans="1:22">
      <c r="A274" s="1">
        <v>0</v>
      </c>
      <c r="B274" s="1" t="s">
        <v>299</v>
      </c>
      <c r="C274" s="1">
        <v>0</v>
      </c>
      <c r="D274" s="33">
        <v>0</v>
      </c>
      <c r="E274" s="36">
        <v>0</v>
      </c>
      <c r="F274" s="37">
        <v>0</v>
      </c>
      <c r="G274">
        <v>0.85991019000000002</v>
      </c>
      <c r="H274">
        <f t="shared" si="38"/>
        <v>1</v>
      </c>
      <c r="I274">
        <v>0.98778533935546897</v>
      </c>
      <c r="J274">
        <f t="shared" si="39"/>
        <v>1</v>
      </c>
      <c r="K274">
        <v>0.97205227613449097</v>
      </c>
      <c r="L274">
        <f t="shared" si="45"/>
        <v>1</v>
      </c>
      <c r="M274">
        <v>0.95084506300000005</v>
      </c>
      <c r="N274">
        <f t="shared" si="46"/>
        <v>1</v>
      </c>
      <c r="O274">
        <v>0.72275280952453602</v>
      </c>
      <c r="P274">
        <f t="shared" si="47"/>
        <v>1</v>
      </c>
      <c r="Q274">
        <v>0.54967695500000002</v>
      </c>
      <c r="R274">
        <f t="shared" si="48"/>
        <v>1</v>
      </c>
      <c r="S274">
        <v>0.333867728710175</v>
      </c>
      <c r="T274">
        <f t="shared" si="40"/>
        <v>0</v>
      </c>
      <c r="U274" s="1">
        <v>0.75668895000000003</v>
      </c>
      <c r="V274">
        <v>1</v>
      </c>
    </row>
    <row r="275" spans="1:22">
      <c r="A275" s="1">
        <v>0</v>
      </c>
      <c r="B275" s="1" t="s">
        <v>300</v>
      </c>
      <c r="C275" s="1">
        <v>0</v>
      </c>
      <c r="D275" s="33">
        <v>0</v>
      </c>
      <c r="E275" s="36">
        <v>0</v>
      </c>
      <c r="F275" s="37">
        <v>1</v>
      </c>
      <c r="G275" s="30">
        <v>4.5566915999999999E-2</v>
      </c>
      <c r="H275">
        <f t="shared" si="38"/>
        <v>0</v>
      </c>
      <c r="I275">
        <v>1.0463391430676001E-2</v>
      </c>
      <c r="J275">
        <f t="shared" si="39"/>
        <v>0</v>
      </c>
      <c r="K275">
        <v>2.4447523057461E-2</v>
      </c>
      <c r="L275">
        <f t="shared" si="45"/>
        <v>0</v>
      </c>
      <c r="M275">
        <v>2.6805791999999998E-2</v>
      </c>
      <c r="N275">
        <f t="shared" si="46"/>
        <v>0</v>
      </c>
      <c r="O275">
        <v>1.2151301838458001E-2</v>
      </c>
      <c r="P275">
        <f t="shared" si="47"/>
        <v>0</v>
      </c>
      <c r="Q275">
        <v>0.103852071</v>
      </c>
      <c r="R275">
        <f t="shared" si="48"/>
        <v>0</v>
      </c>
      <c r="S275">
        <v>0.194071635603905</v>
      </c>
      <c r="T275">
        <f t="shared" si="40"/>
        <v>0</v>
      </c>
      <c r="U275" s="1">
        <v>0.27123269999999999</v>
      </c>
      <c r="V275">
        <v>0</v>
      </c>
    </row>
    <row r="276" spans="1:22">
      <c r="A276" s="1">
        <v>0</v>
      </c>
      <c r="B276" s="1" t="s">
        <v>301</v>
      </c>
      <c r="C276" s="1">
        <v>0</v>
      </c>
      <c r="D276" s="33">
        <v>1</v>
      </c>
      <c r="E276" s="36">
        <v>0</v>
      </c>
      <c r="F276" s="37">
        <v>0</v>
      </c>
      <c r="G276">
        <v>0.47397345299999999</v>
      </c>
      <c r="H276">
        <f t="shared" si="38"/>
        <v>0</v>
      </c>
      <c r="I276">
        <v>0.99359315633773804</v>
      </c>
      <c r="J276">
        <f t="shared" si="39"/>
        <v>1</v>
      </c>
      <c r="K276">
        <v>0.72897171974182096</v>
      </c>
      <c r="L276">
        <f t="shared" si="45"/>
        <v>1</v>
      </c>
      <c r="M276" s="30">
        <v>0.97173595400000001</v>
      </c>
      <c r="N276">
        <f t="shared" si="46"/>
        <v>1</v>
      </c>
      <c r="O276">
        <v>0.417001932859421</v>
      </c>
      <c r="P276">
        <f t="shared" si="47"/>
        <v>0</v>
      </c>
      <c r="Q276">
        <v>0.49857664099999999</v>
      </c>
      <c r="R276">
        <f t="shared" si="48"/>
        <v>0</v>
      </c>
      <c r="S276">
        <v>0.41873788833618197</v>
      </c>
      <c r="T276">
        <f t="shared" si="40"/>
        <v>0</v>
      </c>
      <c r="U276" s="1">
        <v>0.70669890000000002</v>
      </c>
      <c r="V276">
        <v>1</v>
      </c>
    </row>
    <row r="277" spans="1:22">
      <c r="A277" s="1">
        <v>0</v>
      </c>
      <c r="B277" s="1" t="s">
        <v>302</v>
      </c>
      <c r="C277" s="1">
        <v>0</v>
      </c>
      <c r="D277" s="33">
        <v>0</v>
      </c>
      <c r="E277" s="36">
        <v>0</v>
      </c>
      <c r="F277" s="37">
        <v>0</v>
      </c>
      <c r="G277">
        <v>0.41584831500000002</v>
      </c>
      <c r="H277">
        <f t="shared" si="38"/>
        <v>0</v>
      </c>
      <c r="I277">
        <v>0.35182416439056402</v>
      </c>
      <c r="J277">
        <f t="shared" si="39"/>
        <v>0</v>
      </c>
      <c r="K277">
        <v>0.829770267009735</v>
      </c>
      <c r="L277">
        <f t="shared" si="45"/>
        <v>1</v>
      </c>
      <c r="M277">
        <v>0.82416695399999995</v>
      </c>
      <c r="N277">
        <f t="shared" si="46"/>
        <v>1</v>
      </c>
      <c r="O277">
        <v>0.35970616340637201</v>
      </c>
      <c r="P277">
        <f t="shared" si="47"/>
        <v>0</v>
      </c>
      <c r="Q277">
        <v>0.54304194500000003</v>
      </c>
      <c r="R277">
        <f t="shared" si="48"/>
        <v>1</v>
      </c>
      <c r="S277">
        <v>0.962757349014282</v>
      </c>
      <c r="T277">
        <f t="shared" si="40"/>
        <v>1</v>
      </c>
      <c r="U277" s="1">
        <v>0.6855289</v>
      </c>
      <c r="V277">
        <v>1</v>
      </c>
    </row>
    <row r="278" spans="1:22">
      <c r="A278" s="1">
        <v>0</v>
      </c>
      <c r="B278" s="1" t="s">
        <v>304</v>
      </c>
      <c r="C278" s="1">
        <v>0</v>
      </c>
      <c r="D278" s="33">
        <v>0</v>
      </c>
      <c r="E278" s="36">
        <v>0</v>
      </c>
      <c r="F278" s="37">
        <v>0</v>
      </c>
      <c r="G278" s="30">
        <v>2.8530065E-2</v>
      </c>
      <c r="H278">
        <f t="shared" si="38"/>
        <v>0</v>
      </c>
      <c r="I278">
        <v>3.5156121011819998E-3</v>
      </c>
      <c r="J278">
        <f t="shared" si="39"/>
        <v>0</v>
      </c>
      <c r="K278">
        <v>2.7891860809180001E-3</v>
      </c>
      <c r="L278">
        <f t="shared" si="45"/>
        <v>0</v>
      </c>
      <c r="M278">
        <v>1.3685891E-2</v>
      </c>
      <c r="N278">
        <f t="shared" si="46"/>
        <v>0</v>
      </c>
      <c r="O278">
        <v>3.3061154186725998E-2</v>
      </c>
      <c r="P278">
        <f t="shared" si="47"/>
        <v>0</v>
      </c>
      <c r="Q278">
        <v>0.14420460199999999</v>
      </c>
      <c r="R278">
        <f t="shared" si="48"/>
        <v>0</v>
      </c>
      <c r="S278">
        <v>3.9696920663118002E-2</v>
      </c>
      <c r="T278">
        <f t="shared" si="40"/>
        <v>0</v>
      </c>
      <c r="U278" s="1">
        <v>0.4896472</v>
      </c>
      <c r="V278">
        <v>0</v>
      </c>
    </row>
    <row r="279" spans="1:22">
      <c r="A279" s="1">
        <v>0</v>
      </c>
      <c r="B279" s="1" t="s">
        <v>305</v>
      </c>
      <c r="C279" s="1">
        <v>0</v>
      </c>
      <c r="D279" s="33">
        <v>1</v>
      </c>
      <c r="E279" s="36">
        <v>0</v>
      </c>
      <c r="F279" s="37">
        <v>0</v>
      </c>
      <c r="G279">
        <v>0.216015086</v>
      </c>
      <c r="H279">
        <f t="shared" si="38"/>
        <v>0</v>
      </c>
      <c r="I279">
        <v>5.3696505725384001E-2</v>
      </c>
      <c r="J279">
        <f t="shared" si="39"/>
        <v>0</v>
      </c>
      <c r="K279">
        <v>6.1648551374674003E-2</v>
      </c>
      <c r="L279">
        <f t="shared" si="45"/>
        <v>0</v>
      </c>
      <c r="M279">
        <v>2.6976851999999999E-2</v>
      </c>
      <c r="N279">
        <f t="shared" si="46"/>
        <v>0</v>
      </c>
      <c r="O279">
        <v>3.1357694417238E-2</v>
      </c>
      <c r="P279">
        <f t="shared" si="47"/>
        <v>0</v>
      </c>
      <c r="Q279">
        <v>0.19695098699999999</v>
      </c>
      <c r="R279">
        <f t="shared" si="48"/>
        <v>0</v>
      </c>
      <c r="S279">
        <v>9.3974404036998999E-2</v>
      </c>
      <c r="T279">
        <f t="shared" si="40"/>
        <v>0</v>
      </c>
      <c r="U279" s="1">
        <v>0.23330540999999999</v>
      </c>
      <c r="V279">
        <v>0</v>
      </c>
    </row>
    <row r="280" spans="1:22">
      <c r="A280" s="1">
        <v>0</v>
      </c>
      <c r="B280" s="1" t="s">
        <v>306</v>
      </c>
      <c r="C280" s="1">
        <v>0</v>
      </c>
      <c r="D280" s="33">
        <v>0</v>
      </c>
      <c r="E280" s="36">
        <v>0</v>
      </c>
      <c r="F280" s="37">
        <v>0</v>
      </c>
      <c r="G280">
        <v>8.3798899999999996E-2</v>
      </c>
      <c r="H280">
        <f t="shared" si="38"/>
        <v>0</v>
      </c>
      <c r="I280">
        <v>0.19022551178932201</v>
      </c>
      <c r="J280">
        <f t="shared" si="39"/>
        <v>0</v>
      </c>
      <c r="K280">
        <v>7.1655213832855003E-2</v>
      </c>
      <c r="L280">
        <f t="shared" si="45"/>
        <v>0</v>
      </c>
      <c r="M280">
        <v>2.7900146000000001E-2</v>
      </c>
      <c r="N280">
        <f t="shared" si="46"/>
        <v>0</v>
      </c>
      <c r="O280">
        <v>5.5914796888828E-2</v>
      </c>
      <c r="P280">
        <f t="shared" si="47"/>
        <v>0</v>
      </c>
      <c r="Q280">
        <v>0.21170865</v>
      </c>
      <c r="R280">
        <f t="shared" si="48"/>
        <v>0</v>
      </c>
      <c r="S280">
        <v>1.0172657668591E-2</v>
      </c>
      <c r="T280">
        <f t="shared" si="40"/>
        <v>0</v>
      </c>
      <c r="U280" s="1">
        <v>0.32699889999999998</v>
      </c>
      <c r="V280">
        <v>0</v>
      </c>
    </row>
    <row r="281" spans="1:22">
      <c r="A281" s="1">
        <v>0</v>
      </c>
      <c r="B281" s="1" t="s">
        <v>307</v>
      </c>
      <c r="C281" s="1">
        <v>0</v>
      </c>
      <c r="D281" s="33">
        <v>1</v>
      </c>
      <c r="E281" s="36">
        <v>0</v>
      </c>
      <c r="F281" s="37">
        <v>1</v>
      </c>
      <c r="G281">
        <v>0.30558648700000002</v>
      </c>
      <c r="H281">
        <f t="shared" si="38"/>
        <v>0</v>
      </c>
      <c r="I281">
        <v>2.2121205925942002E-2</v>
      </c>
      <c r="J281">
        <f t="shared" si="39"/>
        <v>0</v>
      </c>
      <c r="K281">
        <v>0.14857029914855999</v>
      </c>
      <c r="L281">
        <f t="shared" si="45"/>
        <v>0</v>
      </c>
      <c r="M281" s="30">
        <v>8.1292673999999995E-2</v>
      </c>
      <c r="N281">
        <f t="shared" si="46"/>
        <v>0</v>
      </c>
      <c r="O281">
        <v>2.7962448075413999E-2</v>
      </c>
      <c r="P281">
        <f t="shared" si="47"/>
        <v>0</v>
      </c>
      <c r="Q281">
        <v>0.59891015299999995</v>
      </c>
      <c r="R281">
        <f t="shared" si="48"/>
        <v>1</v>
      </c>
      <c r="S281">
        <v>0.14039975404739399</v>
      </c>
      <c r="T281">
        <f t="shared" si="40"/>
        <v>0</v>
      </c>
      <c r="U281" s="1">
        <v>0.41266113999999998</v>
      </c>
      <c r="V281">
        <v>0</v>
      </c>
    </row>
    <row r="282" spans="1:22">
      <c r="A282" s="1">
        <v>0</v>
      </c>
      <c r="B282" s="5" t="s">
        <v>308</v>
      </c>
      <c r="C282" s="1">
        <v>0</v>
      </c>
      <c r="D282" s="33">
        <v>0</v>
      </c>
      <c r="E282" s="36">
        <v>0</v>
      </c>
      <c r="F282" s="37">
        <v>0</v>
      </c>
      <c r="G282" s="30">
        <v>1.9423238999999998E-2</v>
      </c>
      <c r="H282">
        <f t="shared" si="38"/>
        <v>0</v>
      </c>
      <c r="I282" s="30">
        <v>6.79511213093065E-5</v>
      </c>
      <c r="J282">
        <f t="shared" si="39"/>
        <v>0</v>
      </c>
      <c r="K282" s="30">
        <v>1.655660918914E-3</v>
      </c>
      <c r="L282">
        <f t="shared" si="45"/>
        <v>0</v>
      </c>
      <c r="M282">
        <v>4.1111000000000001E-4</v>
      </c>
      <c r="N282">
        <f t="shared" si="46"/>
        <v>0</v>
      </c>
      <c r="O282">
        <v>1.8676148029040001E-3</v>
      </c>
      <c r="P282">
        <f t="shared" si="47"/>
        <v>0</v>
      </c>
      <c r="Q282" s="30">
        <v>6.1898007999999997E-2</v>
      </c>
      <c r="R282">
        <f t="shared" si="48"/>
        <v>0</v>
      </c>
      <c r="S282" s="30">
        <v>2.7102588210259999E-3</v>
      </c>
      <c r="T282">
        <f t="shared" si="40"/>
        <v>0</v>
      </c>
      <c r="U282" s="5">
        <v>0.1698257</v>
      </c>
      <c r="V282">
        <v>0</v>
      </c>
    </row>
    <row r="283" spans="1:22">
      <c r="A283" s="1">
        <v>0</v>
      </c>
      <c r="B283" s="1" t="s">
        <v>310</v>
      </c>
      <c r="C283" s="1">
        <v>0</v>
      </c>
      <c r="D283" s="33">
        <v>0</v>
      </c>
      <c r="E283" s="36">
        <v>0</v>
      </c>
      <c r="F283" s="37">
        <v>0</v>
      </c>
      <c r="G283">
        <v>5.9799984E-2</v>
      </c>
      <c r="H283">
        <f t="shared" si="38"/>
        <v>0</v>
      </c>
      <c r="I283">
        <v>3.6820915993299999E-3</v>
      </c>
      <c r="J283">
        <f t="shared" si="39"/>
        <v>0</v>
      </c>
      <c r="K283">
        <v>2.496174536645E-3</v>
      </c>
      <c r="L283">
        <f t="shared" si="45"/>
        <v>0</v>
      </c>
      <c r="M283">
        <v>7.4184400000000001E-3</v>
      </c>
      <c r="N283">
        <f t="shared" si="46"/>
        <v>0</v>
      </c>
      <c r="O283">
        <v>1.3013040646911E-2</v>
      </c>
      <c r="P283">
        <f t="shared" si="47"/>
        <v>0</v>
      </c>
      <c r="Q283" s="30">
        <v>0.116568409</v>
      </c>
      <c r="R283">
        <f t="shared" si="48"/>
        <v>0</v>
      </c>
      <c r="S283">
        <v>4.6942490153010002E-3</v>
      </c>
      <c r="T283">
        <f t="shared" si="40"/>
        <v>0</v>
      </c>
      <c r="U283" s="1">
        <v>0.16372444999999999</v>
      </c>
      <c r="V283">
        <v>0</v>
      </c>
    </row>
    <row r="284" spans="1:22">
      <c r="A284" s="1">
        <v>0</v>
      </c>
      <c r="B284" s="1" t="s">
        <v>311</v>
      </c>
      <c r="C284" s="1">
        <v>0</v>
      </c>
      <c r="D284" s="33">
        <v>0</v>
      </c>
      <c r="E284" s="36">
        <v>0</v>
      </c>
      <c r="F284" s="37">
        <v>0</v>
      </c>
      <c r="G284">
        <v>5.3351036999999997E-2</v>
      </c>
      <c r="H284">
        <f t="shared" si="38"/>
        <v>0</v>
      </c>
      <c r="I284">
        <v>5.7374476455149996E-3</v>
      </c>
      <c r="J284">
        <f t="shared" si="39"/>
        <v>0</v>
      </c>
      <c r="K284">
        <v>1.8273800611495999E-2</v>
      </c>
      <c r="L284">
        <f t="shared" si="45"/>
        <v>0</v>
      </c>
      <c r="M284">
        <v>1.3501134E-2</v>
      </c>
      <c r="N284">
        <f t="shared" si="46"/>
        <v>0</v>
      </c>
      <c r="O284">
        <v>1.9085948588329999E-3</v>
      </c>
      <c r="P284">
        <f t="shared" si="47"/>
        <v>0</v>
      </c>
      <c r="Q284">
        <v>9.2816240999999994E-2</v>
      </c>
      <c r="R284">
        <f t="shared" si="48"/>
        <v>0</v>
      </c>
      <c r="S284">
        <v>9.2662934912399999E-4</v>
      </c>
      <c r="T284">
        <f t="shared" si="40"/>
        <v>0</v>
      </c>
      <c r="U284" s="1">
        <v>8.8867255000000006E-2</v>
      </c>
      <c r="V284">
        <v>0</v>
      </c>
    </row>
    <row r="285" spans="1:22">
      <c r="A285" s="1">
        <v>0</v>
      </c>
      <c r="B285" s="1" t="s">
        <v>312</v>
      </c>
      <c r="C285" s="1">
        <v>0</v>
      </c>
      <c r="D285" s="33">
        <v>0</v>
      </c>
      <c r="E285" s="36">
        <v>0</v>
      </c>
      <c r="F285" s="37">
        <v>0</v>
      </c>
      <c r="G285" s="30">
        <v>9.8189189999999996E-2</v>
      </c>
      <c r="H285">
        <f t="shared" si="38"/>
        <v>0</v>
      </c>
      <c r="I285" s="30">
        <v>3.5838458687066997E-2</v>
      </c>
      <c r="J285">
        <f t="shared" si="39"/>
        <v>0</v>
      </c>
      <c r="K285" s="30">
        <v>1.6027657315134999E-2</v>
      </c>
      <c r="L285">
        <f t="shared" si="45"/>
        <v>0</v>
      </c>
      <c r="M285">
        <v>2.1761570000000002E-3</v>
      </c>
      <c r="N285">
        <f t="shared" si="46"/>
        <v>0</v>
      </c>
      <c r="O285">
        <v>3.6970023065810002E-3</v>
      </c>
      <c r="P285">
        <f t="shared" si="47"/>
        <v>0</v>
      </c>
      <c r="Q285" s="30">
        <v>0.19272419800000001</v>
      </c>
      <c r="R285">
        <f t="shared" si="48"/>
        <v>0</v>
      </c>
      <c r="S285">
        <v>3.05509660393E-3</v>
      </c>
      <c r="T285">
        <f t="shared" si="40"/>
        <v>0</v>
      </c>
      <c r="U285" s="1">
        <v>0.38515916</v>
      </c>
      <c r="V285">
        <v>0</v>
      </c>
    </row>
    <row r="286" spans="1:22">
      <c r="A286" s="1">
        <v>0</v>
      </c>
      <c r="B286" s="1" t="s">
        <v>313</v>
      </c>
      <c r="C286" s="1">
        <v>0</v>
      </c>
      <c r="D286" s="33">
        <v>0</v>
      </c>
      <c r="E286" s="36">
        <v>0</v>
      </c>
      <c r="F286" s="37">
        <v>0</v>
      </c>
      <c r="G286">
        <v>2.3385894000000001E-2</v>
      </c>
      <c r="H286">
        <f t="shared" si="38"/>
        <v>0</v>
      </c>
      <c r="I286">
        <v>5.5013839155435999E-2</v>
      </c>
      <c r="J286">
        <f t="shared" si="39"/>
        <v>0</v>
      </c>
      <c r="K286">
        <v>3.5292286425829003E-2</v>
      </c>
      <c r="L286">
        <f t="shared" si="45"/>
        <v>0</v>
      </c>
      <c r="M286">
        <v>0.50143331300000005</v>
      </c>
      <c r="N286">
        <f t="shared" si="46"/>
        <v>1</v>
      </c>
      <c r="O286">
        <v>2.907812781632E-2</v>
      </c>
      <c r="P286">
        <f t="shared" si="47"/>
        <v>0</v>
      </c>
      <c r="Q286">
        <v>0.26527860800000003</v>
      </c>
      <c r="R286">
        <f t="shared" si="48"/>
        <v>0</v>
      </c>
      <c r="S286">
        <v>0.151801958680153</v>
      </c>
      <c r="T286">
        <f t="shared" si="40"/>
        <v>0</v>
      </c>
      <c r="U286" s="1">
        <v>0.39952559999999998</v>
      </c>
      <c r="V286">
        <v>0</v>
      </c>
    </row>
    <row r="287" spans="1:22">
      <c r="A287" s="1">
        <v>0</v>
      </c>
      <c r="B287" s="1" t="s">
        <v>314</v>
      </c>
      <c r="C287" s="1">
        <v>0</v>
      </c>
      <c r="D287" s="33">
        <v>0</v>
      </c>
      <c r="E287" s="36">
        <v>0</v>
      </c>
      <c r="F287" s="37">
        <v>0</v>
      </c>
      <c r="G287" s="30">
        <v>5.1908884000000002E-2</v>
      </c>
      <c r="H287">
        <f t="shared" si="38"/>
        <v>0</v>
      </c>
      <c r="I287">
        <v>1.008212915622E-3</v>
      </c>
      <c r="J287">
        <f t="shared" si="39"/>
        <v>0</v>
      </c>
      <c r="K287">
        <v>2.3824552772599999E-4</v>
      </c>
      <c r="L287">
        <f t="shared" si="45"/>
        <v>0</v>
      </c>
      <c r="M287" s="30">
        <v>2.8807577000000001E-2</v>
      </c>
      <c r="N287">
        <f t="shared" si="46"/>
        <v>0</v>
      </c>
      <c r="O287">
        <v>1.3731400249530001E-3</v>
      </c>
      <c r="P287">
        <f t="shared" si="47"/>
        <v>0</v>
      </c>
      <c r="Q287">
        <v>9.3571401999999998E-2</v>
      </c>
      <c r="R287">
        <f t="shared" si="48"/>
        <v>0</v>
      </c>
      <c r="S287">
        <v>5.4089759942099996E-4</v>
      </c>
      <c r="T287">
        <f t="shared" si="40"/>
        <v>0</v>
      </c>
      <c r="U287" s="1">
        <v>0.14150096000000001</v>
      </c>
      <c r="V287">
        <v>0</v>
      </c>
    </row>
    <row r="288" spans="1:22">
      <c r="A288" s="1">
        <v>0</v>
      </c>
      <c r="B288" s="1" t="s">
        <v>315</v>
      </c>
      <c r="C288" s="1">
        <v>0</v>
      </c>
      <c r="D288" s="33">
        <v>0</v>
      </c>
      <c r="E288" s="36">
        <v>0</v>
      </c>
      <c r="F288" s="37">
        <v>0</v>
      </c>
      <c r="G288">
        <v>4.8484486E-2</v>
      </c>
      <c r="H288">
        <f t="shared" si="38"/>
        <v>0</v>
      </c>
      <c r="I288" s="30">
        <v>2.5580434128641999E-2</v>
      </c>
      <c r="J288">
        <f t="shared" si="39"/>
        <v>0</v>
      </c>
      <c r="K288">
        <v>2.1219169721007E-2</v>
      </c>
      <c r="L288">
        <f t="shared" si="45"/>
        <v>0</v>
      </c>
      <c r="M288">
        <v>1.8251929E-2</v>
      </c>
      <c r="N288">
        <f t="shared" si="46"/>
        <v>0</v>
      </c>
      <c r="O288">
        <v>6.7592717707156996E-2</v>
      </c>
      <c r="P288">
        <f t="shared" si="47"/>
        <v>0</v>
      </c>
      <c r="Q288">
        <v>4.9676508000000001E-2</v>
      </c>
      <c r="R288">
        <f t="shared" si="48"/>
        <v>0</v>
      </c>
      <c r="S288">
        <v>8.2935318350790006E-3</v>
      </c>
      <c r="T288">
        <f t="shared" si="40"/>
        <v>0</v>
      </c>
      <c r="U288" s="1">
        <v>6.5130233999999995E-2</v>
      </c>
      <c r="V288">
        <v>0</v>
      </c>
    </row>
    <row r="289" spans="1:22">
      <c r="A289" s="1">
        <v>0</v>
      </c>
      <c r="B289" s="1" t="s">
        <v>316</v>
      </c>
      <c r="C289" s="1">
        <v>0</v>
      </c>
      <c r="D289" s="33">
        <v>0</v>
      </c>
      <c r="E289" s="36">
        <v>0</v>
      </c>
      <c r="F289" s="37">
        <v>0</v>
      </c>
      <c r="G289">
        <v>0.17687317699999999</v>
      </c>
      <c r="H289">
        <f t="shared" si="38"/>
        <v>0</v>
      </c>
      <c r="I289">
        <v>0.73775184154510498</v>
      </c>
      <c r="J289">
        <f t="shared" si="39"/>
        <v>1</v>
      </c>
      <c r="K289">
        <v>0.117566294968128</v>
      </c>
      <c r="L289">
        <f t="shared" si="45"/>
        <v>0</v>
      </c>
      <c r="M289">
        <v>0.41155713799999999</v>
      </c>
      <c r="N289">
        <f t="shared" si="46"/>
        <v>0</v>
      </c>
      <c r="O289">
        <v>0.233039930462837</v>
      </c>
      <c r="P289">
        <f t="shared" si="47"/>
        <v>0</v>
      </c>
      <c r="Q289">
        <v>0.480016887</v>
      </c>
      <c r="R289">
        <f t="shared" si="48"/>
        <v>0</v>
      </c>
      <c r="S289">
        <v>6.8358093500136996E-2</v>
      </c>
      <c r="T289">
        <f t="shared" si="40"/>
        <v>0</v>
      </c>
      <c r="U289" s="1">
        <v>0.7017236</v>
      </c>
      <c r="V289">
        <v>1</v>
      </c>
    </row>
    <row r="290" spans="1:22">
      <c r="A290" s="1">
        <v>0</v>
      </c>
      <c r="B290" s="1" t="s">
        <v>317</v>
      </c>
      <c r="C290" s="1">
        <v>0</v>
      </c>
      <c r="D290" s="33">
        <v>1</v>
      </c>
      <c r="E290" s="37">
        <v>1</v>
      </c>
      <c r="F290" s="37">
        <v>0</v>
      </c>
      <c r="G290">
        <v>0.203546643</v>
      </c>
      <c r="H290">
        <f t="shared" si="38"/>
        <v>0</v>
      </c>
      <c r="I290">
        <v>7.0450007915497007E-2</v>
      </c>
      <c r="J290">
        <f t="shared" si="39"/>
        <v>0</v>
      </c>
      <c r="K290">
        <v>0.37967225909233099</v>
      </c>
      <c r="L290">
        <f t="shared" si="45"/>
        <v>0</v>
      </c>
      <c r="M290">
        <v>0.21041594399999999</v>
      </c>
      <c r="N290">
        <f t="shared" si="46"/>
        <v>0</v>
      </c>
      <c r="O290">
        <v>3.9829000830650003E-2</v>
      </c>
      <c r="P290">
        <f t="shared" si="47"/>
        <v>0</v>
      </c>
      <c r="Q290">
        <v>8.1823810999999996E-2</v>
      </c>
      <c r="R290">
        <f t="shared" si="48"/>
        <v>0</v>
      </c>
      <c r="S290">
        <v>2.4394104257230002E-3</v>
      </c>
      <c r="T290">
        <f t="shared" si="40"/>
        <v>0</v>
      </c>
      <c r="U290" s="1">
        <v>0.54662679999999997</v>
      </c>
      <c r="V290">
        <v>0</v>
      </c>
    </row>
    <row r="291" spans="1:22">
      <c r="A291" s="1">
        <v>0</v>
      </c>
      <c r="B291" s="1" t="s">
        <v>318</v>
      </c>
      <c r="C291" s="1">
        <v>0</v>
      </c>
      <c r="D291" s="33">
        <v>1</v>
      </c>
      <c r="E291" s="37">
        <v>1</v>
      </c>
      <c r="F291" s="37">
        <v>1</v>
      </c>
      <c r="G291">
        <v>0.491326451</v>
      </c>
      <c r="H291">
        <f t="shared" si="38"/>
        <v>0</v>
      </c>
      <c r="I291">
        <v>0.88053864240646396</v>
      </c>
      <c r="J291">
        <f t="shared" si="39"/>
        <v>1</v>
      </c>
      <c r="K291">
        <v>0.96210896968841597</v>
      </c>
      <c r="L291">
        <f t="shared" si="45"/>
        <v>1</v>
      </c>
      <c r="M291">
        <v>0.69836032400000003</v>
      </c>
      <c r="N291">
        <f t="shared" si="46"/>
        <v>1</v>
      </c>
      <c r="O291">
        <v>0.89214199781417802</v>
      </c>
      <c r="P291">
        <f t="shared" si="47"/>
        <v>1</v>
      </c>
      <c r="Q291">
        <v>0.39577567600000002</v>
      </c>
      <c r="R291">
        <f t="shared" si="48"/>
        <v>0</v>
      </c>
      <c r="S291">
        <v>0.84177893400192305</v>
      </c>
      <c r="T291">
        <f t="shared" si="40"/>
        <v>1</v>
      </c>
      <c r="U291" s="1">
        <v>0.45097658000000002</v>
      </c>
      <c r="V291">
        <v>0</v>
      </c>
    </row>
    <row r="292" spans="1:22">
      <c r="A292" s="1">
        <v>0</v>
      </c>
      <c r="B292" s="1" t="s">
        <v>319</v>
      </c>
      <c r="C292" s="1">
        <v>0</v>
      </c>
      <c r="D292" s="33">
        <v>1</v>
      </c>
      <c r="E292" s="36">
        <v>0</v>
      </c>
      <c r="F292" s="37">
        <v>1</v>
      </c>
      <c r="G292">
        <v>0.149054348</v>
      </c>
      <c r="H292">
        <f t="shared" si="38"/>
        <v>0</v>
      </c>
      <c r="I292">
        <v>2.6667905971408001E-2</v>
      </c>
      <c r="J292">
        <f t="shared" si="39"/>
        <v>0</v>
      </c>
      <c r="K292">
        <v>5.601137876511E-3</v>
      </c>
      <c r="L292">
        <f t="shared" si="45"/>
        <v>0</v>
      </c>
      <c r="M292">
        <v>0.15933196199999999</v>
      </c>
      <c r="N292">
        <f t="shared" si="46"/>
        <v>0</v>
      </c>
      <c r="O292">
        <v>3.6693610250949998E-2</v>
      </c>
      <c r="P292">
        <f t="shared" si="47"/>
        <v>0</v>
      </c>
      <c r="Q292">
        <v>0.57216936299999999</v>
      </c>
      <c r="R292">
        <f t="shared" si="48"/>
        <v>1</v>
      </c>
      <c r="S292">
        <v>6.7694564349950002E-3</v>
      </c>
      <c r="T292">
        <f t="shared" si="40"/>
        <v>0</v>
      </c>
      <c r="U292" s="1">
        <v>0.40275893000000001</v>
      </c>
      <c r="V292">
        <v>0</v>
      </c>
    </row>
    <row r="293" spans="1:22">
      <c r="A293" s="1">
        <v>0</v>
      </c>
      <c r="B293" s="1" t="s">
        <v>321</v>
      </c>
      <c r="C293" s="1">
        <v>0</v>
      </c>
      <c r="D293" s="33">
        <v>0</v>
      </c>
      <c r="E293" s="36">
        <v>0</v>
      </c>
      <c r="F293" s="37">
        <v>0</v>
      </c>
      <c r="G293">
        <v>4.1831166000000003E-2</v>
      </c>
      <c r="H293">
        <f t="shared" si="38"/>
        <v>0</v>
      </c>
      <c r="I293">
        <v>3.4246414899826001E-2</v>
      </c>
      <c r="J293">
        <f t="shared" si="39"/>
        <v>0</v>
      </c>
      <c r="K293">
        <v>0.20330069959163699</v>
      </c>
      <c r="L293">
        <f t="shared" si="45"/>
        <v>0</v>
      </c>
      <c r="M293" s="30">
        <v>1.8061622999999999E-2</v>
      </c>
      <c r="N293">
        <f t="shared" si="46"/>
        <v>0</v>
      </c>
      <c r="O293">
        <v>1.9037069752812E-2</v>
      </c>
      <c r="P293">
        <f t="shared" si="47"/>
        <v>0</v>
      </c>
      <c r="Q293">
        <v>0.75418728599999996</v>
      </c>
      <c r="R293">
        <f t="shared" si="48"/>
        <v>1</v>
      </c>
      <c r="S293">
        <v>2.7483603917060001E-3</v>
      </c>
      <c r="T293">
        <f t="shared" si="40"/>
        <v>0</v>
      </c>
      <c r="U293" s="1">
        <v>0.40584037000000001</v>
      </c>
      <c r="V293">
        <v>0</v>
      </c>
    </row>
    <row r="294" spans="1:22">
      <c r="A294" s="1">
        <v>0</v>
      </c>
      <c r="B294" s="1" t="s">
        <v>322</v>
      </c>
      <c r="C294" s="1">
        <v>0</v>
      </c>
      <c r="D294" s="33">
        <v>0</v>
      </c>
      <c r="E294" s="36">
        <v>0</v>
      </c>
      <c r="F294" s="37">
        <v>0</v>
      </c>
      <c r="G294">
        <v>0.230163127</v>
      </c>
      <c r="H294">
        <f t="shared" si="38"/>
        <v>0</v>
      </c>
      <c r="I294">
        <v>4.2344890534877999E-2</v>
      </c>
      <c r="J294">
        <f t="shared" si="39"/>
        <v>0</v>
      </c>
      <c r="K294">
        <v>0.47128778696060197</v>
      </c>
      <c r="L294">
        <f t="shared" si="45"/>
        <v>0</v>
      </c>
      <c r="M294">
        <v>4.6335100000000004E-3</v>
      </c>
      <c r="N294">
        <f t="shared" si="46"/>
        <v>0</v>
      </c>
      <c r="O294">
        <v>0.18841636180877699</v>
      </c>
      <c r="P294">
        <f t="shared" si="47"/>
        <v>0</v>
      </c>
      <c r="Q294">
        <v>0.29644948199999999</v>
      </c>
      <c r="R294">
        <f t="shared" si="48"/>
        <v>0</v>
      </c>
      <c r="S294">
        <v>1.8908965284899999E-4</v>
      </c>
      <c r="T294">
        <f t="shared" si="40"/>
        <v>0</v>
      </c>
      <c r="U294" s="1">
        <v>0.21479537000000001</v>
      </c>
      <c r="V294">
        <v>0</v>
      </c>
    </row>
    <row r="295" spans="1:22">
      <c r="A295" s="1">
        <v>0</v>
      </c>
      <c r="B295" s="1" t="s">
        <v>323</v>
      </c>
      <c r="C295" s="1">
        <v>0</v>
      </c>
      <c r="D295" s="33">
        <v>1</v>
      </c>
      <c r="E295" s="36">
        <v>1</v>
      </c>
      <c r="F295" s="37">
        <v>0</v>
      </c>
      <c r="G295">
        <v>0.65563488000000003</v>
      </c>
      <c r="H295">
        <f t="shared" si="38"/>
        <v>1</v>
      </c>
      <c r="I295">
        <v>4.5427184551953999E-2</v>
      </c>
      <c r="J295">
        <f t="shared" si="39"/>
        <v>0</v>
      </c>
      <c r="K295">
        <v>1.0087753646076E-2</v>
      </c>
      <c r="L295">
        <f t="shared" si="45"/>
        <v>0</v>
      </c>
      <c r="M295" s="30">
        <v>7.9374254000000005E-2</v>
      </c>
      <c r="N295">
        <f t="shared" si="46"/>
        <v>0</v>
      </c>
      <c r="O295">
        <v>8.8324144482612998E-2</v>
      </c>
      <c r="P295">
        <f t="shared" si="47"/>
        <v>0</v>
      </c>
      <c r="Q295">
        <v>0.32738038899999999</v>
      </c>
      <c r="R295">
        <f t="shared" si="48"/>
        <v>0</v>
      </c>
      <c r="S295">
        <v>8.0174319446086995E-2</v>
      </c>
      <c r="T295">
        <f t="shared" si="40"/>
        <v>0</v>
      </c>
      <c r="U295" s="1">
        <v>0.34892040000000002</v>
      </c>
      <c r="V295">
        <v>0</v>
      </c>
    </row>
    <row r="296" spans="1:22">
      <c r="A296" s="1">
        <v>0</v>
      </c>
      <c r="B296" s="1" t="s">
        <v>324</v>
      </c>
      <c r="C296" s="1">
        <v>0</v>
      </c>
      <c r="D296" s="33">
        <v>0</v>
      </c>
      <c r="E296" s="36">
        <v>0</v>
      </c>
      <c r="F296" s="37">
        <v>0</v>
      </c>
      <c r="G296">
        <v>0.12838713800000001</v>
      </c>
      <c r="H296">
        <f t="shared" si="38"/>
        <v>0</v>
      </c>
      <c r="I296">
        <v>3.3340933732690001E-3</v>
      </c>
      <c r="J296">
        <f t="shared" si="39"/>
        <v>0</v>
      </c>
      <c r="K296">
        <v>0.118027456104755</v>
      </c>
      <c r="L296">
        <f t="shared" si="45"/>
        <v>0</v>
      </c>
      <c r="M296">
        <v>0.15917156599999999</v>
      </c>
      <c r="N296">
        <f t="shared" si="46"/>
        <v>0</v>
      </c>
      <c r="O296">
        <v>6.0252621769905E-2</v>
      </c>
      <c r="P296">
        <f t="shared" si="47"/>
        <v>0</v>
      </c>
      <c r="Q296">
        <v>0.516057074</v>
      </c>
      <c r="R296">
        <f t="shared" si="48"/>
        <v>1</v>
      </c>
      <c r="S296">
        <v>1.1284567415714E-2</v>
      </c>
      <c r="T296">
        <f t="shared" si="40"/>
        <v>0</v>
      </c>
      <c r="U296" s="1">
        <v>0.54911100000000002</v>
      </c>
      <c r="V296">
        <v>0</v>
      </c>
    </row>
    <row r="297" spans="1:22">
      <c r="A297" s="1">
        <v>0</v>
      </c>
      <c r="B297" s="1" t="s">
        <v>325</v>
      </c>
      <c r="C297" s="1">
        <v>0</v>
      </c>
      <c r="D297" s="33">
        <v>0</v>
      </c>
      <c r="E297" s="36">
        <v>0</v>
      </c>
      <c r="F297" s="37">
        <v>0</v>
      </c>
      <c r="G297">
        <v>0.62824696300000005</v>
      </c>
      <c r="H297">
        <f t="shared" si="38"/>
        <v>1</v>
      </c>
      <c r="I297">
        <v>0.22046966850757599</v>
      </c>
      <c r="J297">
        <f t="shared" si="39"/>
        <v>0</v>
      </c>
      <c r="K297">
        <v>0.30938774347305298</v>
      </c>
      <c r="L297">
        <f t="shared" si="45"/>
        <v>0</v>
      </c>
      <c r="M297">
        <v>0.20440124000000001</v>
      </c>
      <c r="N297">
        <f t="shared" si="46"/>
        <v>0</v>
      </c>
      <c r="O297">
        <v>0.10767351090908001</v>
      </c>
      <c r="P297">
        <f t="shared" si="47"/>
        <v>0</v>
      </c>
      <c r="Q297">
        <v>0.50214916499999995</v>
      </c>
      <c r="R297">
        <f t="shared" si="48"/>
        <v>1</v>
      </c>
      <c r="S297">
        <v>0.34419891238212602</v>
      </c>
      <c r="T297">
        <f t="shared" si="40"/>
        <v>0</v>
      </c>
      <c r="U297" s="1">
        <v>0.57264150000000003</v>
      </c>
      <c r="V297">
        <v>0</v>
      </c>
    </row>
    <row r="298" spans="1:22">
      <c r="A298" s="1">
        <v>0</v>
      </c>
      <c r="B298" s="1" t="s">
        <v>326</v>
      </c>
      <c r="C298" s="1">
        <v>0</v>
      </c>
      <c r="D298" s="33">
        <v>0</v>
      </c>
      <c r="E298" s="36">
        <v>0</v>
      </c>
      <c r="F298" s="37">
        <v>0</v>
      </c>
      <c r="G298" s="30">
        <v>5.8002158999999998E-2</v>
      </c>
      <c r="H298">
        <f t="shared" si="38"/>
        <v>0</v>
      </c>
      <c r="I298">
        <v>2.5200394447889999E-3</v>
      </c>
      <c r="J298">
        <f t="shared" si="39"/>
        <v>0</v>
      </c>
      <c r="K298">
        <v>1.6282798722385999E-2</v>
      </c>
      <c r="L298">
        <f t="shared" si="45"/>
        <v>0</v>
      </c>
      <c r="M298">
        <v>2.2522204000000001E-2</v>
      </c>
      <c r="N298">
        <f t="shared" si="46"/>
        <v>0</v>
      </c>
      <c r="O298">
        <v>6.6157062537969998E-3</v>
      </c>
      <c r="P298">
        <f t="shared" si="47"/>
        <v>0</v>
      </c>
      <c r="Q298">
        <v>0.30537343</v>
      </c>
      <c r="R298">
        <f t="shared" si="48"/>
        <v>0</v>
      </c>
      <c r="S298">
        <v>6.0254689306019999E-3</v>
      </c>
      <c r="T298">
        <f t="shared" si="40"/>
        <v>0</v>
      </c>
      <c r="U298" s="1">
        <v>0.37642977</v>
      </c>
      <c r="V298">
        <v>0</v>
      </c>
    </row>
    <row r="299" spans="1:22">
      <c r="A299" s="1">
        <v>0</v>
      </c>
      <c r="B299" s="1" t="s">
        <v>327</v>
      </c>
      <c r="C299" s="1">
        <v>0</v>
      </c>
      <c r="D299" s="33">
        <v>0</v>
      </c>
      <c r="E299" s="36">
        <v>0</v>
      </c>
      <c r="F299" s="37">
        <v>0</v>
      </c>
      <c r="G299">
        <v>0.65702647000000003</v>
      </c>
      <c r="H299">
        <f t="shared" si="38"/>
        <v>1</v>
      </c>
      <c r="I299">
        <v>0.90210068225860596</v>
      </c>
      <c r="J299">
        <f t="shared" si="39"/>
        <v>1</v>
      </c>
      <c r="K299">
        <v>0.89263892173767101</v>
      </c>
      <c r="L299">
        <f t="shared" si="45"/>
        <v>1</v>
      </c>
      <c r="M299">
        <v>0.55469703699999995</v>
      </c>
      <c r="N299">
        <f t="shared" si="46"/>
        <v>1</v>
      </c>
      <c r="O299">
        <v>0.28732305765152</v>
      </c>
      <c r="P299">
        <f t="shared" si="47"/>
        <v>0</v>
      </c>
      <c r="Q299">
        <v>0.67291033300000003</v>
      </c>
      <c r="R299">
        <f t="shared" si="48"/>
        <v>1</v>
      </c>
      <c r="S299">
        <v>4.676342010498E-3</v>
      </c>
      <c r="T299">
        <f t="shared" si="40"/>
        <v>0</v>
      </c>
      <c r="U299" s="1">
        <v>0.54409719999999995</v>
      </c>
      <c r="V299">
        <v>0</v>
      </c>
    </row>
    <row r="300" spans="1:22">
      <c r="A300" s="1">
        <v>0</v>
      </c>
      <c r="B300" s="1" t="s">
        <v>328</v>
      </c>
      <c r="C300" s="1">
        <v>0</v>
      </c>
      <c r="D300" s="33">
        <v>0</v>
      </c>
      <c r="E300" s="36">
        <v>0</v>
      </c>
      <c r="F300" s="37">
        <v>0</v>
      </c>
      <c r="G300" s="30">
        <v>9.4568450000000002E-3</v>
      </c>
      <c r="H300">
        <f t="shared" si="38"/>
        <v>0</v>
      </c>
      <c r="I300" s="30">
        <v>5.3926988039199996E-4</v>
      </c>
      <c r="J300">
        <f t="shared" si="39"/>
        <v>0</v>
      </c>
      <c r="K300" s="30">
        <v>3.6688381806020002E-3</v>
      </c>
      <c r="L300">
        <f t="shared" si="45"/>
        <v>0</v>
      </c>
      <c r="M300">
        <v>5.4982700000000002E-4</v>
      </c>
      <c r="N300">
        <f t="shared" si="46"/>
        <v>0</v>
      </c>
      <c r="O300">
        <v>1.0086553171276999E-2</v>
      </c>
      <c r="P300">
        <f t="shared" si="47"/>
        <v>0</v>
      </c>
      <c r="Q300" s="30">
        <v>2.6062155E-2</v>
      </c>
      <c r="R300">
        <f t="shared" si="48"/>
        <v>0</v>
      </c>
      <c r="S300">
        <v>1.9900533370670001E-3</v>
      </c>
      <c r="T300">
        <f t="shared" si="40"/>
        <v>0</v>
      </c>
      <c r="U300" s="1">
        <v>0.20683446999999999</v>
      </c>
      <c r="V300">
        <v>0</v>
      </c>
    </row>
    <row r="301" spans="1:22">
      <c r="A301" s="1">
        <v>0</v>
      </c>
      <c r="B301" s="1" t="s">
        <v>329</v>
      </c>
      <c r="C301" s="1">
        <v>0</v>
      </c>
      <c r="D301" s="33">
        <v>0</v>
      </c>
      <c r="E301" s="36">
        <v>0</v>
      </c>
      <c r="F301" s="37">
        <v>0</v>
      </c>
      <c r="G301" s="30">
        <v>3.6738615000000002E-2</v>
      </c>
      <c r="H301">
        <f t="shared" si="38"/>
        <v>0</v>
      </c>
      <c r="I301" s="30">
        <v>4.7920990735292997E-2</v>
      </c>
      <c r="J301">
        <f t="shared" si="39"/>
        <v>0</v>
      </c>
      <c r="K301">
        <v>1.7124623060226999E-2</v>
      </c>
      <c r="L301">
        <f t="shared" si="45"/>
        <v>0</v>
      </c>
      <c r="M301">
        <v>8.4048399999999996E-4</v>
      </c>
      <c r="N301">
        <f t="shared" si="46"/>
        <v>0</v>
      </c>
      <c r="O301">
        <v>1.3780056498945E-2</v>
      </c>
      <c r="P301">
        <f t="shared" si="47"/>
        <v>0</v>
      </c>
      <c r="Q301">
        <v>0.292303115</v>
      </c>
      <c r="R301">
        <f t="shared" si="48"/>
        <v>0</v>
      </c>
      <c r="S301">
        <v>5.0735096447169998E-3</v>
      </c>
      <c r="T301">
        <f t="shared" si="40"/>
        <v>0</v>
      </c>
      <c r="U301" s="1">
        <v>0.18477377</v>
      </c>
      <c r="V301">
        <v>0</v>
      </c>
    </row>
    <row r="302" spans="1:22">
      <c r="A302" s="1">
        <v>0</v>
      </c>
      <c r="B302" s="5" t="s">
        <v>330</v>
      </c>
      <c r="C302" s="1">
        <v>0</v>
      </c>
      <c r="D302" s="33">
        <v>0</v>
      </c>
      <c r="E302" s="36">
        <v>0</v>
      </c>
      <c r="F302" s="37">
        <v>0</v>
      </c>
      <c r="G302" s="30">
        <v>1.4480791E-2</v>
      </c>
      <c r="H302">
        <f t="shared" si="38"/>
        <v>0</v>
      </c>
      <c r="I302" s="30">
        <v>1.5186987817288E-2</v>
      </c>
      <c r="J302">
        <f t="shared" si="39"/>
        <v>0</v>
      </c>
      <c r="K302">
        <v>3.839874640107E-3</v>
      </c>
      <c r="L302">
        <f t="shared" si="45"/>
        <v>0</v>
      </c>
      <c r="M302">
        <v>1.6686489999999999E-3</v>
      </c>
      <c r="N302">
        <f t="shared" si="46"/>
        <v>0</v>
      </c>
      <c r="O302">
        <v>9.1711003333329998E-3</v>
      </c>
      <c r="P302">
        <f t="shared" si="47"/>
        <v>0</v>
      </c>
      <c r="Q302">
        <v>0.21424607900000001</v>
      </c>
      <c r="R302">
        <f t="shared" si="48"/>
        <v>0</v>
      </c>
      <c r="S302">
        <v>6.4182733185589999E-3</v>
      </c>
      <c r="T302">
        <f t="shared" si="40"/>
        <v>0</v>
      </c>
      <c r="U302" s="5">
        <v>0.11076237</v>
      </c>
      <c r="V302">
        <v>0</v>
      </c>
    </row>
    <row r="303" spans="1:22">
      <c r="A303" s="1">
        <v>0</v>
      </c>
      <c r="B303" s="1" t="s">
        <v>331</v>
      </c>
      <c r="C303" s="1">
        <v>0</v>
      </c>
      <c r="D303" s="33">
        <v>0</v>
      </c>
      <c r="E303" s="36">
        <v>0</v>
      </c>
      <c r="F303" s="37">
        <v>0</v>
      </c>
      <c r="G303" s="30">
        <v>1.6597085000000001E-2</v>
      </c>
      <c r="H303">
        <f t="shared" si="38"/>
        <v>0</v>
      </c>
      <c r="I303" s="30">
        <v>1.80073489901E-4</v>
      </c>
      <c r="J303">
        <f t="shared" si="39"/>
        <v>0</v>
      </c>
      <c r="K303" s="30">
        <v>2.0297695882620002E-3</v>
      </c>
      <c r="L303">
        <f t="shared" si="45"/>
        <v>0</v>
      </c>
      <c r="M303">
        <v>3.12744E-4</v>
      </c>
      <c r="N303">
        <f t="shared" si="46"/>
        <v>0</v>
      </c>
      <c r="O303">
        <v>2.8959268238400002E-3</v>
      </c>
      <c r="P303">
        <f t="shared" si="47"/>
        <v>0</v>
      </c>
      <c r="Q303" s="30">
        <v>4.5760694999999997E-2</v>
      </c>
      <c r="R303">
        <f t="shared" si="48"/>
        <v>0</v>
      </c>
      <c r="S303" s="30">
        <v>2.5112176444963599E-5</v>
      </c>
      <c r="T303">
        <f t="shared" si="40"/>
        <v>0</v>
      </c>
      <c r="U303" s="1">
        <v>8.8903919999999997E-2</v>
      </c>
      <c r="V303">
        <v>0</v>
      </c>
    </row>
    <row r="304" spans="1:22">
      <c r="A304" s="1">
        <v>0</v>
      </c>
      <c r="B304" s="1" t="s">
        <v>332</v>
      </c>
      <c r="C304" s="1">
        <v>0</v>
      </c>
      <c r="D304" s="33">
        <v>0</v>
      </c>
      <c r="E304" s="36">
        <v>0</v>
      </c>
      <c r="F304" s="37">
        <v>0</v>
      </c>
      <c r="G304" s="30">
        <v>0.45814183400000003</v>
      </c>
      <c r="H304">
        <f t="shared" si="38"/>
        <v>0</v>
      </c>
      <c r="I304">
        <v>0.464567691087723</v>
      </c>
      <c r="J304">
        <f t="shared" si="39"/>
        <v>0</v>
      </c>
      <c r="K304">
        <v>0.21136303246021301</v>
      </c>
      <c r="L304">
        <f t="shared" si="45"/>
        <v>0</v>
      </c>
      <c r="M304">
        <v>7.6538987000000003E-2</v>
      </c>
      <c r="N304">
        <f t="shared" si="46"/>
        <v>0</v>
      </c>
      <c r="O304">
        <v>0.12536098062992099</v>
      </c>
      <c r="P304">
        <f t="shared" si="47"/>
        <v>0</v>
      </c>
      <c r="Q304">
        <v>0.23678342999999999</v>
      </c>
      <c r="R304">
        <f t="shared" si="48"/>
        <v>0</v>
      </c>
      <c r="S304">
        <v>7.0481598377228005E-2</v>
      </c>
      <c r="T304">
        <f t="shared" si="40"/>
        <v>0</v>
      </c>
      <c r="U304" s="1">
        <v>0.39298256999999998</v>
      </c>
      <c r="V304">
        <v>0</v>
      </c>
    </row>
    <row r="305" spans="1:22">
      <c r="A305" s="1">
        <v>0</v>
      </c>
      <c r="B305" s="1" t="s">
        <v>333</v>
      </c>
      <c r="C305" s="1">
        <v>0</v>
      </c>
      <c r="D305" s="33">
        <v>0</v>
      </c>
      <c r="E305" s="36">
        <v>0</v>
      </c>
      <c r="F305" s="37">
        <v>0</v>
      </c>
      <c r="G305">
        <v>0.114071645</v>
      </c>
      <c r="H305">
        <f t="shared" si="38"/>
        <v>0</v>
      </c>
      <c r="I305">
        <v>5.4528206586837998E-2</v>
      </c>
      <c r="J305">
        <f t="shared" si="39"/>
        <v>0</v>
      </c>
      <c r="K305">
        <v>9.1824434697627993E-2</v>
      </c>
      <c r="L305">
        <f t="shared" si="45"/>
        <v>0</v>
      </c>
      <c r="M305">
        <v>0.102992773</v>
      </c>
      <c r="N305">
        <f t="shared" si="46"/>
        <v>0</v>
      </c>
      <c r="O305">
        <v>9.1134481132031001E-2</v>
      </c>
      <c r="P305">
        <f t="shared" si="47"/>
        <v>0</v>
      </c>
      <c r="Q305">
        <v>0.13901642</v>
      </c>
      <c r="R305">
        <f t="shared" si="48"/>
        <v>0</v>
      </c>
      <c r="S305">
        <v>3.0350530520081999E-2</v>
      </c>
      <c r="T305">
        <f t="shared" si="40"/>
        <v>0</v>
      </c>
      <c r="U305" s="1">
        <v>0.27867845000000002</v>
      </c>
      <c r="V305">
        <v>0</v>
      </c>
    </row>
    <row r="306" spans="1:22">
      <c r="A306" s="1">
        <v>0</v>
      </c>
      <c r="B306" s="1" t="s">
        <v>334</v>
      </c>
      <c r="C306" s="1">
        <v>0</v>
      </c>
      <c r="D306" s="33">
        <v>0</v>
      </c>
      <c r="E306" s="36">
        <v>0</v>
      </c>
      <c r="F306" s="37">
        <v>0</v>
      </c>
      <c r="G306" s="30">
        <v>3.212313E-2</v>
      </c>
      <c r="H306">
        <f t="shared" si="38"/>
        <v>0</v>
      </c>
      <c r="I306" s="30">
        <v>1.3353684917090001E-3</v>
      </c>
      <c r="J306">
        <f t="shared" si="39"/>
        <v>0</v>
      </c>
      <c r="K306" s="30">
        <v>3.0298295314400001E-4</v>
      </c>
      <c r="L306">
        <f t="shared" si="45"/>
        <v>0</v>
      </c>
      <c r="M306" s="30">
        <v>7.2451899999999998E-6</v>
      </c>
      <c r="N306">
        <f t="shared" si="46"/>
        <v>0</v>
      </c>
      <c r="O306" s="30">
        <v>1.133112935349E-3</v>
      </c>
      <c r="P306">
        <f t="shared" si="47"/>
        <v>0</v>
      </c>
      <c r="Q306" s="30">
        <v>3.1341637999999998E-2</v>
      </c>
      <c r="R306">
        <f t="shared" si="48"/>
        <v>0</v>
      </c>
      <c r="S306">
        <v>1.68622194906E-4</v>
      </c>
      <c r="T306">
        <f t="shared" si="40"/>
        <v>0</v>
      </c>
      <c r="U306" s="1">
        <v>0.15052368999999999</v>
      </c>
      <c r="V306">
        <v>0</v>
      </c>
    </row>
    <row r="307" spans="1:22">
      <c r="A307" s="1">
        <v>1</v>
      </c>
      <c r="B307" s="1" t="s">
        <v>335</v>
      </c>
      <c r="C307" s="1">
        <v>1</v>
      </c>
      <c r="D307" s="33">
        <v>1</v>
      </c>
      <c r="E307" s="37">
        <v>1</v>
      </c>
      <c r="F307" s="37">
        <v>1</v>
      </c>
      <c r="G307">
        <v>0.70241242599999998</v>
      </c>
      <c r="H307">
        <f t="shared" si="38"/>
        <v>1</v>
      </c>
      <c r="I307">
        <v>0.34927999973297102</v>
      </c>
      <c r="J307">
        <f t="shared" si="39"/>
        <v>0</v>
      </c>
      <c r="K307">
        <v>0.538882076740265</v>
      </c>
      <c r="L307">
        <f t="shared" si="45"/>
        <v>1</v>
      </c>
      <c r="M307">
        <v>0.19706963</v>
      </c>
      <c r="N307">
        <f t="shared" si="46"/>
        <v>0</v>
      </c>
      <c r="O307">
        <v>0.73868733644485496</v>
      </c>
      <c r="P307">
        <f t="shared" si="47"/>
        <v>1</v>
      </c>
      <c r="Q307">
        <v>0.20389041299999999</v>
      </c>
      <c r="R307">
        <f t="shared" si="48"/>
        <v>0</v>
      </c>
      <c r="S307">
        <v>0.95126980543136597</v>
      </c>
      <c r="T307">
        <f t="shared" si="40"/>
        <v>1</v>
      </c>
      <c r="U307" s="1">
        <v>0.43651180000000001</v>
      </c>
      <c r="V307">
        <v>0</v>
      </c>
    </row>
    <row r="308" spans="1:22">
      <c r="A308" s="1">
        <v>1</v>
      </c>
      <c r="B308" s="1" t="s">
        <v>336</v>
      </c>
      <c r="C308" s="1">
        <v>1</v>
      </c>
      <c r="D308" s="33">
        <v>0</v>
      </c>
      <c r="E308" s="36">
        <v>1</v>
      </c>
      <c r="F308" s="37">
        <v>1</v>
      </c>
      <c r="G308">
        <v>0.774955273</v>
      </c>
      <c r="H308">
        <f t="shared" si="38"/>
        <v>1</v>
      </c>
      <c r="I308">
        <v>0.90629041194915805</v>
      </c>
      <c r="J308">
        <f t="shared" si="39"/>
        <v>1</v>
      </c>
      <c r="K308">
        <v>0.89125621318817105</v>
      </c>
      <c r="L308">
        <f t="shared" si="45"/>
        <v>1</v>
      </c>
      <c r="M308">
        <v>0.51636248799999995</v>
      </c>
      <c r="N308">
        <f t="shared" si="46"/>
        <v>1</v>
      </c>
      <c r="O308">
        <v>0.56338405609130904</v>
      </c>
      <c r="P308">
        <f t="shared" si="47"/>
        <v>1</v>
      </c>
      <c r="Q308">
        <v>0.351592511</v>
      </c>
      <c r="R308">
        <f t="shared" si="48"/>
        <v>0</v>
      </c>
      <c r="S308">
        <v>0.27327853441238398</v>
      </c>
      <c r="T308">
        <f t="shared" si="40"/>
        <v>0</v>
      </c>
      <c r="U308" s="1">
        <v>0.57475810000000005</v>
      </c>
      <c r="V308">
        <v>0</v>
      </c>
    </row>
    <row r="309" spans="1:22">
      <c r="A309" s="1">
        <v>1</v>
      </c>
      <c r="B309" s="1" t="s">
        <v>337</v>
      </c>
      <c r="C309" s="1">
        <v>1</v>
      </c>
      <c r="D309" s="33">
        <v>1</v>
      </c>
      <c r="E309" s="37">
        <v>1</v>
      </c>
      <c r="F309" s="37">
        <v>1</v>
      </c>
      <c r="G309">
        <v>0.67010152300000003</v>
      </c>
      <c r="H309">
        <f t="shared" si="38"/>
        <v>1</v>
      </c>
      <c r="I309">
        <v>0.99095517396926902</v>
      </c>
      <c r="J309">
        <f t="shared" si="39"/>
        <v>1</v>
      </c>
      <c r="K309">
        <v>0.29239687323570301</v>
      </c>
      <c r="L309">
        <f t="shared" si="45"/>
        <v>0</v>
      </c>
      <c r="M309">
        <v>0.97831684399999996</v>
      </c>
      <c r="N309">
        <f t="shared" si="46"/>
        <v>1</v>
      </c>
      <c r="O309">
        <v>0.82400715351104703</v>
      </c>
      <c r="P309">
        <f t="shared" si="47"/>
        <v>1</v>
      </c>
      <c r="Q309">
        <v>0.58781588100000004</v>
      </c>
      <c r="R309">
        <f t="shared" si="48"/>
        <v>1</v>
      </c>
      <c r="S309">
        <v>0.96038913726806596</v>
      </c>
      <c r="T309">
        <f t="shared" si="40"/>
        <v>1</v>
      </c>
      <c r="U309" s="1">
        <v>0.6856392</v>
      </c>
      <c r="V309">
        <v>1</v>
      </c>
    </row>
    <row r="310" spans="1:22">
      <c r="A310" s="1">
        <v>1</v>
      </c>
      <c r="B310" s="1" t="s">
        <v>338</v>
      </c>
      <c r="C310" s="1">
        <v>1</v>
      </c>
      <c r="D310" s="33">
        <v>1</v>
      </c>
      <c r="E310" s="37">
        <v>1</v>
      </c>
      <c r="F310" s="37">
        <v>1</v>
      </c>
      <c r="G310">
        <v>0.986368358</v>
      </c>
      <c r="H310">
        <f t="shared" si="38"/>
        <v>1</v>
      </c>
      <c r="I310">
        <v>0.99995243549346902</v>
      </c>
      <c r="J310">
        <f t="shared" si="39"/>
        <v>1</v>
      </c>
      <c r="K310">
        <v>0.99891972541809104</v>
      </c>
      <c r="L310">
        <f t="shared" si="45"/>
        <v>1</v>
      </c>
      <c r="M310">
        <v>0.99272102100000004</v>
      </c>
      <c r="N310">
        <f t="shared" si="46"/>
        <v>1</v>
      </c>
      <c r="O310">
        <v>0.99834454059600797</v>
      </c>
      <c r="P310">
        <f t="shared" si="47"/>
        <v>1</v>
      </c>
      <c r="Q310">
        <v>0.56269562200000001</v>
      </c>
      <c r="R310">
        <f t="shared" si="48"/>
        <v>1</v>
      </c>
      <c r="S310">
        <v>0.99950993061065696</v>
      </c>
      <c r="T310">
        <f t="shared" si="40"/>
        <v>1</v>
      </c>
      <c r="U310" s="1">
        <v>0.76083780000000001</v>
      </c>
      <c r="V310">
        <v>1</v>
      </c>
    </row>
    <row r="311" spans="1:22">
      <c r="A311" s="1">
        <v>1</v>
      </c>
      <c r="B311" s="1" t="s">
        <v>339</v>
      </c>
      <c r="C311" s="1">
        <v>1</v>
      </c>
      <c r="D311" s="33">
        <v>1</v>
      </c>
      <c r="E311" s="37">
        <v>1</v>
      </c>
      <c r="F311" s="37">
        <v>1</v>
      </c>
      <c r="G311">
        <v>0.91896623399999999</v>
      </c>
      <c r="H311">
        <f t="shared" si="38"/>
        <v>1</v>
      </c>
      <c r="I311">
        <v>0.99970775842666604</v>
      </c>
      <c r="J311">
        <f t="shared" si="39"/>
        <v>1</v>
      </c>
      <c r="K311">
        <v>0.99607759714126598</v>
      </c>
      <c r="L311">
        <f t="shared" si="45"/>
        <v>1</v>
      </c>
      <c r="M311">
        <v>0.99626886800000003</v>
      </c>
      <c r="N311">
        <f t="shared" si="46"/>
        <v>1</v>
      </c>
      <c r="O311">
        <v>0.94686645269393899</v>
      </c>
      <c r="P311">
        <f t="shared" si="47"/>
        <v>1</v>
      </c>
      <c r="Q311">
        <v>0.63069075299999999</v>
      </c>
      <c r="R311">
        <f t="shared" si="48"/>
        <v>1</v>
      </c>
      <c r="S311">
        <v>0.99831092357635498</v>
      </c>
      <c r="T311">
        <f t="shared" si="40"/>
        <v>1</v>
      </c>
      <c r="U311" s="1">
        <v>0.71052059999999995</v>
      </c>
      <c r="V311">
        <v>1</v>
      </c>
    </row>
    <row r="312" spans="1:22">
      <c r="A312" s="1">
        <v>1</v>
      </c>
      <c r="B312" s="1" t="s">
        <v>340</v>
      </c>
      <c r="C312" s="1">
        <v>1</v>
      </c>
      <c r="D312" s="33">
        <v>1</v>
      </c>
      <c r="E312" s="37">
        <v>1</v>
      </c>
      <c r="F312" s="37">
        <v>1</v>
      </c>
      <c r="G312">
        <v>0.98637574900000002</v>
      </c>
      <c r="H312">
        <f t="shared" si="38"/>
        <v>1</v>
      </c>
      <c r="I312">
        <v>0.99988210201263406</v>
      </c>
      <c r="J312">
        <f t="shared" si="39"/>
        <v>1</v>
      </c>
      <c r="K312">
        <v>0.99941396713256803</v>
      </c>
      <c r="L312">
        <f t="shared" si="45"/>
        <v>1</v>
      </c>
      <c r="M312">
        <v>0.99993634200000003</v>
      </c>
      <c r="N312">
        <f t="shared" si="46"/>
        <v>1</v>
      </c>
      <c r="O312">
        <v>0.97346693277358998</v>
      </c>
      <c r="P312">
        <f t="shared" si="47"/>
        <v>1</v>
      </c>
      <c r="Q312">
        <v>0.76697343600000001</v>
      </c>
      <c r="R312">
        <f t="shared" si="48"/>
        <v>1</v>
      </c>
      <c r="S312">
        <v>0.99984073638916005</v>
      </c>
      <c r="T312">
        <f t="shared" si="40"/>
        <v>1</v>
      </c>
      <c r="U312" s="1">
        <v>0.79116916999999998</v>
      </c>
      <c r="V312">
        <v>1</v>
      </c>
    </row>
    <row r="313" spans="1:22">
      <c r="A313" s="1">
        <v>1</v>
      </c>
      <c r="B313" s="1" t="s">
        <v>342</v>
      </c>
      <c r="C313" s="1">
        <v>1</v>
      </c>
      <c r="D313" s="33">
        <v>1</v>
      </c>
      <c r="E313" s="37">
        <v>1</v>
      </c>
      <c r="F313" s="37">
        <v>1</v>
      </c>
      <c r="G313">
        <v>0.91380065700000002</v>
      </c>
      <c r="H313">
        <f t="shared" si="38"/>
        <v>1</v>
      </c>
      <c r="I313">
        <v>0.99995183944702204</v>
      </c>
      <c r="J313">
        <f t="shared" si="39"/>
        <v>1</v>
      </c>
      <c r="K313">
        <v>0.99871242046356201</v>
      </c>
      <c r="L313">
        <f t="shared" si="45"/>
        <v>1</v>
      </c>
      <c r="M313">
        <v>0.99923825300000002</v>
      </c>
      <c r="N313">
        <f t="shared" si="46"/>
        <v>1</v>
      </c>
      <c r="O313">
        <v>0.93974477052688599</v>
      </c>
      <c r="P313">
        <f t="shared" si="47"/>
        <v>1</v>
      </c>
      <c r="Q313">
        <v>0.79283815599999996</v>
      </c>
      <c r="R313">
        <f t="shared" si="48"/>
        <v>1</v>
      </c>
      <c r="S313">
        <v>0.99748516082763705</v>
      </c>
      <c r="T313">
        <f t="shared" si="40"/>
        <v>1</v>
      </c>
      <c r="U313" s="1">
        <v>0.77523076999999996</v>
      </c>
      <c r="V313">
        <v>1</v>
      </c>
    </row>
    <row r="314" spans="1:22">
      <c r="A314" s="1">
        <v>1</v>
      </c>
      <c r="B314" s="1" t="s">
        <v>343</v>
      </c>
      <c r="C314" s="1">
        <v>1</v>
      </c>
      <c r="D314" s="33">
        <v>0</v>
      </c>
      <c r="E314" s="37">
        <v>1</v>
      </c>
      <c r="F314" s="37">
        <v>1</v>
      </c>
      <c r="G314">
        <v>0.743887305</v>
      </c>
      <c r="H314">
        <f t="shared" ref="H314:H373" si="49">IF(G314&gt;$A$2,1,0)</f>
        <v>1</v>
      </c>
      <c r="I314">
        <v>0.99388712644577004</v>
      </c>
      <c r="J314">
        <f t="shared" ref="J314:J373" si="50">IF(I314&gt;$A$2,1,0)</f>
        <v>1</v>
      </c>
      <c r="K314">
        <v>0.82473355531692505</v>
      </c>
      <c r="L314">
        <f t="shared" si="45"/>
        <v>1</v>
      </c>
      <c r="M314">
        <v>0.727646291</v>
      </c>
      <c r="N314">
        <f t="shared" si="46"/>
        <v>1</v>
      </c>
      <c r="O314">
        <v>0.33796015381812999</v>
      </c>
      <c r="P314">
        <f t="shared" si="47"/>
        <v>0</v>
      </c>
      <c r="Q314">
        <v>0.62584763799999998</v>
      </c>
      <c r="R314">
        <f t="shared" si="48"/>
        <v>1</v>
      </c>
      <c r="S314">
        <v>0.92203539609909102</v>
      </c>
      <c r="T314">
        <f>IF(S314&gt;$A$2,1,0)</f>
        <v>1</v>
      </c>
      <c r="U314" s="1">
        <v>0.77214545000000001</v>
      </c>
      <c r="V314">
        <v>1</v>
      </c>
    </row>
    <row r="315" spans="1:22">
      <c r="A315" s="1">
        <v>1</v>
      </c>
      <c r="B315" s="1" t="s">
        <v>344</v>
      </c>
      <c r="C315" s="1">
        <v>1</v>
      </c>
      <c r="D315" s="33">
        <v>1</v>
      </c>
      <c r="E315" s="37">
        <v>1</v>
      </c>
      <c r="F315" s="37">
        <v>1</v>
      </c>
      <c r="G315">
        <v>0.96750235600000001</v>
      </c>
      <c r="H315">
        <f t="shared" si="49"/>
        <v>1</v>
      </c>
      <c r="I315">
        <v>0.99628901481628396</v>
      </c>
      <c r="J315">
        <f t="shared" si="50"/>
        <v>1</v>
      </c>
      <c r="K315">
        <v>0.98649477958679199</v>
      </c>
      <c r="L315">
        <f t="shared" si="45"/>
        <v>1</v>
      </c>
      <c r="M315" s="30">
        <v>0.98700690300000005</v>
      </c>
      <c r="N315">
        <f t="shared" si="46"/>
        <v>1</v>
      </c>
      <c r="O315">
        <v>0.97959339618682895</v>
      </c>
      <c r="P315">
        <f t="shared" si="47"/>
        <v>1</v>
      </c>
      <c r="Q315">
        <v>0.88296097500000004</v>
      </c>
      <c r="R315">
        <f t="shared" si="48"/>
        <v>1</v>
      </c>
      <c r="S315">
        <v>0.99720793962478604</v>
      </c>
      <c r="T315">
        <f>IF(S315&gt;$A$2,1,0)</f>
        <v>1</v>
      </c>
      <c r="U315" s="1">
        <v>0.79403780000000002</v>
      </c>
      <c r="V315">
        <v>1</v>
      </c>
    </row>
    <row r="316" spans="1:22">
      <c r="A316" s="1">
        <v>1</v>
      </c>
      <c r="B316" s="1" t="s">
        <v>346</v>
      </c>
      <c r="C316" s="1">
        <v>1</v>
      </c>
      <c r="D316" s="33">
        <v>1</v>
      </c>
      <c r="E316" s="37">
        <v>1</v>
      </c>
      <c r="F316" s="37">
        <v>1</v>
      </c>
      <c r="G316">
        <v>0.97811126699999995</v>
      </c>
      <c r="H316">
        <f t="shared" si="49"/>
        <v>1</v>
      </c>
      <c r="I316">
        <v>0.99750453233718905</v>
      </c>
      <c r="J316">
        <f t="shared" si="50"/>
        <v>1</v>
      </c>
      <c r="K316">
        <v>0.99952888488769498</v>
      </c>
      <c r="L316">
        <f t="shared" si="45"/>
        <v>1</v>
      </c>
      <c r="M316">
        <v>0.99416935399999995</v>
      </c>
      <c r="N316">
        <f t="shared" si="46"/>
        <v>1</v>
      </c>
      <c r="O316">
        <v>0.96178817749023404</v>
      </c>
      <c r="P316">
        <f t="shared" si="47"/>
        <v>1</v>
      </c>
      <c r="Q316">
        <v>0.67314922799999999</v>
      </c>
      <c r="R316">
        <f t="shared" si="48"/>
        <v>1</v>
      </c>
      <c r="S316">
        <v>0.99812489748001099</v>
      </c>
      <c r="T316">
        <f t="shared" ref="T316:T373" si="51">IF(S316&gt;$A$2,1,0)</f>
        <v>1</v>
      </c>
      <c r="U316" s="1">
        <v>0.75238996999999996</v>
      </c>
      <c r="V316">
        <v>1</v>
      </c>
    </row>
    <row r="317" spans="1:22">
      <c r="A317" s="1">
        <v>1</v>
      </c>
      <c r="B317" s="1" t="s">
        <v>347</v>
      </c>
      <c r="C317" s="1">
        <v>1</v>
      </c>
      <c r="D317" s="33">
        <v>1</v>
      </c>
      <c r="E317" s="37">
        <v>1</v>
      </c>
      <c r="F317" s="37">
        <v>1</v>
      </c>
      <c r="G317">
        <v>0.78228569000000003</v>
      </c>
      <c r="H317">
        <f t="shared" si="49"/>
        <v>1</v>
      </c>
      <c r="I317">
        <v>0.96915441751480103</v>
      </c>
      <c r="J317">
        <f t="shared" si="50"/>
        <v>1</v>
      </c>
      <c r="K317">
        <v>0.94309651851653997</v>
      </c>
      <c r="L317">
        <f t="shared" si="45"/>
        <v>1</v>
      </c>
      <c r="M317">
        <v>0.99458545399999998</v>
      </c>
      <c r="N317">
        <f t="shared" si="46"/>
        <v>1</v>
      </c>
      <c r="O317">
        <v>0.96999645233154297</v>
      </c>
      <c r="P317">
        <f t="shared" si="47"/>
        <v>1</v>
      </c>
      <c r="Q317">
        <v>0.88813215499999998</v>
      </c>
      <c r="R317">
        <f t="shared" si="48"/>
        <v>1</v>
      </c>
      <c r="S317">
        <v>0.999791920185089</v>
      </c>
      <c r="T317">
        <f t="shared" si="51"/>
        <v>1</v>
      </c>
      <c r="U317" s="1">
        <v>0.70749574999999998</v>
      </c>
      <c r="V317">
        <v>1</v>
      </c>
    </row>
    <row r="318" spans="1:22">
      <c r="A318" s="1">
        <v>1</v>
      </c>
      <c r="B318" s="1" t="s">
        <v>348</v>
      </c>
      <c r="C318" s="1">
        <v>1</v>
      </c>
      <c r="D318" s="33">
        <v>1</v>
      </c>
      <c r="E318" s="37">
        <v>1</v>
      </c>
      <c r="F318" s="37">
        <v>1</v>
      </c>
      <c r="G318">
        <v>0.90370351100000001</v>
      </c>
      <c r="H318">
        <f t="shared" si="49"/>
        <v>1</v>
      </c>
      <c r="I318">
        <v>0.94925928115844704</v>
      </c>
      <c r="J318">
        <f t="shared" si="50"/>
        <v>1</v>
      </c>
      <c r="K318">
        <v>0.81910479068756104</v>
      </c>
      <c r="L318">
        <f t="shared" si="45"/>
        <v>1</v>
      </c>
      <c r="M318">
        <v>0.98831903899999995</v>
      </c>
      <c r="N318">
        <f t="shared" si="46"/>
        <v>1</v>
      </c>
      <c r="O318">
        <v>0.70809680223464999</v>
      </c>
      <c r="P318">
        <f t="shared" si="47"/>
        <v>1</v>
      </c>
      <c r="Q318">
        <v>0.60055029400000004</v>
      </c>
      <c r="R318">
        <f t="shared" si="48"/>
        <v>1</v>
      </c>
      <c r="S318">
        <v>0.89924031496047996</v>
      </c>
      <c r="T318">
        <f t="shared" si="51"/>
        <v>1</v>
      </c>
      <c r="U318" s="1">
        <v>0.61547070000000004</v>
      </c>
      <c r="V318">
        <v>1</v>
      </c>
    </row>
    <row r="319" spans="1:22">
      <c r="A319" s="1">
        <v>1</v>
      </c>
      <c r="B319" s="1" t="s">
        <v>349</v>
      </c>
      <c r="C319" s="1">
        <v>1</v>
      </c>
      <c r="D319" s="33">
        <v>0</v>
      </c>
      <c r="E319" s="36">
        <v>0</v>
      </c>
      <c r="F319" s="37">
        <v>0</v>
      </c>
      <c r="G319" s="30">
        <v>0.85117912299999998</v>
      </c>
      <c r="H319">
        <f t="shared" si="49"/>
        <v>1</v>
      </c>
      <c r="I319">
        <v>0.99502950906753496</v>
      </c>
      <c r="J319">
        <f t="shared" si="50"/>
        <v>1</v>
      </c>
      <c r="K319">
        <v>0.95593458414077803</v>
      </c>
      <c r="L319">
        <f t="shared" si="45"/>
        <v>1</v>
      </c>
      <c r="M319" s="30">
        <v>0.99839043599999999</v>
      </c>
      <c r="N319">
        <f t="shared" si="46"/>
        <v>1</v>
      </c>
      <c r="O319">
        <v>0.93509298563003496</v>
      </c>
      <c r="P319">
        <f t="shared" si="47"/>
        <v>1</v>
      </c>
      <c r="Q319">
        <v>0.55657726500000004</v>
      </c>
      <c r="R319">
        <f t="shared" si="48"/>
        <v>1</v>
      </c>
      <c r="S319">
        <v>0.99988281726837203</v>
      </c>
      <c r="T319">
        <f t="shared" si="51"/>
        <v>1</v>
      </c>
      <c r="U319" s="1">
        <v>0.75266</v>
      </c>
      <c r="V319">
        <v>1</v>
      </c>
    </row>
    <row r="320" spans="1:22">
      <c r="A320" s="1">
        <v>1</v>
      </c>
      <c r="B320" s="1" t="s">
        <v>350</v>
      </c>
      <c r="C320" s="1">
        <v>1</v>
      </c>
      <c r="D320" s="33">
        <v>0</v>
      </c>
      <c r="E320" s="36">
        <v>0</v>
      </c>
      <c r="F320" s="37">
        <v>1</v>
      </c>
      <c r="G320">
        <v>0.52851360999999997</v>
      </c>
      <c r="H320">
        <f t="shared" si="49"/>
        <v>1</v>
      </c>
      <c r="I320">
        <v>0.28174996376037598</v>
      </c>
      <c r="J320">
        <f t="shared" si="50"/>
        <v>0</v>
      </c>
      <c r="K320">
        <v>0.20864833891391699</v>
      </c>
      <c r="L320">
        <f t="shared" si="45"/>
        <v>0</v>
      </c>
      <c r="M320">
        <v>0.635216534</v>
      </c>
      <c r="N320">
        <f t="shared" si="46"/>
        <v>1</v>
      </c>
      <c r="O320">
        <v>0.105904050171375</v>
      </c>
      <c r="P320">
        <f t="shared" si="47"/>
        <v>0</v>
      </c>
      <c r="Q320">
        <v>0.49474504600000002</v>
      </c>
      <c r="R320">
        <f t="shared" si="48"/>
        <v>0</v>
      </c>
      <c r="S320">
        <v>5.6659277528524003E-2</v>
      </c>
      <c r="T320">
        <f t="shared" si="51"/>
        <v>0</v>
      </c>
      <c r="U320" s="1">
        <v>0.74207115000000001</v>
      </c>
      <c r="V320">
        <v>1</v>
      </c>
    </row>
    <row r="321" spans="1:22">
      <c r="A321" s="1">
        <v>1</v>
      </c>
      <c r="B321" s="1" t="s">
        <v>351</v>
      </c>
      <c r="C321" s="1">
        <v>1</v>
      </c>
      <c r="D321" s="33">
        <v>1</v>
      </c>
      <c r="E321" s="37">
        <v>1</v>
      </c>
      <c r="F321" s="37">
        <v>1</v>
      </c>
      <c r="G321">
        <v>0.45530211900000001</v>
      </c>
      <c r="H321">
        <f t="shared" si="49"/>
        <v>0</v>
      </c>
      <c r="I321">
        <v>5.8642597869040004E-3</v>
      </c>
      <c r="J321">
        <f t="shared" si="50"/>
        <v>0</v>
      </c>
      <c r="K321">
        <v>7.5203560292721003E-2</v>
      </c>
      <c r="L321">
        <f t="shared" si="45"/>
        <v>0</v>
      </c>
      <c r="M321">
        <v>0.31527957299999998</v>
      </c>
      <c r="N321">
        <f t="shared" si="46"/>
        <v>0</v>
      </c>
      <c r="O321">
        <v>1.7697753384709001E-2</v>
      </c>
      <c r="P321">
        <f t="shared" si="47"/>
        <v>0</v>
      </c>
      <c r="Q321">
        <v>0.61437898899999999</v>
      </c>
      <c r="R321">
        <f t="shared" si="48"/>
        <v>1</v>
      </c>
      <c r="S321">
        <v>9.3851715326308996E-2</v>
      </c>
      <c r="T321">
        <f t="shared" si="51"/>
        <v>0</v>
      </c>
      <c r="U321" s="1">
        <v>0.75344615999999998</v>
      </c>
      <c r="V321">
        <v>1</v>
      </c>
    </row>
    <row r="322" spans="1:22">
      <c r="A322" s="1">
        <v>1</v>
      </c>
      <c r="B322" s="5" t="s">
        <v>352</v>
      </c>
      <c r="C322" s="1">
        <v>1</v>
      </c>
      <c r="D322" s="33">
        <v>1</v>
      </c>
      <c r="E322" s="36">
        <v>0</v>
      </c>
      <c r="F322" s="37">
        <v>1</v>
      </c>
      <c r="G322">
        <v>0.70959144799999996</v>
      </c>
      <c r="H322">
        <f t="shared" si="49"/>
        <v>1</v>
      </c>
      <c r="I322">
        <v>0.572154521942139</v>
      </c>
      <c r="J322">
        <f t="shared" si="50"/>
        <v>1</v>
      </c>
      <c r="K322">
        <v>0.60584092140197798</v>
      </c>
      <c r="L322">
        <f t="shared" si="45"/>
        <v>1</v>
      </c>
      <c r="M322">
        <v>0.50757229299999995</v>
      </c>
      <c r="N322">
        <f t="shared" si="46"/>
        <v>1</v>
      </c>
      <c r="O322">
        <v>1.8843758851289999E-2</v>
      </c>
      <c r="P322">
        <f t="shared" si="47"/>
        <v>0</v>
      </c>
      <c r="Q322">
        <v>0.41006717100000001</v>
      </c>
      <c r="R322">
        <f t="shared" si="48"/>
        <v>0</v>
      </c>
      <c r="S322">
        <v>0.32821705937385598</v>
      </c>
      <c r="T322">
        <f t="shared" si="51"/>
        <v>0</v>
      </c>
      <c r="U322" s="5">
        <v>0.7587545</v>
      </c>
      <c r="V322">
        <v>1</v>
      </c>
    </row>
    <row r="323" spans="1:22">
      <c r="A323" s="1">
        <v>1</v>
      </c>
      <c r="B323" s="1" t="s">
        <v>354</v>
      </c>
      <c r="C323" s="1">
        <v>1</v>
      </c>
      <c r="D323" s="33">
        <v>1</v>
      </c>
      <c r="E323" s="37">
        <v>1</v>
      </c>
      <c r="F323" s="37">
        <v>1</v>
      </c>
      <c r="G323">
        <v>0.921720922</v>
      </c>
      <c r="H323">
        <f t="shared" si="49"/>
        <v>1</v>
      </c>
      <c r="I323">
        <v>0.99829179048538197</v>
      </c>
      <c r="J323">
        <f t="shared" si="50"/>
        <v>1</v>
      </c>
      <c r="K323">
        <v>0.99788528680801403</v>
      </c>
      <c r="L323">
        <f t="shared" si="45"/>
        <v>1</v>
      </c>
      <c r="M323">
        <v>0.99721515199999999</v>
      </c>
      <c r="N323">
        <f t="shared" si="46"/>
        <v>1</v>
      </c>
      <c r="O323">
        <v>0.99887472391128496</v>
      </c>
      <c r="P323">
        <f t="shared" si="47"/>
        <v>1</v>
      </c>
      <c r="Q323">
        <v>0.87287598799999999</v>
      </c>
      <c r="R323">
        <f t="shared" si="48"/>
        <v>1</v>
      </c>
      <c r="S323">
        <v>0.99881100654601995</v>
      </c>
      <c r="T323">
        <f t="shared" si="51"/>
        <v>1</v>
      </c>
      <c r="U323" s="1">
        <v>0.77685004000000002</v>
      </c>
      <c r="V323">
        <v>1</v>
      </c>
    </row>
    <row r="324" spans="1:22">
      <c r="A324" s="1">
        <v>1</v>
      </c>
      <c r="B324" s="1" t="s">
        <v>355</v>
      </c>
      <c r="C324" s="1">
        <v>1</v>
      </c>
      <c r="D324" s="33">
        <v>1</v>
      </c>
      <c r="E324" s="37">
        <v>1</v>
      </c>
      <c r="F324" s="37">
        <v>1</v>
      </c>
      <c r="G324">
        <v>0.95221990300000003</v>
      </c>
      <c r="H324">
        <f t="shared" si="49"/>
        <v>1</v>
      </c>
      <c r="I324">
        <v>0.98674124479293801</v>
      </c>
      <c r="J324">
        <f t="shared" si="50"/>
        <v>1</v>
      </c>
      <c r="K324">
        <v>0.97388702630996704</v>
      </c>
      <c r="L324">
        <f t="shared" si="45"/>
        <v>1</v>
      </c>
      <c r="M324">
        <v>0.99072229899999997</v>
      </c>
      <c r="N324">
        <f t="shared" si="46"/>
        <v>1</v>
      </c>
      <c r="O324">
        <v>0.99539631605148304</v>
      </c>
      <c r="P324">
        <f t="shared" si="47"/>
        <v>1</v>
      </c>
      <c r="Q324">
        <v>0.28434962000000003</v>
      </c>
      <c r="R324">
        <f t="shared" si="48"/>
        <v>0</v>
      </c>
      <c r="S324">
        <v>0.999822318553925</v>
      </c>
      <c r="T324">
        <f t="shared" si="51"/>
        <v>1</v>
      </c>
      <c r="U324" s="1">
        <v>0.60663164000000003</v>
      </c>
      <c r="V324">
        <v>1</v>
      </c>
    </row>
    <row r="325" spans="1:22">
      <c r="A325" s="1">
        <v>1</v>
      </c>
      <c r="B325" s="1" t="s">
        <v>356</v>
      </c>
      <c r="C325" s="1">
        <v>1</v>
      </c>
      <c r="D325" s="33">
        <v>0</v>
      </c>
      <c r="E325" s="36">
        <v>1</v>
      </c>
      <c r="F325" s="37">
        <v>1</v>
      </c>
      <c r="G325">
        <v>0.89569753399999996</v>
      </c>
      <c r="H325">
        <f t="shared" si="49"/>
        <v>1</v>
      </c>
      <c r="I325">
        <v>0.90741109848022505</v>
      </c>
      <c r="J325">
        <f t="shared" si="50"/>
        <v>1</v>
      </c>
      <c r="K325">
        <v>0.93983918428420998</v>
      </c>
      <c r="L325">
        <f t="shared" ref="L325:L348" si="52">IF(K325&gt;$A$2,1,0)</f>
        <v>1</v>
      </c>
      <c r="M325">
        <v>0.92755633599999998</v>
      </c>
      <c r="N325">
        <f t="shared" ref="N325:N348" si="53">IF(M325&gt;$A$2,1,0)</f>
        <v>1</v>
      </c>
      <c r="O325">
        <v>0.88733500242233299</v>
      </c>
      <c r="P325">
        <f t="shared" ref="P325:P348" si="54">IF(O325&gt;$A$2,1,0)</f>
        <v>1</v>
      </c>
      <c r="Q325">
        <v>0.62789982600000005</v>
      </c>
      <c r="R325">
        <f t="shared" ref="R325:R348" si="55">IF(Q325&gt;$A$2,1,0)</f>
        <v>1</v>
      </c>
      <c r="S325">
        <v>0.99899345636367798</v>
      </c>
      <c r="T325">
        <f t="shared" si="51"/>
        <v>1</v>
      </c>
      <c r="U325" s="1">
        <v>0.79721934000000005</v>
      </c>
      <c r="V325">
        <v>1</v>
      </c>
    </row>
    <row r="326" spans="1:22">
      <c r="A326" s="1">
        <v>1</v>
      </c>
      <c r="B326" s="1" t="s">
        <v>358</v>
      </c>
      <c r="C326" s="1">
        <v>1</v>
      </c>
      <c r="D326" s="33">
        <v>1</v>
      </c>
      <c r="E326" s="37">
        <v>1</v>
      </c>
      <c r="F326" s="37">
        <v>1</v>
      </c>
      <c r="G326" s="30">
        <v>4.0561384999999998E-2</v>
      </c>
      <c r="H326">
        <f t="shared" si="49"/>
        <v>0</v>
      </c>
      <c r="I326" s="30">
        <v>1.936094718985E-3</v>
      </c>
      <c r="J326">
        <f t="shared" si="50"/>
        <v>0</v>
      </c>
      <c r="K326" s="30">
        <v>4.8073953948920001E-3</v>
      </c>
      <c r="L326">
        <f t="shared" si="52"/>
        <v>0</v>
      </c>
      <c r="M326">
        <v>4.4857609999999996E-3</v>
      </c>
      <c r="N326">
        <f t="shared" si="53"/>
        <v>0</v>
      </c>
      <c r="O326">
        <v>1.1557817459107E-2</v>
      </c>
      <c r="P326">
        <f t="shared" si="54"/>
        <v>0</v>
      </c>
      <c r="Q326">
        <v>0.36039179599999999</v>
      </c>
      <c r="R326">
        <f t="shared" si="55"/>
        <v>0</v>
      </c>
      <c r="S326">
        <v>4.5668300241232002E-2</v>
      </c>
      <c r="T326">
        <f t="shared" si="51"/>
        <v>0</v>
      </c>
      <c r="U326" s="1">
        <v>0.54824823</v>
      </c>
      <c r="V326">
        <v>0</v>
      </c>
    </row>
    <row r="327" spans="1:22">
      <c r="A327" s="1">
        <v>1</v>
      </c>
      <c r="B327" s="1" t="s">
        <v>359</v>
      </c>
      <c r="C327" s="1">
        <v>1</v>
      </c>
      <c r="D327" s="33">
        <v>1</v>
      </c>
      <c r="E327" s="37">
        <v>1</v>
      </c>
      <c r="F327" s="37">
        <v>1</v>
      </c>
      <c r="G327">
        <v>0.82455933100000001</v>
      </c>
      <c r="H327">
        <f t="shared" si="49"/>
        <v>1</v>
      </c>
      <c r="I327">
        <v>0.77369582653045599</v>
      </c>
      <c r="J327">
        <f t="shared" si="50"/>
        <v>1</v>
      </c>
      <c r="K327">
        <v>0.60009068250656095</v>
      </c>
      <c r="L327">
        <f t="shared" si="52"/>
        <v>1</v>
      </c>
      <c r="M327">
        <v>0.88057041199999997</v>
      </c>
      <c r="N327">
        <f t="shared" si="53"/>
        <v>1</v>
      </c>
      <c r="O327">
        <v>0.75883316993713401</v>
      </c>
      <c r="P327">
        <f t="shared" si="54"/>
        <v>1</v>
      </c>
      <c r="Q327">
        <v>0.63189375400000003</v>
      </c>
      <c r="R327">
        <f t="shared" si="55"/>
        <v>1</v>
      </c>
      <c r="S327">
        <v>0.97998112440109197</v>
      </c>
      <c r="T327">
        <f t="shared" si="51"/>
        <v>1</v>
      </c>
      <c r="U327" s="1">
        <v>0.70014732999999996</v>
      </c>
      <c r="V327">
        <v>1</v>
      </c>
    </row>
    <row r="328" spans="1:22">
      <c r="A328" s="1">
        <v>1</v>
      </c>
      <c r="B328" s="1" t="s">
        <v>360</v>
      </c>
      <c r="C328" s="1">
        <v>1</v>
      </c>
      <c r="D328" s="33">
        <v>1</v>
      </c>
      <c r="E328" s="37">
        <v>1</v>
      </c>
      <c r="F328" s="37">
        <v>1</v>
      </c>
      <c r="G328">
        <v>0.95791542500000004</v>
      </c>
      <c r="H328">
        <f t="shared" si="49"/>
        <v>1</v>
      </c>
      <c r="I328">
        <v>0.99727123975753795</v>
      </c>
      <c r="J328">
        <f t="shared" si="50"/>
        <v>1</v>
      </c>
      <c r="K328">
        <v>0.99755173921585105</v>
      </c>
      <c r="L328">
        <f t="shared" si="52"/>
        <v>1</v>
      </c>
      <c r="M328">
        <v>0.96540194700000004</v>
      </c>
      <c r="N328">
        <f t="shared" si="53"/>
        <v>1</v>
      </c>
      <c r="O328">
        <v>0.97648513317108199</v>
      </c>
      <c r="P328">
        <f t="shared" si="54"/>
        <v>1</v>
      </c>
      <c r="Q328">
        <v>0.79304456700000003</v>
      </c>
      <c r="R328">
        <f t="shared" si="55"/>
        <v>1</v>
      </c>
      <c r="S328">
        <v>0.97551608085632302</v>
      </c>
      <c r="T328">
        <f t="shared" si="51"/>
        <v>1</v>
      </c>
      <c r="U328" s="1">
        <v>0.80765030000000004</v>
      </c>
      <c r="V328">
        <v>1</v>
      </c>
    </row>
    <row r="329" spans="1:22">
      <c r="A329" s="1">
        <v>1</v>
      </c>
      <c r="B329" s="1" t="s">
        <v>361</v>
      </c>
      <c r="C329" s="1">
        <v>1</v>
      </c>
      <c r="D329" s="33">
        <v>1</v>
      </c>
      <c r="E329" s="37">
        <v>1</v>
      </c>
      <c r="F329" s="37">
        <v>1</v>
      </c>
      <c r="G329">
        <v>0.88535261200000004</v>
      </c>
      <c r="H329">
        <f t="shared" si="49"/>
        <v>1</v>
      </c>
      <c r="I329">
        <v>0.98773163557052601</v>
      </c>
      <c r="J329">
        <f t="shared" si="50"/>
        <v>1</v>
      </c>
      <c r="K329">
        <v>0.99925893545150801</v>
      </c>
      <c r="L329">
        <f t="shared" si="52"/>
        <v>1</v>
      </c>
      <c r="M329">
        <v>0.99226778699999996</v>
      </c>
      <c r="N329">
        <f t="shared" si="53"/>
        <v>1</v>
      </c>
      <c r="O329">
        <v>0.79088562726974498</v>
      </c>
      <c r="P329">
        <f t="shared" si="54"/>
        <v>1</v>
      </c>
      <c r="Q329">
        <v>0.69243180800000004</v>
      </c>
      <c r="R329">
        <f t="shared" si="55"/>
        <v>1</v>
      </c>
      <c r="S329">
        <v>0.95220184326171897</v>
      </c>
      <c r="T329">
        <f t="shared" si="51"/>
        <v>1</v>
      </c>
      <c r="U329" s="1">
        <v>0.74430065999999995</v>
      </c>
      <c r="V329">
        <v>1</v>
      </c>
    </row>
    <row r="330" spans="1:22">
      <c r="A330" s="1">
        <v>1</v>
      </c>
      <c r="B330" s="1" t="s">
        <v>362</v>
      </c>
      <c r="C330" s="1">
        <v>1</v>
      </c>
      <c r="D330" s="33">
        <v>1</v>
      </c>
      <c r="E330" s="37">
        <v>1</v>
      </c>
      <c r="F330" s="37">
        <v>1</v>
      </c>
      <c r="G330">
        <v>0.92484861600000001</v>
      </c>
      <c r="H330">
        <f t="shared" si="49"/>
        <v>1</v>
      </c>
      <c r="I330">
        <v>0.60330975055694602</v>
      </c>
      <c r="J330">
        <f t="shared" si="50"/>
        <v>1</v>
      </c>
      <c r="K330">
        <v>0.99730253219604503</v>
      </c>
      <c r="L330">
        <f t="shared" si="52"/>
        <v>1</v>
      </c>
      <c r="M330">
        <v>0.99871039399999995</v>
      </c>
      <c r="N330">
        <f t="shared" si="53"/>
        <v>1</v>
      </c>
      <c r="O330">
        <v>0.95279085636138905</v>
      </c>
      <c r="P330">
        <f t="shared" si="54"/>
        <v>1</v>
      </c>
      <c r="Q330">
        <v>0.69650751399999999</v>
      </c>
      <c r="R330">
        <f t="shared" si="55"/>
        <v>1</v>
      </c>
      <c r="S330">
        <v>0.65254831314086903</v>
      </c>
      <c r="T330">
        <f t="shared" si="51"/>
        <v>1</v>
      </c>
      <c r="U330" s="1">
        <v>0.73397559999999995</v>
      </c>
      <c r="V330">
        <v>1</v>
      </c>
    </row>
    <row r="331" spans="1:22">
      <c r="A331" s="1">
        <v>1</v>
      </c>
      <c r="B331" s="1" t="s">
        <v>363</v>
      </c>
      <c r="C331" s="1">
        <v>1</v>
      </c>
      <c r="D331" s="33">
        <v>0</v>
      </c>
      <c r="E331" s="36">
        <v>1</v>
      </c>
      <c r="F331" s="37">
        <v>1</v>
      </c>
      <c r="G331">
        <v>0.79372858999999996</v>
      </c>
      <c r="H331">
        <f t="shared" si="49"/>
        <v>1</v>
      </c>
      <c r="I331">
        <v>0.87115651369094904</v>
      </c>
      <c r="J331">
        <f t="shared" si="50"/>
        <v>1</v>
      </c>
      <c r="K331">
        <v>0.97150570154190097</v>
      </c>
      <c r="L331">
        <f t="shared" si="52"/>
        <v>1</v>
      </c>
      <c r="M331">
        <v>7.7494830000000001E-2</v>
      </c>
      <c r="N331">
        <f t="shared" si="53"/>
        <v>0</v>
      </c>
      <c r="O331">
        <v>0.44400262832641602</v>
      </c>
      <c r="P331">
        <f t="shared" si="54"/>
        <v>0</v>
      </c>
      <c r="Q331">
        <v>0.50254297299999995</v>
      </c>
      <c r="R331">
        <f t="shared" si="55"/>
        <v>1</v>
      </c>
      <c r="S331">
        <v>7.5280857272449998E-3</v>
      </c>
      <c r="T331">
        <f t="shared" si="51"/>
        <v>0</v>
      </c>
      <c r="U331" s="1">
        <v>0.56169440000000004</v>
      </c>
      <c r="V331">
        <v>0</v>
      </c>
    </row>
    <row r="332" spans="1:22">
      <c r="A332" s="1">
        <v>1</v>
      </c>
      <c r="B332" s="1" t="s">
        <v>364</v>
      </c>
      <c r="C332" s="1">
        <v>1</v>
      </c>
      <c r="D332" s="33">
        <v>1</v>
      </c>
      <c r="E332" s="37">
        <v>1</v>
      </c>
      <c r="F332" s="37">
        <v>1</v>
      </c>
      <c r="G332">
        <v>0.61025285699999998</v>
      </c>
      <c r="H332">
        <f t="shared" si="49"/>
        <v>1</v>
      </c>
      <c r="I332">
        <v>0.57963532209396396</v>
      </c>
      <c r="J332">
        <f t="shared" si="50"/>
        <v>1</v>
      </c>
      <c r="K332">
        <v>0.86885607242584195</v>
      </c>
      <c r="L332">
        <f t="shared" si="52"/>
        <v>1</v>
      </c>
      <c r="M332">
        <v>0.87923711500000001</v>
      </c>
      <c r="N332">
        <f t="shared" si="53"/>
        <v>1</v>
      </c>
      <c r="O332">
        <v>0.581310033798218</v>
      </c>
      <c r="P332">
        <f t="shared" si="54"/>
        <v>1</v>
      </c>
      <c r="Q332">
        <v>0.55633574699999999</v>
      </c>
      <c r="R332">
        <f t="shared" si="55"/>
        <v>1</v>
      </c>
      <c r="S332">
        <v>0.65169805288314797</v>
      </c>
      <c r="T332">
        <f t="shared" si="51"/>
        <v>1</v>
      </c>
      <c r="U332" s="1">
        <v>0.71654724999999997</v>
      </c>
      <c r="V332">
        <v>1</v>
      </c>
    </row>
    <row r="333" spans="1:22">
      <c r="A333" s="1">
        <v>1</v>
      </c>
      <c r="B333" s="1" t="s">
        <v>365</v>
      </c>
      <c r="C333" s="1">
        <v>1</v>
      </c>
      <c r="D333" s="33">
        <v>0</v>
      </c>
      <c r="E333" s="37">
        <v>1</v>
      </c>
      <c r="F333" s="37">
        <v>1</v>
      </c>
      <c r="G333">
        <v>5.0614252999999998E-2</v>
      </c>
      <c r="H333">
        <f t="shared" si="49"/>
        <v>0</v>
      </c>
      <c r="I333">
        <v>0.161603018641472</v>
      </c>
      <c r="J333">
        <f t="shared" si="50"/>
        <v>0</v>
      </c>
      <c r="K333">
        <v>2.8123175725340999E-2</v>
      </c>
      <c r="L333">
        <f t="shared" si="52"/>
        <v>0</v>
      </c>
      <c r="M333">
        <v>6.2535412999999998E-2</v>
      </c>
      <c r="N333">
        <f t="shared" si="53"/>
        <v>0</v>
      </c>
      <c r="O333">
        <v>6.8527966737746998E-2</v>
      </c>
      <c r="P333">
        <f t="shared" si="54"/>
        <v>0</v>
      </c>
      <c r="Q333">
        <v>0.26486021300000001</v>
      </c>
      <c r="R333">
        <f t="shared" si="55"/>
        <v>0</v>
      </c>
      <c r="S333">
        <v>3.2985117286444002E-2</v>
      </c>
      <c r="T333">
        <f t="shared" si="51"/>
        <v>0</v>
      </c>
      <c r="U333" s="1">
        <v>0.31931472</v>
      </c>
      <c r="V333">
        <v>0</v>
      </c>
    </row>
    <row r="334" spans="1:22">
      <c r="A334" s="1">
        <v>1</v>
      </c>
      <c r="B334" s="1" t="s">
        <v>366</v>
      </c>
      <c r="C334" s="1">
        <v>1</v>
      </c>
      <c r="D334" s="33">
        <v>1</v>
      </c>
      <c r="E334" s="37">
        <v>1</v>
      </c>
      <c r="F334" s="37">
        <v>1</v>
      </c>
      <c r="G334">
        <v>0.66654580799999996</v>
      </c>
      <c r="H334">
        <f t="shared" si="49"/>
        <v>1</v>
      </c>
      <c r="I334">
        <v>0.96832209825515803</v>
      </c>
      <c r="J334">
        <f t="shared" si="50"/>
        <v>1</v>
      </c>
      <c r="K334">
        <v>0.88684010505676303</v>
      </c>
      <c r="L334">
        <f t="shared" si="52"/>
        <v>1</v>
      </c>
      <c r="M334">
        <v>0.95699065900000002</v>
      </c>
      <c r="N334">
        <f t="shared" si="53"/>
        <v>1</v>
      </c>
      <c r="O334">
        <v>0.81374365091323897</v>
      </c>
      <c r="P334">
        <f t="shared" si="54"/>
        <v>1</v>
      </c>
      <c r="Q334">
        <v>0.351434052</v>
      </c>
      <c r="R334">
        <f t="shared" si="55"/>
        <v>0</v>
      </c>
      <c r="S334">
        <v>0.41959571838378901</v>
      </c>
      <c r="T334">
        <f t="shared" si="51"/>
        <v>0</v>
      </c>
      <c r="U334" s="1">
        <v>0.65466535000000003</v>
      </c>
      <c r="V334">
        <v>1</v>
      </c>
    </row>
    <row r="335" spans="1:22">
      <c r="A335" s="1">
        <v>1</v>
      </c>
      <c r="B335" s="1" t="s">
        <v>367</v>
      </c>
      <c r="C335" s="1">
        <v>1</v>
      </c>
      <c r="D335" s="33">
        <v>1</v>
      </c>
      <c r="E335" s="37">
        <v>1</v>
      </c>
      <c r="F335" s="37">
        <v>1</v>
      </c>
      <c r="G335">
        <v>0.97219014199999998</v>
      </c>
      <c r="H335">
        <f t="shared" si="49"/>
        <v>1</v>
      </c>
      <c r="I335">
        <v>0.99950563907623302</v>
      </c>
      <c r="J335">
        <f t="shared" si="50"/>
        <v>1</v>
      </c>
      <c r="K335">
        <v>0.99964952468872104</v>
      </c>
      <c r="L335">
        <f t="shared" si="52"/>
        <v>1</v>
      </c>
      <c r="M335">
        <v>0.99550408099999999</v>
      </c>
      <c r="N335">
        <f t="shared" si="53"/>
        <v>1</v>
      </c>
      <c r="O335">
        <v>0.99492478370666504</v>
      </c>
      <c r="P335">
        <f t="shared" si="54"/>
        <v>1</v>
      </c>
      <c r="Q335">
        <v>0.71940463799999999</v>
      </c>
      <c r="R335">
        <f t="shared" si="55"/>
        <v>1</v>
      </c>
      <c r="S335">
        <v>0.99997210502624501</v>
      </c>
      <c r="T335">
        <f t="shared" si="51"/>
        <v>1</v>
      </c>
      <c r="U335" s="1">
        <v>0.79813296</v>
      </c>
      <c r="V335">
        <v>1</v>
      </c>
    </row>
    <row r="336" spans="1:22">
      <c r="A336" s="1">
        <v>1</v>
      </c>
      <c r="B336" s="1" t="s">
        <v>368</v>
      </c>
      <c r="C336" s="1">
        <v>1</v>
      </c>
      <c r="D336" s="33">
        <v>1</v>
      </c>
      <c r="E336" s="37">
        <v>1</v>
      </c>
      <c r="F336" s="37">
        <v>1</v>
      </c>
      <c r="G336">
        <v>0.784492195</v>
      </c>
      <c r="H336">
        <f t="shared" si="49"/>
        <v>1</v>
      </c>
      <c r="I336">
        <v>0.91990631818771396</v>
      </c>
      <c r="J336">
        <f t="shared" si="50"/>
        <v>1</v>
      </c>
      <c r="K336">
        <v>0.96577906608581499</v>
      </c>
      <c r="L336">
        <f t="shared" si="52"/>
        <v>1</v>
      </c>
      <c r="M336">
        <v>0.63078659800000003</v>
      </c>
      <c r="N336">
        <f t="shared" si="53"/>
        <v>1</v>
      </c>
      <c r="O336">
        <v>0.14964336156845101</v>
      </c>
      <c r="P336">
        <f t="shared" si="54"/>
        <v>0</v>
      </c>
      <c r="Q336">
        <v>0.65360355400000003</v>
      </c>
      <c r="R336">
        <f t="shared" si="55"/>
        <v>1</v>
      </c>
      <c r="S336">
        <v>0.991011142730713</v>
      </c>
      <c r="T336">
        <f t="shared" si="51"/>
        <v>1</v>
      </c>
      <c r="U336" s="1">
        <v>0.5859297</v>
      </c>
      <c r="V336">
        <v>0</v>
      </c>
    </row>
    <row r="337" spans="1:22">
      <c r="A337" s="1">
        <v>1</v>
      </c>
      <c r="B337" s="1" t="s">
        <v>369</v>
      </c>
      <c r="C337" s="1">
        <v>1</v>
      </c>
      <c r="D337" s="33">
        <v>1</v>
      </c>
      <c r="E337" s="37">
        <v>1</v>
      </c>
      <c r="F337" s="37">
        <v>1</v>
      </c>
      <c r="G337">
        <v>0.94113719500000004</v>
      </c>
      <c r="H337">
        <f t="shared" si="49"/>
        <v>1</v>
      </c>
      <c r="I337">
        <v>0.999323010444641</v>
      </c>
      <c r="J337">
        <f t="shared" si="50"/>
        <v>1</v>
      </c>
      <c r="K337">
        <v>0.99967515468597401</v>
      </c>
      <c r="L337">
        <f t="shared" si="52"/>
        <v>1</v>
      </c>
      <c r="M337">
        <v>0.96157431599999998</v>
      </c>
      <c r="N337">
        <f t="shared" si="53"/>
        <v>1</v>
      </c>
      <c r="O337">
        <v>0.99206662178039595</v>
      </c>
      <c r="P337">
        <f t="shared" si="54"/>
        <v>1</v>
      </c>
      <c r="Q337">
        <v>0.79772037299999998</v>
      </c>
      <c r="R337">
        <f t="shared" si="55"/>
        <v>1</v>
      </c>
      <c r="S337">
        <v>0.98947656154632602</v>
      </c>
      <c r="T337">
        <f t="shared" si="51"/>
        <v>1</v>
      </c>
      <c r="U337" s="1">
        <v>0.71057650000000006</v>
      </c>
      <c r="V337">
        <v>1</v>
      </c>
    </row>
    <row r="338" spans="1:22">
      <c r="A338" s="1">
        <v>1</v>
      </c>
      <c r="B338" s="1" t="s">
        <v>370</v>
      </c>
      <c r="C338" s="1">
        <v>1</v>
      </c>
      <c r="D338" s="33">
        <v>1</v>
      </c>
      <c r="E338" s="37">
        <v>1</v>
      </c>
      <c r="F338" s="37">
        <v>1</v>
      </c>
      <c r="G338">
        <v>0.98359644400000001</v>
      </c>
      <c r="H338">
        <f t="shared" si="49"/>
        <v>1</v>
      </c>
      <c r="I338">
        <v>0.99228477478027299</v>
      </c>
      <c r="J338">
        <f t="shared" si="50"/>
        <v>1</v>
      </c>
      <c r="K338">
        <v>0.986133992671967</v>
      </c>
      <c r="L338">
        <f t="shared" si="52"/>
        <v>1</v>
      </c>
      <c r="M338">
        <v>0.997678697</v>
      </c>
      <c r="N338">
        <f t="shared" si="53"/>
        <v>1</v>
      </c>
      <c r="O338">
        <v>0.98903602361679099</v>
      </c>
      <c r="P338">
        <f t="shared" si="54"/>
        <v>1</v>
      </c>
      <c r="Q338">
        <v>0.62355709100000001</v>
      </c>
      <c r="R338">
        <f t="shared" si="55"/>
        <v>1</v>
      </c>
      <c r="S338">
        <v>0.99977475404739402</v>
      </c>
      <c r="T338">
        <f t="shared" si="51"/>
        <v>1</v>
      </c>
      <c r="U338" s="1">
        <v>0.76600409999999997</v>
      </c>
      <c r="V338">
        <v>1</v>
      </c>
    </row>
    <row r="339" spans="1:22">
      <c r="A339" s="1">
        <v>1</v>
      </c>
      <c r="B339" s="1" t="s">
        <v>371</v>
      </c>
      <c r="C339" s="1">
        <v>1</v>
      </c>
      <c r="D339" s="33">
        <v>1</v>
      </c>
      <c r="E339" s="37">
        <v>1</v>
      </c>
      <c r="F339" s="37">
        <v>1</v>
      </c>
      <c r="G339">
        <v>0.97527653000000003</v>
      </c>
      <c r="H339">
        <f t="shared" si="49"/>
        <v>1</v>
      </c>
      <c r="I339">
        <v>0.99998092651367199</v>
      </c>
      <c r="J339">
        <f t="shared" si="50"/>
        <v>1</v>
      </c>
      <c r="K339">
        <v>0.98672175407409701</v>
      </c>
      <c r="L339">
        <f t="shared" si="52"/>
        <v>1</v>
      </c>
      <c r="M339">
        <v>0.92713028200000003</v>
      </c>
      <c r="N339">
        <f t="shared" si="53"/>
        <v>1</v>
      </c>
      <c r="O339">
        <v>0.90882652997970603</v>
      </c>
      <c r="P339">
        <f t="shared" si="54"/>
        <v>1</v>
      </c>
      <c r="Q339">
        <v>0.84400272399999998</v>
      </c>
      <c r="R339">
        <f t="shared" si="55"/>
        <v>1</v>
      </c>
      <c r="S339">
        <v>0.98621910810470603</v>
      </c>
      <c r="T339">
        <f t="shared" si="51"/>
        <v>1</v>
      </c>
      <c r="U339" s="1">
        <v>0.80109249999999999</v>
      </c>
      <c r="V339">
        <v>1</v>
      </c>
    </row>
    <row r="340" spans="1:22">
      <c r="A340" s="1">
        <v>1</v>
      </c>
      <c r="B340" s="1" t="s">
        <v>372</v>
      </c>
      <c r="C340" s="1">
        <v>1</v>
      </c>
      <c r="D340" s="33">
        <v>0</v>
      </c>
      <c r="E340" s="36">
        <v>0</v>
      </c>
      <c r="F340" s="37">
        <v>1</v>
      </c>
      <c r="G340">
        <v>0.96809899799999999</v>
      </c>
      <c r="H340">
        <f t="shared" si="49"/>
        <v>1</v>
      </c>
      <c r="I340">
        <v>0.99990403652191195</v>
      </c>
      <c r="J340">
        <f t="shared" si="50"/>
        <v>1</v>
      </c>
      <c r="K340">
        <v>0.99460184574127197</v>
      </c>
      <c r="L340">
        <f t="shared" si="52"/>
        <v>1</v>
      </c>
      <c r="M340">
        <v>0.99983859100000005</v>
      </c>
      <c r="N340">
        <f t="shared" si="53"/>
        <v>1</v>
      </c>
      <c r="O340">
        <v>0.96240979433059703</v>
      </c>
      <c r="P340">
        <f t="shared" si="54"/>
        <v>1</v>
      </c>
      <c r="Q340">
        <v>0.687233388</v>
      </c>
      <c r="R340">
        <f t="shared" si="55"/>
        <v>1</v>
      </c>
      <c r="S340">
        <v>0.98327893018722501</v>
      </c>
      <c r="T340">
        <f t="shared" si="51"/>
        <v>1</v>
      </c>
      <c r="U340" s="1">
        <v>0.80187297000000002</v>
      </c>
      <c r="V340">
        <v>1</v>
      </c>
    </row>
    <row r="341" spans="1:22">
      <c r="A341" s="1">
        <v>1</v>
      </c>
      <c r="B341" s="1" t="s">
        <v>373</v>
      </c>
      <c r="C341" s="1">
        <v>1</v>
      </c>
      <c r="D341" s="33">
        <v>1</v>
      </c>
      <c r="E341" s="37">
        <v>1</v>
      </c>
      <c r="F341" s="37">
        <v>1</v>
      </c>
      <c r="G341">
        <v>0.89569371900000005</v>
      </c>
      <c r="H341">
        <f t="shared" si="49"/>
        <v>1</v>
      </c>
      <c r="I341">
        <v>0.99976903200149503</v>
      </c>
      <c r="J341">
        <f t="shared" si="50"/>
        <v>1</v>
      </c>
      <c r="K341">
        <v>0.99947243928909302</v>
      </c>
      <c r="L341">
        <f t="shared" si="52"/>
        <v>1</v>
      </c>
      <c r="M341">
        <v>0.99790048600000003</v>
      </c>
      <c r="N341">
        <f t="shared" si="53"/>
        <v>1</v>
      </c>
      <c r="O341">
        <v>0.995605409145355</v>
      </c>
      <c r="P341">
        <f t="shared" si="54"/>
        <v>1</v>
      </c>
      <c r="Q341">
        <v>0.90947604199999998</v>
      </c>
      <c r="R341">
        <f t="shared" si="55"/>
        <v>1</v>
      </c>
      <c r="S341">
        <v>0.99662774801254295</v>
      </c>
      <c r="T341">
        <f t="shared" si="51"/>
        <v>1</v>
      </c>
      <c r="U341" s="1">
        <v>0.80095594999999997</v>
      </c>
      <c r="V341">
        <v>1</v>
      </c>
    </row>
    <row r="342" spans="1:22">
      <c r="A342" s="1">
        <v>1</v>
      </c>
      <c r="B342" s="1" t="s">
        <v>374</v>
      </c>
      <c r="C342" s="1">
        <v>1</v>
      </c>
      <c r="D342" s="33">
        <v>1</v>
      </c>
      <c r="E342" s="37">
        <v>1</v>
      </c>
      <c r="F342" s="37">
        <v>1</v>
      </c>
      <c r="G342">
        <v>0.80103123200000004</v>
      </c>
      <c r="H342">
        <f t="shared" si="49"/>
        <v>1</v>
      </c>
      <c r="I342">
        <v>0.994981348514557</v>
      </c>
      <c r="J342">
        <f t="shared" si="50"/>
        <v>1</v>
      </c>
      <c r="K342">
        <v>0.86103630065918002</v>
      </c>
      <c r="L342">
        <f t="shared" si="52"/>
        <v>1</v>
      </c>
      <c r="M342">
        <v>0.50121742499999999</v>
      </c>
      <c r="N342">
        <f t="shared" si="53"/>
        <v>1</v>
      </c>
      <c r="O342">
        <v>0.81283134222030595</v>
      </c>
      <c r="P342">
        <f t="shared" si="54"/>
        <v>1</v>
      </c>
      <c r="Q342">
        <v>0.51202958799999998</v>
      </c>
      <c r="R342">
        <f t="shared" si="55"/>
        <v>1</v>
      </c>
      <c r="S342">
        <v>6.9217845797538993E-2</v>
      </c>
      <c r="T342">
        <f t="shared" si="51"/>
        <v>0</v>
      </c>
      <c r="U342" s="1">
        <v>0.65700203000000001</v>
      </c>
      <c r="V342">
        <v>1</v>
      </c>
    </row>
    <row r="343" spans="1:22">
      <c r="A343" s="1">
        <v>1</v>
      </c>
      <c r="B343" s="1" t="s">
        <v>375</v>
      </c>
      <c r="C343" s="1">
        <v>1</v>
      </c>
      <c r="D343" s="33">
        <v>1</v>
      </c>
      <c r="E343" s="36">
        <v>1</v>
      </c>
      <c r="F343" s="37">
        <v>1</v>
      </c>
      <c r="G343">
        <v>0.32075726999999998</v>
      </c>
      <c r="H343">
        <f t="shared" si="49"/>
        <v>0</v>
      </c>
      <c r="I343">
        <v>0.83821988105773904</v>
      </c>
      <c r="J343">
        <f t="shared" si="50"/>
        <v>1</v>
      </c>
      <c r="K343">
        <v>0.20898662507533999</v>
      </c>
      <c r="L343">
        <f t="shared" si="52"/>
        <v>0</v>
      </c>
      <c r="M343" s="30">
        <v>0.26947566899999997</v>
      </c>
      <c r="N343">
        <f t="shared" si="53"/>
        <v>0</v>
      </c>
      <c r="O343">
        <v>0.42015373706817599</v>
      </c>
      <c r="P343">
        <f t="shared" si="54"/>
        <v>0</v>
      </c>
      <c r="Q343">
        <v>0.64303439900000003</v>
      </c>
      <c r="R343">
        <f t="shared" si="55"/>
        <v>1</v>
      </c>
      <c r="S343">
        <v>0.64691436290741</v>
      </c>
      <c r="T343">
        <f t="shared" si="51"/>
        <v>1</v>
      </c>
      <c r="U343" s="1">
        <v>0.74670386</v>
      </c>
      <c r="V343">
        <v>1</v>
      </c>
    </row>
    <row r="344" spans="1:22">
      <c r="A344" s="1">
        <v>1</v>
      </c>
      <c r="B344" s="1" t="s">
        <v>376</v>
      </c>
      <c r="C344" s="1">
        <v>1</v>
      </c>
      <c r="D344" s="33">
        <v>1</v>
      </c>
      <c r="E344" s="37">
        <v>1</v>
      </c>
      <c r="F344" s="37">
        <v>1</v>
      </c>
      <c r="G344">
        <v>0.96899902800000004</v>
      </c>
      <c r="H344">
        <f t="shared" si="49"/>
        <v>1</v>
      </c>
      <c r="I344">
        <v>0.99999988079071001</v>
      </c>
      <c r="J344">
        <f t="shared" si="50"/>
        <v>1</v>
      </c>
      <c r="K344">
        <v>0.99999201297759999</v>
      </c>
      <c r="L344">
        <f t="shared" si="52"/>
        <v>1</v>
      </c>
      <c r="M344">
        <v>0.99999249000000001</v>
      </c>
      <c r="N344">
        <f t="shared" si="53"/>
        <v>1</v>
      </c>
      <c r="O344">
        <v>0.99987447261810303</v>
      </c>
      <c r="P344">
        <f t="shared" si="54"/>
        <v>1</v>
      </c>
      <c r="Q344">
        <v>0.85334289100000005</v>
      </c>
      <c r="R344">
        <f t="shared" si="55"/>
        <v>1</v>
      </c>
      <c r="S344">
        <v>1</v>
      </c>
      <c r="T344">
        <f t="shared" si="51"/>
        <v>1</v>
      </c>
      <c r="U344" s="1">
        <v>0.804925</v>
      </c>
      <c r="V344">
        <v>1</v>
      </c>
    </row>
    <row r="345" spans="1:22">
      <c r="A345" s="1">
        <v>1</v>
      </c>
      <c r="B345" s="1" t="s">
        <v>377</v>
      </c>
      <c r="C345" s="1">
        <v>1</v>
      </c>
      <c r="D345" s="33">
        <v>1</v>
      </c>
      <c r="E345" s="37">
        <v>1</v>
      </c>
      <c r="F345" s="37">
        <v>1</v>
      </c>
      <c r="G345">
        <v>0.72187316400000001</v>
      </c>
      <c r="H345">
        <f t="shared" si="49"/>
        <v>1</v>
      </c>
      <c r="I345">
        <v>0.99845147132873502</v>
      </c>
      <c r="J345">
        <f t="shared" si="50"/>
        <v>1</v>
      </c>
      <c r="K345">
        <v>0.97707110643386796</v>
      </c>
      <c r="L345">
        <f t="shared" si="52"/>
        <v>1</v>
      </c>
      <c r="M345" s="30">
        <v>0.96341460899999998</v>
      </c>
      <c r="N345">
        <f t="shared" si="53"/>
        <v>1</v>
      </c>
      <c r="O345">
        <v>0.88305246829986594</v>
      </c>
      <c r="P345">
        <f t="shared" si="54"/>
        <v>1</v>
      </c>
      <c r="Q345">
        <v>0.76981663700000003</v>
      </c>
      <c r="R345">
        <f t="shared" si="55"/>
        <v>1</v>
      </c>
      <c r="S345">
        <v>0.999012351036072</v>
      </c>
      <c r="T345">
        <f t="shared" si="51"/>
        <v>1</v>
      </c>
      <c r="U345" s="1">
        <v>0.78613805999999997</v>
      </c>
      <c r="V345">
        <v>1</v>
      </c>
    </row>
    <row r="346" spans="1:22">
      <c r="A346" s="1">
        <v>1</v>
      </c>
      <c r="B346" s="1" t="s">
        <v>378</v>
      </c>
      <c r="C346" s="1">
        <v>1</v>
      </c>
      <c r="D346" s="33">
        <v>1</v>
      </c>
      <c r="E346" s="37">
        <v>1</v>
      </c>
      <c r="F346" s="37">
        <v>1</v>
      </c>
      <c r="G346">
        <v>0.97122353299999997</v>
      </c>
      <c r="H346">
        <f t="shared" si="49"/>
        <v>1</v>
      </c>
      <c r="I346">
        <v>0.99890255928039595</v>
      </c>
      <c r="J346">
        <f t="shared" si="50"/>
        <v>1</v>
      </c>
      <c r="K346">
        <v>0.99148339033126798</v>
      </c>
      <c r="L346">
        <f t="shared" si="52"/>
        <v>1</v>
      </c>
      <c r="M346">
        <v>0.99126607200000005</v>
      </c>
      <c r="N346">
        <f t="shared" si="53"/>
        <v>1</v>
      </c>
      <c r="O346">
        <v>0.98582839965820301</v>
      </c>
      <c r="P346">
        <f t="shared" si="54"/>
        <v>1</v>
      </c>
      <c r="Q346">
        <v>0.92622494700000002</v>
      </c>
      <c r="R346">
        <f t="shared" si="55"/>
        <v>1</v>
      </c>
      <c r="S346">
        <v>0.99726259708404497</v>
      </c>
      <c r="T346">
        <f t="shared" si="51"/>
        <v>1</v>
      </c>
      <c r="U346" s="1">
        <v>0.80718310000000004</v>
      </c>
      <c r="V346">
        <v>1</v>
      </c>
    </row>
    <row r="347" spans="1:22">
      <c r="A347" s="1">
        <v>1</v>
      </c>
      <c r="B347" s="1" t="s">
        <v>379</v>
      </c>
      <c r="C347" s="1">
        <v>1</v>
      </c>
      <c r="D347" s="33">
        <v>1</v>
      </c>
      <c r="E347" s="36">
        <v>0</v>
      </c>
      <c r="F347" s="37">
        <v>1</v>
      </c>
      <c r="G347">
        <v>0.98111236099999999</v>
      </c>
      <c r="H347">
        <f t="shared" si="49"/>
        <v>1</v>
      </c>
      <c r="I347">
        <v>0.99961060285568204</v>
      </c>
      <c r="J347">
        <f t="shared" si="50"/>
        <v>1</v>
      </c>
      <c r="K347">
        <v>0.99974793195724498</v>
      </c>
      <c r="L347">
        <f t="shared" si="52"/>
        <v>1</v>
      </c>
      <c r="M347" s="30">
        <v>0.99976366800000005</v>
      </c>
      <c r="N347">
        <f t="shared" si="53"/>
        <v>1</v>
      </c>
      <c r="O347">
        <v>0.99793088436126698</v>
      </c>
      <c r="P347">
        <f t="shared" si="54"/>
        <v>1</v>
      </c>
      <c r="Q347">
        <v>0.58657145499999996</v>
      </c>
      <c r="R347">
        <f t="shared" si="55"/>
        <v>1</v>
      </c>
      <c r="S347">
        <v>0.999348104000092</v>
      </c>
      <c r="T347">
        <f t="shared" si="51"/>
        <v>1</v>
      </c>
      <c r="U347" s="1">
        <v>0.74719924000000004</v>
      </c>
      <c r="V347">
        <v>1</v>
      </c>
    </row>
    <row r="348" spans="1:22">
      <c r="A348" s="1">
        <v>1</v>
      </c>
      <c r="B348" s="1" t="s">
        <v>380</v>
      </c>
      <c r="C348" s="1">
        <v>1</v>
      </c>
      <c r="D348" s="33">
        <v>1</v>
      </c>
      <c r="E348" s="37">
        <v>1</v>
      </c>
      <c r="F348" s="37">
        <v>1</v>
      </c>
      <c r="G348">
        <v>0.94390654600000001</v>
      </c>
      <c r="H348">
        <f t="shared" si="49"/>
        <v>1</v>
      </c>
      <c r="I348">
        <v>0.99986040592193604</v>
      </c>
      <c r="J348">
        <f t="shared" si="50"/>
        <v>1</v>
      </c>
      <c r="K348">
        <v>0.93570977449417103</v>
      </c>
      <c r="L348">
        <f t="shared" si="52"/>
        <v>1</v>
      </c>
      <c r="M348">
        <v>0.93874114799999997</v>
      </c>
      <c r="N348">
        <f t="shared" si="53"/>
        <v>1</v>
      </c>
      <c r="O348">
        <v>0.92406970262527499</v>
      </c>
      <c r="P348">
        <f t="shared" si="54"/>
        <v>1</v>
      </c>
      <c r="Q348">
        <v>0.73588901799999995</v>
      </c>
      <c r="R348">
        <f t="shared" si="55"/>
        <v>1</v>
      </c>
      <c r="S348">
        <v>0.98234564065933205</v>
      </c>
      <c r="T348">
        <f t="shared" si="51"/>
        <v>1</v>
      </c>
      <c r="U348" s="1">
        <v>0.68325806</v>
      </c>
      <c r="V348">
        <v>1</v>
      </c>
    </row>
    <row r="349" spans="1:22">
      <c r="A349" s="1" t="s">
        <v>381</v>
      </c>
      <c r="B349" s="1"/>
      <c r="C349" s="22"/>
      <c r="D349" s="33"/>
      <c r="E349" s="38"/>
      <c r="F349" s="38"/>
    </row>
    <row r="350" spans="1:22">
      <c r="A350" s="1">
        <v>0</v>
      </c>
      <c r="B350" s="1" t="s">
        <v>382</v>
      </c>
      <c r="C350" s="1">
        <v>0</v>
      </c>
      <c r="D350" s="33">
        <v>0</v>
      </c>
      <c r="E350" s="36">
        <v>0</v>
      </c>
      <c r="F350" s="37">
        <v>0</v>
      </c>
      <c r="G350">
        <v>5.8844610999999998E-2</v>
      </c>
      <c r="H350">
        <f t="shared" si="49"/>
        <v>0</v>
      </c>
      <c r="I350">
        <v>0.27192822098732</v>
      </c>
      <c r="J350">
        <f t="shared" si="50"/>
        <v>0</v>
      </c>
      <c r="K350">
        <v>0.128174468874931</v>
      </c>
      <c r="L350">
        <f t="shared" ref="L350:L409" si="56">IF(K350&gt;$A$2,1,0)</f>
        <v>0</v>
      </c>
      <c r="M350">
        <v>0.56108248199999999</v>
      </c>
      <c r="N350">
        <f t="shared" ref="N350:N409" si="57">IF(M350&gt;$A$2,1,0)</f>
        <v>1</v>
      </c>
      <c r="O350">
        <v>1.4362315414469999E-3</v>
      </c>
      <c r="P350">
        <f t="shared" ref="P350:P409" si="58">IF(O350&gt;$A$2,1,0)</f>
        <v>0</v>
      </c>
      <c r="Q350">
        <v>0.26986801599999999</v>
      </c>
      <c r="R350">
        <f t="shared" ref="R350:R409" si="59">IF(Q350&gt;$A$2,1,0)</f>
        <v>0</v>
      </c>
      <c r="S350">
        <v>3.1694166827950002E-3</v>
      </c>
      <c r="T350">
        <f t="shared" si="51"/>
        <v>0</v>
      </c>
      <c r="U350" s="1">
        <v>0.61328375000000002</v>
      </c>
      <c r="V350">
        <v>0</v>
      </c>
    </row>
    <row r="351" spans="1:22">
      <c r="A351" s="1">
        <v>0</v>
      </c>
      <c r="B351" s="1" t="s">
        <v>383</v>
      </c>
      <c r="C351" s="1">
        <v>0</v>
      </c>
      <c r="D351" s="33">
        <v>0</v>
      </c>
      <c r="E351" s="36">
        <v>0</v>
      </c>
      <c r="F351" s="37">
        <v>0</v>
      </c>
      <c r="G351">
        <v>6.0383458000000001E-2</v>
      </c>
      <c r="H351">
        <f t="shared" si="49"/>
        <v>0</v>
      </c>
      <c r="I351">
        <v>3.1854569911957002E-2</v>
      </c>
      <c r="J351">
        <f t="shared" si="50"/>
        <v>0</v>
      </c>
      <c r="K351">
        <v>0.51702368259429898</v>
      </c>
      <c r="L351">
        <f t="shared" si="56"/>
        <v>1</v>
      </c>
      <c r="M351">
        <v>0.53613162000000003</v>
      </c>
      <c r="N351">
        <f t="shared" si="57"/>
        <v>1</v>
      </c>
      <c r="O351">
        <v>0.250396698713303</v>
      </c>
      <c r="P351">
        <f t="shared" si="58"/>
        <v>0</v>
      </c>
      <c r="Q351">
        <v>0.44913825400000001</v>
      </c>
      <c r="R351">
        <f t="shared" si="59"/>
        <v>0</v>
      </c>
      <c r="S351">
        <v>7.4100583791732996E-2</v>
      </c>
      <c r="T351">
        <f t="shared" si="51"/>
        <v>0</v>
      </c>
      <c r="U351" s="1">
        <v>0.70206630000000003</v>
      </c>
      <c r="V351">
        <v>1</v>
      </c>
    </row>
    <row r="352" spans="1:22">
      <c r="A352" s="1">
        <v>0</v>
      </c>
      <c r="B352" s="1" t="s">
        <v>384</v>
      </c>
      <c r="C352" s="1">
        <v>0</v>
      </c>
      <c r="D352" s="33">
        <v>0</v>
      </c>
      <c r="E352" s="37">
        <v>1</v>
      </c>
      <c r="F352" s="37">
        <v>1</v>
      </c>
      <c r="G352">
        <v>0.41490834999999998</v>
      </c>
      <c r="H352">
        <f t="shared" si="49"/>
        <v>0</v>
      </c>
      <c r="I352">
        <v>0.77488702535629295</v>
      </c>
      <c r="J352">
        <f t="shared" si="50"/>
        <v>1</v>
      </c>
      <c r="K352">
        <v>0.71528190374374401</v>
      </c>
      <c r="L352">
        <f t="shared" si="56"/>
        <v>1</v>
      </c>
      <c r="M352">
        <v>0.91994363099999998</v>
      </c>
      <c r="N352">
        <f t="shared" si="57"/>
        <v>1</v>
      </c>
      <c r="O352">
        <v>0.88961917161941495</v>
      </c>
      <c r="P352">
        <f t="shared" si="58"/>
        <v>1</v>
      </c>
      <c r="Q352">
        <v>0.55119568100000005</v>
      </c>
      <c r="R352">
        <f t="shared" si="59"/>
        <v>1</v>
      </c>
      <c r="S352">
        <v>0.85984480381011996</v>
      </c>
      <c r="T352">
        <f t="shared" si="51"/>
        <v>1</v>
      </c>
      <c r="U352" s="1">
        <v>0.77831660000000003</v>
      </c>
      <c r="V352">
        <v>1</v>
      </c>
    </row>
    <row r="353" spans="1:22">
      <c r="A353" s="1">
        <v>0</v>
      </c>
      <c r="B353" s="1" t="s">
        <v>385</v>
      </c>
      <c r="C353" s="1">
        <v>0</v>
      </c>
      <c r="D353" s="33">
        <v>0</v>
      </c>
      <c r="E353" s="36">
        <v>0</v>
      </c>
      <c r="F353" s="37">
        <v>0</v>
      </c>
      <c r="G353">
        <v>5.7221826000000003E-2</v>
      </c>
      <c r="H353">
        <f t="shared" si="49"/>
        <v>0</v>
      </c>
      <c r="I353">
        <v>3.569827182218E-3</v>
      </c>
      <c r="J353">
        <f t="shared" si="50"/>
        <v>0</v>
      </c>
      <c r="K353">
        <v>0.18251986801624301</v>
      </c>
      <c r="L353">
        <f t="shared" si="56"/>
        <v>0</v>
      </c>
      <c r="M353">
        <v>0.302335083</v>
      </c>
      <c r="N353">
        <f t="shared" si="57"/>
        <v>0</v>
      </c>
      <c r="O353">
        <v>1.0844892822206E-2</v>
      </c>
      <c r="P353">
        <f t="shared" si="58"/>
        <v>0</v>
      </c>
      <c r="Q353" s="30">
        <v>0.20654246200000001</v>
      </c>
      <c r="R353">
        <f t="shared" si="59"/>
        <v>0</v>
      </c>
      <c r="S353">
        <v>4.5301634818315999E-2</v>
      </c>
      <c r="T353">
        <f t="shared" si="51"/>
        <v>0</v>
      </c>
      <c r="U353" s="1">
        <v>0.26005193999999998</v>
      </c>
      <c r="V353">
        <v>0</v>
      </c>
    </row>
    <row r="354" spans="1:22">
      <c r="A354" s="1">
        <v>0</v>
      </c>
      <c r="B354" s="1" t="s">
        <v>386</v>
      </c>
      <c r="C354" s="1">
        <v>0</v>
      </c>
      <c r="D354" s="33">
        <v>1</v>
      </c>
      <c r="E354" s="37">
        <v>1</v>
      </c>
      <c r="F354" s="37">
        <v>0</v>
      </c>
      <c r="G354">
        <v>0.17206184599999999</v>
      </c>
      <c r="H354">
        <f t="shared" si="49"/>
        <v>0</v>
      </c>
      <c r="I354">
        <v>0.890988409519196</v>
      </c>
      <c r="J354">
        <f t="shared" si="50"/>
        <v>1</v>
      </c>
      <c r="K354">
        <v>0.477448850870132</v>
      </c>
      <c r="L354">
        <f t="shared" si="56"/>
        <v>0</v>
      </c>
      <c r="M354" s="30">
        <v>0.48319825500000002</v>
      </c>
      <c r="N354">
        <f t="shared" si="57"/>
        <v>0</v>
      </c>
      <c r="O354">
        <v>9.7660399973393E-2</v>
      </c>
      <c r="P354">
        <f t="shared" si="58"/>
        <v>0</v>
      </c>
      <c r="Q354">
        <v>0.32603961199999998</v>
      </c>
      <c r="R354">
        <f t="shared" si="59"/>
        <v>0</v>
      </c>
      <c r="S354">
        <v>0.122360572218895</v>
      </c>
      <c r="T354">
        <f t="shared" si="51"/>
        <v>0</v>
      </c>
      <c r="U354" s="1">
        <v>0.53470189999999995</v>
      </c>
      <c r="V354">
        <v>0</v>
      </c>
    </row>
    <row r="355" spans="1:22">
      <c r="A355" s="1">
        <v>0</v>
      </c>
      <c r="B355" s="1" t="s">
        <v>387</v>
      </c>
      <c r="C355" s="1">
        <v>0</v>
      </c>
      <c r="D355" s="33">
        <v>0</v>
      </c>
      <c r="E355" s="36">
        <v>0</v>
      </c>
      <c r="F355" s="37">
        <v>0</v>
      </c>
      <c r="G355">
        <v>3.6252614000000002E-2</v>
      </c>
      <c r="H355">
        <f t="shared" si="49"/>
        <v>0</v>
      </c>
      <c r="I355" s="30">
        <v>1.8250802531800001E-4</v>
      </c>
      <c r="J355">
        <f t="shared" si="50"/>
        <v>0</v>
      </c>
      <c r="K355" s="30">
        <v>1.8696777522564E-2</v>
      </c>
      <c r="L355">
        <f t="shared" si="56"/>
        <v>0</v>
      </c>
      <c r="M355">
        <v>6.3391268000000001E-2</v>
      </c>
      <c r="N355">
        <f t="shared" si="57"/>
        <v>0</v>
      </c>
      <c r="O355">
        <v>1.07974061393E-4</v>
      </c>
      <c r="P355">
        <f t="shared" si="58"/>
        <v>0</v>
      </c>
      <c r="Q355">
        <v>7.9141527000000003E-2</v>
      </c>
      <c r="R355">
        <f t="shared" si="59"/>
        <v>0</v>
      </c>
      <c r="S355">
        <v>3.69117944501E-4</v>
      </c>
      <c r="T355">
        <f t="shared" si="51"/>
        <v>0</v>
      </c>
      <c r="U355" s="1">
        <v>9.0633279999999997E-2</v>
      </c>
      <c r="V355">
        <v>0</v>
      </c>
    </row>
    <row r="356" spans="1:22">
      <c r="A356" s="1">
        <v>0</v>
      </c>
      <c r="B356" s="1" t="s">
        <v>388</v>
      </c>
      <c r="C356" s="1">
        <v>0</v>
      </c>
      <c r="D356" s="33">
        <v>0</v>
      </c>
      <c r="E356" s="36">
        <v>0</v>
      </c>
      <c r="F356" s="37">
        <v>0</v>
      </c>
      <c r="G356">
        <v>4.8599536999999998E-2</v>
      </c>
      <c r="H356">
        <f t="shared" si="49"/>
        <v>0</v>
      </c>
      <c r="I356">
        <v>2.18806686462E-4</v>
      </c>
      <c r="J356">
        <f t="shared" si="50"/>
        <v>0</v>
      </c>
      <c r="K356">
        <v>5.2136767655610997E-2</v>
      </c>
      <c r="L356">
        <f t="shared" si="56"/>
        <v>0</v>
      </c>
      <c r="M356" s="30">
        <v>7.7980590000000004E-3</v>
      </c>
      <c r="N356">
        <f t="shared" si="57"/>
        <v>0</v>
      </c>
      <c r="O356" s="30">
        <v>1.4004099284648E-5</v>
      </c>
      <c r="P356">
        <f t="shared" si="58"/>
        <v>0</v>
      </c>
      <c r="Q356">
        <v>0.125578105</v>
      </c>
      <c r="R356">
        <f t="shared" si="59"/>
        <v>0</v>
      </c>
      <c r="S356">
        <v>3.3394865691662001E-2</v>
      </c>
      <c r="T356">
        <f t="shared" si="51"/>
        <v>0</v>
      </c>
      <c r="U356" s="1">
        <v>0.29233900000000002</v>
      </c>
      <c r="V356">
        <v>0</v>
      </c>
    </row>
    <row r="357" spans="1:22">
      <c r="A357" s="1">
        <v>0</v>
      </c>
      <c r="B357" s="1" t="s">
        <v>389</v>
      </c>
      <c r="C357" s="1">
        <v>0</v>
      </c>
      <c r="D357" s="33">
        <v>0</v>
      </c>
      <c r="E357" s="36">
        <v>0</v>
      </c>
      <c r="F357" s="37">
        <v>0</v>
      </c>
      <c r="G357">
        <v>6.0110610000000002E-2</v>
      </c>
      <c r="H357">
        <f t="shared" si="49"/>
        <v>0</v>
      </c>
      <c r="I357">
        <v>0.21508124470710699</v>
      </c>
      <c r="J357">
        <f t="shared" si="50"/>
        <v>0</v>
      </c>
      <c r="K357">
        <v>5.7251431047916003E-2</v>
      </c>
      <c r="L357">
        <f t="shared" si="56"/>
        <v>0</v>
      </c>
      <c r="M357" s="30">
        <v>2.3590434E-2</v>
      </c>
      <c r="N357">
        <f t="shared" si="57"/>
        <v>0</v>
      </c>
      <c r="O357">
        <v>1.1417848989368E-2</v>
      </c>
      <c r="P357">
        <f t="shared" si="58"/>
        <v>0</v>
      </c>
      <c r="Q357" s="30">
        <v>0.107636668</v>
      </c>
      <c r="R357">
        <f t="shared" si="59"/>
        <v>0</v>
      </c>
      <c r="S357">
        <v>1.1095643974841E-2</v>
      </c>
      <c r="T357">
        <f t="shared" si="51"/>
        <v>0</v>
      </c>
      <c r="U357" s="1">
        <v>0.17135653000000001</v>
      </c>
      <c r="V357">
        <v>0</v>
      </c>
    </row>
    <row r="358" spans="1:22">
      <c r="A358" s="1">
        <v>0</v>
      </c>
      <c r="B358" s="1" t="s">
        <v>390</v>
      </c>
      <c r="C358" s="1">
        <v>0</v>
      </c>
      <c r="D358" s="33">
        <v>0</v>
      </c>
      <c r="E358" s="36">
        <v>0</v>
      </c>
      <c r="F358" s="37">
        <v>0</v>
      </c>
      <c r="G358">
        <v>0.39254414999999998</v>
      </c>
      <c r="H358">
        <f t="shared" si="49"/>
        <v>0</v>
      </c>
      <c r="I358">
        <v>0.84228813648223899</v>
      </c>
      <c r="J358">
        <f t="shared" si="50"/>
        <v>1</v>
      </c>
      <c r="K358">
        <v>0.37329018115997298</v>
      </c>
      <c r="L358">
        <f t="shared" si="56"/>
        <v>0</v>
      </c>
      <c r="M358">
        <v>0.96296715700000002</v>
      </c>
      <c r="N358">
        <f t="shared" si="57"/>
        <v>1</v>
      </c>
      <c r="O358">
        <v>0.33323597908019997</v>
      </c>
      <c r="P358">
        <f t="shared" si="58"/>
        <v>0</v>
      </c>
      <c r="Q358">
        <v>0.63880139599999997</v>
      </c>
      <c r="R358">
        <f t="shared" si="59"/>
        <v>1</v>
      </c>
      <c r="S358">
        <v>0.96171629428863503</v>
      </c>
      <c r="T358">
        <f t="shared" si="51"/>
        <v>1</v>
      </c>
      <c r="U358" s="1">
        <v>0.6559161</v>
      </c>
      <c r="V358">
        <v>1</v>
      </c>
    </row>
    <row r="359" spans="1:22">
      <c r="A359" s="1">
        <v>0</v>
      </c>
      <c r="B359" s="1" t="s">
        <v>391</v>
      </c>
      <c r="C359" s="1">
        <v>0</v>
      </c>
      <c r="D359" s="33">
        <v>0</v>
      </c>
      <c r="E359" s="36">
        <v>0</v>
      </c>
      <c r="F359" s="37">
        <v>0</v>
      </c>
      <c r="G359">
        <v>5.3192165E-2</v>
      </c>
      <c r="H359">
        <f t="shared" si="49"/>
        <v>0</v>
      </c>
      <c r="I359" s="30">
        <v>0.13519336283206901</v>
      </c>
      <c r="J359">
        <f t="shared" si="50"/>
        <v>0</v>
      </c>
      <c r="K359" s="30">
        <v>3.4592051059007999E-2</v>
      </c>
      <c r="L359">
        <f t="shared" si="56"/>
        <v>0</v>
      </c>
      <c r="M359">
        <v>8.0705024E-2</v>
      </c>
      <c r="N359">
        <f t="shared" si="57"/>
        <v>0</v>
      </c>
      <c r="O359" s="30">
        <v>4.1514693293699998E-4</v>
      </c>
      <c r="P359">
        <f t="shared" si="58"/>
        <v>0</v>
      </c>
      <c r="Q359" s="30">
        <v>6.2860294999999997E-2</v>
      </c>
      <c r="R359">
        <f t="shared" si="59"/>
        <v>0</v>
      </c>
      <c r="S359">
        <v>1.816198811866E-3</v>
      </c>
      <c r="T359">
        <f t="shared" si="51"/>
        <v>0</v>
      </c>
      <c r="U359" s="1">
        <v>0.21407846999999999</v>
      </c>
      <c r="V359">
        <v>0</v>
      </c>
    </row>
    <row r="360" spans="1:22">
      <c r="A360" s="1">
        <v>0</v>
      </c>
      <c r="B360" s="1" t="s">
        <v>392</v>
      </c>
      <c r="C360" s="1">
        <v>0</v>
      </c>
      <c r="D360" s="33">
        <v>0</v>
      </c>
      <c r="E360" s="36">
        <v>0</v>
      </c>
      <c r="F360" s="37">
        <v>0</v>
      </c>
      <c r="G360" s="30">
        <v>3.1707365000000001E-2</v>
      </c>
      <c r="H360">
        <f t="shared" si="49"/>
        <v>0</v>
      </c>
      <c r="I360" s="30">
        <v>1.77435096703E-4</v>
      </c>
      <c r="J360">
        <f t="shared" si="50"/>
        <v>0</v>
      </c>
      <c r="K360" s="30">
        <v>4.0491484105586999E-2</v>
      </c>
      <c r="L360">
        <f t="shared" si="56"/>
        <v>0</v>
      </c>
      <c r="M360">
        <v>1.90772E-4</v>
      </c>
      <c r="N360">
        <f t="shared" si="57"/>
        <v>0</v>
      </c>
      <c r="O360" s="30">
        <v>1.05135477497242E-5</v>
      </c>
      <c r="P360">
        <f t="shared" si="58"/>
        <v>0</v>
      </c>
      <c r="Q360" s="30">
        <v>0.131463304</v>
      </c>
      <c r="R360">
        <f t="shared" si="59"/>
        <v>0</v>
      </c>
      <c r="S360">
        <v>1.1999622074700001E-4</v>
      </c>
      <c r="T360">
        <f t="shared" si="51"/>
        <v>0</v>
      </c>
      <c r="U360" s="1">
        <v>0.23676164</v>
      </c>
      <c r="V360">
        <v>0</v>
      </c>
    </row>
    <row r="361" spans="1:22">
      <c r="A361" s="1">
        <v>0</v>
      </c>
      <c r="B361" s="1" t="s">
        <v>393</v>
      </c>
      <c r="C361" s="1">
        <v>0</v>
      </c>
      <c r="D361" s="33">
        <v>1</v>
      </c>
      <c r="E361" s="36">
        <v>0</v>
      </c>
      <c r="F361" s="37">
        <v>0</v>
      </c>
      <c r="G361">
        <v>0.11929029200000001</v>
      </c>
      <c r="H361">
        <f t="shared" si="49"/>
        <v>0</v>
      </c>
      <c r="I361">
        <v>0.40938034653663602</v>
      </c>
      <c r="J361">
        <f t="shared" si="50"/>
        <v>0</v>
      </c>
      <c r="K361">
        <v>0.493363708257675</v>
      </c>
      <c r="L361">
        <f t="shared" si="56"/>
        <v>0</v>
      </c>
      <c r="M361" s="30">
        <v>8.3337717000000006E-2</v>
      </c>
      <c r="N361">
        <f t="shared" si="57"/>
        <v>0</v>
      </c>
      <c r="O361">
        <v>0.56872314214706399</v>
      </c>
      <c r="P361">
        <f t="shared" si="58"/>
        <v>1</v>
      </c>
      <c r="Q361">
        <v>0.47823023799999997</v>
      </c>
      <c r="R361">
        <f t="shared" si="59"/>
        <v>0</v>
      </c>
      <c r="S361">
        <v>2.0778793841600002E-3</v>
      </c>
      <c r="T361">
        <f t="shared" si="51"/>
        <v>0</v>
      </c>
      <c r="U361" s="1">
        <v>0.216865</v>
      </c>
      <c r="V361">
        <v>0</v>
      </c>
    </row>
    <row r="362" spans="1:22">
      <c r="A362" s="1">
        <v>0</v>
      </c>
      <c r="B362" s="1" t="s">
        <v>395</v>
      </c>
      <c r="C362" s="1">
        <v>0</v>
      </c>
      <c r="D362" s="33">
        <v>1</v>
      </c>
      <c r="E362" s="37">
        <v>1</v>
      </c>
      <c r="F362" s="37">
        <v>0</v>
      </c>
      <c r="G362">
        <v>7.8508235999999995E-2</v>
      </c>
      <c r="H362">
        <f t="shared" si="49"/>
        <v>0</v>
      </c>
      <c r="I362">
        <v>0.35322397947311401</v>
      </c>
      <c r="J362">
        <f t="shared" si="50"/>
        <v>0</v>
      </c>
      <c r="K362">
        <v>9.5432870090008004E-2</v>
      </c>
      <c r="L362">
        <f t="shared" si="56"/>
        <v>0</v>
      </c>
      <c r="M362">
        <v>0.53202438399999996</v>
      </c>
      <c r="N362">
        <f t="shared" si="57"/>
        <v>1</v>
      </c>
      <c r="O362">
        <v>0.17277476191520699</v>
      </c>
      <c r="P362">
        <f t="shared" si="58"/>
        <v>0</v>
      </c>
      <c r="Q362">
        <v>0.257920802</v>
      </c>
      <c r="R362">
        <f t="shared" si="59"/>
        <v>0</v>
      </c>
      <c r="S362">
        <v>0.26238125562667802</v>
      </c>
      <c r="T362">
        <f t="shared" si="51"/>
        <v>0</v>
      </c>
      <c r="U362" s="1">
        <v>0.67945440000000001</v>
      </c>
      <c r="V362">
        <v>1</v>
      </c>
    </row>
    <row r="363" spans="1:22">
      <c r="A363" s="1">
        <v>0</v>
      </c>
      <c r="B363" s="1" t="s">
        <v>396</v>
      </c>
      <c r="C363" s="1">
        <v>0</v>
      </c>
      <c r="D363" s="33">
        <v>0</v>
      </c>
      <c r="E363" s="36">
        <v>0</v>
      </c>
      <c r="F363" s="37">
        <v>0</v>
      </c>
      <c r="G363">
        <v>3.7011537999999997E-2</v>
      </c>
      <c r="H363">
        <f t="shared" si="49"/>
        <v>0</v>
      </c>
      <c r="I363">
        <v>0.142367362976074</v>
      </c>
      <c r="J363">
        <f t="shared" si="50"/>
        <v>0</v>
      </c>
      <c r="K363">
        <v>0.24977774918079401</v>
      </c>
      <c r="L363">
        <f t="shared" si="56"/>
        <v>0</v>
      </c>
      <c r="M363" s="30">
        <v>0.1483334</v>
      </c>
      <c r="N363">
        <f t="shared" si="57"/>
        <v>0</v>
      </c>
      <c r="O363">
        <v>8.0675221979619998E-3</v>
      </c>
      <c r="P363">
        <f t="shared" si="58"/>
        <v>0</v>
      </c>
      <c r="Q363">
        <v>0.48280081200000002</v>
      </c>
      <c r="R363">
        <f t="shared" si="59"/>
        <v>0</v>
      </c>
      <c r="S363">
        <v>3.4562582150100001E-3</v>
      </c>
      <c r="T363">
        <f t="shared" si="51"/>
        <v>0</v>
      </c>
      <c r="U363" s="1">
        <v>0.28524905</v>
      </c>
      <c r="V363">
        <v>0</v>
      </c>
    </row>
    <row r="364" spans="1:22">
      <c r="A364" s="1">
        <v>0</v>
      </c>
      <c r="B364" s="1" t="s">
        <v>397</v>
      </c>
      <c r="C364" s="1">
        <v>0</v>
      </c>
      <c r="D364" s="33">
        <v>0</v>
      </c>
      <c r="E364" s="36">
        <v>0</v>
      </c>
      <c r="F364" s="37">
        <v>0</v>
      </c>
      <c r="G364" s="30">
        <v>9.3067624000000002E-2</v>
      </c>
      <c r="H364">
        <f t="shared" si="49"/>
        <v>0</v>
      </c>
      <c r="I364">
        <v>2.6196641847491001E-2</v>
      </c>
      <c r="J364">
        <f t="shared" si="50"/>
        <v>0</v>
      </c>
      <c r="K364">
        <v>6.2752343714237005E-2</v>
      </c>
      <c r="L364">
        <f t="shared" si="56"/>
        <v>0</v>
      </c>
      <c r="M364">
        <v>8.8872629999999994E-3</v>
      </c>
      <c r="N364">
        <f t="shared" si="57"/>
        <v>0</v>
      </c>
      <c r="O364">
        <v>6.6804611124100001E-3</v>
      </c>
      <c r="P364">
        <f t="shared" si="58"/>
        <v>0</v>
      </c>
      <c r="Q364">
        <v>0.188740239</v>
      </c>
      <c r="R364">
        <f t="shared" si="59"/>
        <v>0</v>
      </c>
      <c r="S364">
        <v>0.167848855257034</v>
      </c>
      <c r="T364">
        <f t="shared" si="51"/>
        <v>0</v>
      </c>
      <c r="U364" s="1">
        <v>0.62726307000000003</v>
      </c>
      <c r="V364">
        <v>0</v>
      </c>
    </row>
    <row r="365" spans="1:22">
      <c r="A365" s="1">
        <v>0</v>
      </c>
      <c r="B365" s="1" t="s">
        <v>398</v>
      </c>
      <c r="C365" s="1">
        <v>0</v>
      </c>
      <c r="D365" s="33">
        <v>0</v>
      </c>
      <c r="E365" s="36">
        <v>0</v>
      </c>
      <c r="F365" s="37">
        <v>0</v>
      </c>
      <c r="G365">
        <v>0.101211362</v>
      </c>
      <c r="H365">
        <f t="shared" si="49"/>
        <v>0</v>
      </c>
      <c r="I365" s="30">
        <v>6.7557312548160997E-2</v>
      </c>
      <c r="J365">
        <f t="shared" si="50"/>
        <v>0</v>
      </c>
      <c r="K365" s="30">
        <v>6.6539846360683996E-2</v>
      </c>
      <c r="L365">
        <f t="shared" si="56"/>
        <v>0</v>
      </c>
      <c r="M365">
        <v>2.1414929999999999E-2</v>
      </c>
      <c r="N365">
        <f t="shared" si="57"/>
        <v>0</v>
      </c>
      <c r="O365">
        <v>8.7372062262100003E-4</v>
      </c>
      <c r="P365">
        <f t="shared" si="58"/>
        <v>0</v>
      </c>
      <c r="Q365" s="30">
        <v>0.119553536</v>
      </c>
      <c r="R365">
        <f t="shared" si="59"/>
        <v>0</v>
      </c>
      <c r="S365">
        <v>4.0264910785499998E-4</v>
      </c>
      <c r="T365">
        <f t="shared" si="51"/>
        <v>0</v>
      </c>
      <c r="U365" s="1">
        <v>0.19451366</v>
      </c>
      <c r="V365">
        <v>0</v>
      </c>
    </row>
    <row r="366" spans="1:22">
      <c r="A366" s="1">
        <v>0</v>
      </c>
      <c r="B366" s="1" t="s">
        <v>399</v>
      </c>
      <c r="C366" s="1">
        <v>0</v>
      </c>
      <c r="D366" s="33">
        <v>0</v>
      </c>
      <c r="E366" s="36">
        <v>0</v>
      </c>
      <c r="F366" s="37">
        <v>0</v>
      </c>
      <c r="G366" s="30">
        <v>4.4235226000000002E-2</v>
      </c>
      <c r="H366">
        <f t="shared" si="49"/>
        <v>0</v>
      </c>
      <c r="I366" s="30">
        <v>5.537086166441E-3</v>
      </c>
      <c r="J366">
        <f t="shared" si="50"/>
        <v>0</v>
      </c>
      <c r="K366" s="30">
        <v>9.6484767273070007E-3</v>
      </c>
      <c r="L366">
        <f t="shared" si="56"/>
        <v>0</v>
      </c>
      <c r="M366">
        <v>5.7570470000000004E-3</v>
      </c>
      <c r="N366">
        <f t="shared" si="57"/>
        <v>0</v>
      </c>
      <c r="O366">
        <v>1.35250462336E-4</v>
      </c>
      <c r="P366">
        <f t="shared" si="58"/>
        <v>0</v>
      </c>
      <c r="Q366">
        <v>0.11500439</v>
      </c>
      <c r="R366">
        <f t="shared" si="59"/>
        <v>0</v>
      </c>
      <c r="S366">
        <v>1.0631705634295999E-2</v>
      </c>
      <c r="T366">
        <f t="shared" si="51"/>
        <v>0</v>
      </c>
      <c r="U366" s="1">
        <v>0.18508753</v>
      </c>
      <c r="V366">
        <v>0</v>
      </c>
    </row>
    <row r="367" spans="1:22">
      <c r="A367" s="1">
        <v>0</v>
      </c>
      <c r="B367" s="1" t="s">
        <v>400</v>
      </c>
      <c r="C367" s="1">
        <v>0</v>
      </c>
      <c r="D367" s="33">
        <v>0</v>
      </c>
      <c r="E367" s="36">
        <v>0</v>
      </c>
      <c r="F367" s="37">
        <v>0</v>
      </c>
      <c r="G367">
        <v>4.9604206999999997E-2</v>
      </c>
      <c r="H367">
        <f t="shared" si="49"/>
        <v>0</v>
      </c>
      <c r="I367" s="30">
        <v>3.5765257780399998E-4</v>
      </c>
      <c r="J367">
        <f t="shared" si="50"/>
        <v>0</v>
      </c>
      <c r="K367" s="30">
        <v>6.9194273091850002E-3</v>
      </c>
      <c r="L367">
        <f t="shared" si="56"/>
        <v>0</v>
      </c>
      <c r="M367" s="30">
        <v>1.2821577000000001E-2</v>
      </c>
      <c r="N367">
        <f t="shared" si="57"/>
        <v>0</v>
      </c>
      <c r="O367" s="30">
        <v>1.1191372095709099E-6</v>
      </c>
      <c r="P367">
        <f t="shared" si="58"/>
        <v>0</v>
      </c>
      <c r="Q367" s="30">
        <v>9.5412046E-2</v>
      </c>
      <c r="R367">
        <f t="shared" si="59"/>
        <v>0</v>
      </c>
      <c r="S367">
        <v>1.59224058734E-4</v>
      </c>
      <c r="T367">
        <f t="shared" si="51"/>
        <v>0</v>
      </c>
      <c r="U367" s="1">
        <v>8.5036379999999995E-2</v>
      </c>
      <c r="V367">
        <v>0</v>
      </c>
    </row>
    <row r="368" spans="1:22">
      <c r="A368" s="1">
        <v>0</v>
      </c>
      <c r="B368" s="1" t="s">
        <v>401</v>
      </c>
      <c r="C368" s="1">
        <v>0</v>
      </c>
      <c r="D368" s="33">
        <v>0</v>
      </c>
      <c r="E368" s="36">
        <v>0</v>
      </c>
      <c r="F368" s="37">
        <v>0</v>
      </c>
      <c r="G368">
        <v>0.68050998399999996</v>
      </c>
      <c r="H368">
        <f t="shared" si="49"/>
        <v>1</v>
      </c>
      <c r="I368">
        <v>0.85226511955261197</v>
      </c>
      <c r="J368">
        <f t="shared" si="50"/>
        <v>1</v>
      </c>
      <c r="K368">
        <v>0.71944212913513195</v>
      </c>
      <c r="L368">
        <f t="shared" si="56"/>
        <v>1</v>
      </c>
      <c r="M368" s="30">
        <v>0.97634911499999999</v>
      </c>
      <c r="N368">
        <f t="shared" si="57"/>
        <v>1</v>
      </c>
      <c r="O368">
        <v>0.47871139645576499</v>
      </c>
      <c r="P368">
        <f t="shared" si="58"/>
        <v>0</v>
      </c>
      <c r="Q368">
        <v>0.453293324</v>
      </c>
      <c r="R368">
        <f t="shared" si="59"/>
        <v>0</v>
      </c>
      <c r="S368">
        <v>0.22313584387302399</v>
      </c>
      <c r="T368">
        <f t="shared" si="51"/>
        <v>0</v>
      </c>
      <c r="U368" s="1">
        <v>0.13663422</v>
      </c>
      <c r="V368">
        <v>0</v>
      </c>
    </row>
    <row r="369" spans="1:22">
      <c r="A369" s="1">
        <v>0</v>
      </c>
      <c r="B369" s="1" t="s">
        <v>402</v>
      </c>
      <c r="C369" s="1">
        <v>0</v>
      </c>
      <c r="D369" s="33">
        <v>1</v>
      </c>
      <c r="E369" s="36">
        <v>0</v>
      </c>
      <c r="F369" s="37">
        <v>0</v>
      </c>
      <c r="G369">
        <v>2.7934806E-2</v>
      </c>
      <c r="H369">
        <f t="shared" si="49"/>
        <v>0</v>
      </c>
      <c r="I369" s="30">
        <v>1.4152013463900001E-3</v>
      </c>
      <c r="J369">
        <f t="shared" si="50"/>
        <v>0</v>
      </c>
      <c r="K369">
        <v>2.0418299362064001E-2</v>
      </c>
      <c r="L369">
        <f t="shared" si="56"/>
        <v>0</v>
      </c>
      <c r="M369">
        <v>0.13851302900000001</v>
      </c>
      <c r="N369">
        <f t="shared" si="57"/>
        <v>0</v>
      </c>
      <c r="O369" s="30">
        <v>4.8063440772239098E-5</v>
      </c>
      <c r="P369">
        <f t="shared" si="58"/>
        <v>0</v>
      </c>
      <c r="Q369">
        <v>0.18657966000000001</v>
      </c>
      <c r="R369">
        <f t="shared" si="59"/>
        <v>0</v>
      </c>
      <c r="S369">
        <v>2.547376789153E-3</v>
      </c>
      <c r="T369">
        <f t="shared" si="51"/>
        <v>0</v>
      </c>
      <c r="U369" s="1">
        <v>0.43223571999999999</v>
      </c>
      <c r="V369">
        <v>0</v>
      </c>
    </row>
    <row r="370" spans="1:22">
      <c r="A370" s="1">
        <v>0</v>
      </c>
      <c r="B370" s="1" t="s">
        <v>403</v>
      </c>
      <c r="C370" s="1">
        <v>0</v>
      </c>
      <c r="D370" s="33">
        <v>0</v>
      </c>
      <c r="E370" s="36">
        <v>0</v>
      </c>
      <c r="F370" s="37">
        <v>0</v>
      </c>
      <c r="G370">
        <v>0.28491100699999999</v>
      </c>
      <c r="H370">
        <f t="shared" si="49"/>
        <v>0</v>
      </c>
      <c r="I370">
        <v>0.96739184856414795</v>
      </c>
      <c r="J370">
        <f t="shared" si="50"/>
        <v>1</v>
      </c>
      <c r="K370">
        <v>0.79405379295349099</v>
      </c>
      <c r="L370">
        <f t="shared" si="56"/>
        <v>1</v>
      </c>
      <c r="M370" s="30">
        <v>0.44521775800000002</v>
      </c>
      <c r="N370">
        <f t="shared" si="57"/>
        <v>0</v>
      </c>
      <c r="O370">
        <v>0.78557699918747004</v>
      </c>
      <c r="P370">
        <f t="shared" si="58"/>
        <v>1</v>
      </c>
      <c r="Q370">
        <v>0.61424630899999999</v>
      </c>
      <c r="R370">
        <f t="shared" si="59"/>
        <v>1</v>
      </c>
      <c r="S370">
        <v>0.97674471139907804</v>
      </c>
      <c r="T370">
        <f t="shared" si="51"/>
        <v>1</v>
      </c>
      <c r="U370" s="1">
        <v>0.5063917</v>
      </c>
      <c r="V370">
        <v>0</v>
      </c>
    </row>
    <row r="371" spans="1:22">
      <c r="A371" s="1">
        <v>0</v>
      </c>
      <c r="B371" s="1" t="s">
        <v>404</v>
      </c>
      <c r="C371" s="1">
        <v>0</v>
      </c>
      <c r="D371" s="33">
        <v>0</v>
      </c>
      <c r="E371" s="36">
        <v>0</v>
      </c>
      <c r="F371" s="37">
        <v>0</v>
      </c>
      <c r="G371">
        <v>0.34789144999999999</v>
      </c>
      <c r="H371">
        <f t="shared" si="49"/>
        <v>0</v>
      </c>
      <c r="I371">
        <v>0.119718357920647</v>
      </c>
      <c r="J371">
        <f t="shared" si="50"/>
        <v>0</v>
      </c>
      <c r="K371">
        <v>0.15239830315113101</v>
      </c>
      <c r="L371">
        <f t="shared" si="56"/>
        <v>0</v>
      </c>
      <c r="M371">
        <v>0.34726720999999999</v>
      </c>
      <c r="N371">
        <f t="shared" si="57"/>
        <v>0</v>
      </c>
      <c r="O371">
        <v>0.30646243691444403</v>
      </c>
      <c r="P371">
        <f t="shared" si="58"/>
        <v>0</v>
      </c>
      <c r="Q371">
        <v>0.67179101699999999</v>
      </c>
      <c r="R371">
        <f t="shared" si="59"/>
        <v>1</v>
      </c>
      <c r="S371">
        <v>0.101554982364178</v>
      </c>
      <c r="T371">
        <f t="shared" si="51"/>
        <v>0</v>
      </c>
      <c r="U371" s="1">
        <v>0.73678440000000001</v>
      </c>
      <c r="V371">
        <v>1</v>
      </c>
    </row>
    <row r="372" spans="1:22">
      <c r="A372" s="1">
        <v>0</v>
      </c>
      <c r="B372" s="1" t="s">
        <v>405</v>
      </c>
      <c r="C372" s="1">
        <v>0</v>
      </c>
      <c r="D372" s="33">
        <v>1</v>
      </c>
      <c r="E372" s="37">
        <v>1</v>
      </c>
      <c r="F372" s="37">
        <v>0</v>
      </c>
      <c r="G372">
        <v>0.23259289599999999</v>
      </c>
      <c r="H372">
        <f t="shared" si="49"/>
        <v>0</v>
      </c>
      <c r="I372">
        <v>0.36659893393516502</v>
      </c>
      <c r="J372">
        <f t="shared" si="50"/>
        <v>0</v>
      </c>
      <c r="K372">
        <v>0.342343509197235</v>
      </c>
      <c r="L372">
        <f t="shared" si="56"/>
        <v>0</v>
      </c>
      <c r="M372">
        <v>0.65620714400000002</v>
      </c>
      <c r="N372">
        <f t="shared" si="57"/>
        <v>1</v>
      </c>
      <c r="O372">
        <v>8.0473804846410008E-3</v>
      </c>
      <c r="P372">
        <f t="shared" si="58"/>
        <v>0</v>
      </c>
      <c r="Q372">
        <v>0.52383661299999995</v>
      </c>
      <c r="R372">
        <f t="shared" si="59"/>
        <v>1</v>
      </c>
      <c r="S372">
        <v>0.46712788939476002</v>
      </c>
      <c r="T372">
        <f t="shared" si="51"/>
        <v>0</v>
      </c>
      <c r="U372" s="1">
        <v>0.78459144000000003</v>
      </c>
      <c r="V372">
        <v>1</v>
      </c>
    </row>
    <row r="373" spans="1:22">
      <c r="A373" s="1">
        <v>0</v>
      </c>
      <c r="B373" s="1" t="s">
        <v>406</v>
      </c>
      <c r="C373" s="1">
        <v>0</v>
      </c>
      <c r="D373" s="33">
        <v>0</v>
      </c>
      <c r="E373" s="36">
        <v>0</v>
      </c>
      <c r="F373" s="37">
        <v>0</v>
      </c>
      <c r="G373">
        <v>4.2770978000000001E-2</v>
      </c>
      <c r="H373">
        <f t="shared" si="49"/>
        <v>0</v>
      </c>
      <c r="I373" s="30">
        <v>7.8639923594900005E-4</v>
      </c>
      <c r="J373">
        <f t="shared" si="50"/>
        <v>0</v>
      </c>
      <c r="K373">
        <v>1.4141966588794999E-2</v>
      </c>
      <c r="L373">
        <f t="shared" si="56"/>
        <v>0</v>
      </c>
      <c r="M373" s="30">
        <v>1.6426800000000001E-3</v>
      </c>
      <c r="N373">
        <f t="shared" si="57"/>
        <v>0</v>
      </c>
      <c r="O373">
        <v>7.3261256329699997E-4</v>
      </c>
      <c r="P373">
        <f t="shared" si="58"/>
        <v>0</v>
      </c>
      <c r="Q373" s="30">
        <v>0.13602715700000001</v>
      </c>
      <c r="R373">
        <f t="shared" si="59"/>
        <v>0</v>
      </c>
      <c r="S373">
        <v>3.2467354089022002E-2</v>
      </c>
      <c r="T373">
        <f t="shared" si="51"/>
        <v>0</v>
      </c>
      <c r="U373" s="1">
        <v>0.26805996999999998</v>
      </c>
      <c r="V373">
        <v>0</v>
      </c>
    </row>
    <row r="374" spans="1:22">
      <c r="A374" s="1">
        <v>0</v>
      </c>
      <c r="B374" s="1" t="s">
        <v>407</v>
      </c>
      <c r="C374" s="1">
        <v>0</v>
      </c>
      <c r="D374" s="33">
        <v>0</v>
      </c>
      <c r="E374" s="36">
        <v>0</v>
      </c>
      <c r="F374" s="37">
        <v>0</v>
      </c>
      <c r="G374" s="30">
        <v>6.5129474000000007E-2</v>
      </c>
      <c r="H374">
        <f t="shared" ref="H374:H432" si="60">IF(G374&gt;$A$2,1,0)</f>
        <v>0</v>
      </c>
      <c r="I374" s="30">
        <v>0.10630663484335</v>
      </c>
      <c r="J374">
        <f t="shared" ref="J374:J432" si="61">IF(I374&gt;$A$2,1,0)</f>
        <v>0</v>
      </c>
      <c r="K374">
        <v>8.1626512110233002E-2</v>
      </c>
      <c r="L374">
        <f t="shared" si="56"/>
        <v>0</v>
      </c>
      <c r="M374">
        <v>6.0292941000000003E-2</v>
      </c>
      <c r="N374">
        <f t="shared" si="57"/>
        <v>0</v>
      </c>
      <c r="O374">
        <v>4.9386015161870002E-3</v>
      </c>
      <c r="P374">
        <f t="shared" si="58"/>
        <v>0</v>
      </c>
      <c r="Q374">
        <v>0.16089014700000001</v>
      </c>
      <c r="R374">
        <f t="shared" si="59"/>
        <v>0</v>
      </c>
      <c r="S374">
        <v>2.8283005580306001E-2</v>
      </c>
      <c r="T374">
        <f>IF(S374&gt;$A$2,1,0)</f>
        <v>0</v>
      </c>
      <c r="U374" s="1">
        <v>0.42966944000000001</v>
      </c>
      <c r="V374">
        <v>0</v>
      </c>
    </row>
    <row r="375" spans="1:22">
      <c r="A375" s="1">
        <v>0</v>
      </c>
      <c r="B375" s="1" t="s">
        <v>408</v>
      </c>
      <c r="C375" s="1">
        <v>0</v>
      </c>
      <c r="D375" s="33">
        <v>0</v>
      </c>
      <c r="E375" s="36">
        <v>0</v>
      </c>
      <c r="F375" s="37">
        <v>0</v>
      </c>
      <c r="G375">
        <v>4.3937734999999999E-2</v>
      </c>
      <c r="H375">
        <f t="shared" si="60"/>
        <v>0</v>
      </c>
      <c r="I375">
        <v>6.6882395185530004E-3</v>
      </c>
      <c r="J375">
        <f t="shared" si="61"/>
        <v>0</v>
      </c>
      <c r="K375">
        <v>6.1618410050869002E-2</v>
      </c>
      <c r="L375">
        <f t="shared" si="56"/>
        <v>0</v>
      </c>
      <c r="M375">
        <v>0.109442584</v>
      </c>
      <c r="N375">
        <f t="shared" si="57"/>
        <v>0</v>
      </c>
      <c r="O375">
        <v>3.39224789059E-4</v>
      </c>
      <c r="P375">
        <f t="shared" si="58"/>
        <v>0</v>
      </c>
      <c r="Q375">
        <v>0.15328404300000001</v>
      </c>
      <c r="R375">
        <f t="shared" si="59"/>
        <v>0</v>
      </c>
      <c r="S375">
        <v>3.5947263240809998E-3</v>
      </c>
      <c r="T375">
        <f>IF(S375&gt;$A$2,1,0)</f>
        <v>0</v>
      </c>
      <c r="U375" s="1">
        <v>0.44076110000000002</v>
      </c>
      <c r="V375">
        <v>0</v>
      </c>
    </row>
    <row r="376" spans="1:22">
      <c r="A376" s="1">
        <v>0</v>
      </c>
      <c r="B376" s="1" t="s">
        <v>409</v>
      </c>
      <c r="C376" s="1">
        <v>0</v>
      </c>
      <c r="D376" s="33">
        <v>0</v>
      </c>
      <c r="E376" s="36">
        <v>0</v>
      </c>
      <c r="F376" s="37">
        <v>0</v>
      </c>
      <c r="G376">
        <v>6.8567313000000005E-2</v>
      </c>
      <c r="H376">
        <f t="shared" si="60"/>
        <v>0</v>
      </c>
      <c r="I376">
        <v>0.19576071202754999</v>
      </c>
      <c r="J376">
        <f t="shared" si="61"/>
        <v>0</v>
      </c>
      <c r="K376">
        <v>0.25476539134979198</v>
      </c>
      <c r="L376">
        <f t="shared" si="56"/>
        <v>0</v>
      </c>
      <c r="M376">
        <v>0.13965058299999999</v>
      </c>
      <c r="N376">
        <f t="shared" si="57"/>
        <v>0</v>
      </c>
      <c r="O376">
        <v>0.20472258329391499</v>
      </c>
      <c r="P376">
        <f t="shared" si="58"/>
        <v>0</v>
      </c>
      <c r="Q376">
        <v>0.33061617599999998</v>
      </c>
      <c r="R376">
        <f t="shared" si="59"/>
        <v>0</v>
      </c>
      <c r="S376">
        <v>4.1348490864039002E-2</v>
      </c>
      <c r="T376">
        <f>IF(S376&gt;$A$2,1,0)</f>
        <v>0</v>
      </c>
      <c r="U376" s="1">
        <v>0.45853939999999999</v>
      </c>
      <c r="V376">
        <v>0</v>
      </c>
    </row>
    <row r="377" spans="1:22">
      <c r="A377" s="1">
        <v>0</v>
      </c>
      <c r="B377" s="1" t="s">
        <v>410</v>
      </c>
      <c r="C377" s="1">
        <v>0</v>
      </c>
      <c r="D377" s="33">
        <v>0</v>
      </c>
      <c r="E377" s="36">
        <v>0</v>
      </c>
      <c r="F377" s="37">
        <v>0</v>
      </c>
      <c r="G377">
        <v>5.0669144999999999E-2</v>
      </c>
      <c r="H377">
        <f t="shared" si="60"/>
        <v>0</v>
      </c>
      <c r="I377">
        <v>1.716168480925E-3</v>
      </c>
      <c r="J377">
        <f t="shared" si="61"/>
        <v>0</v>
      </c>
      <c r="K377">
        <v>7.7284745872020999E-2</v>
      </c>
      <c r="L377">
        <f t="shared" si="56"/>
        <v>0</v>
      </c>
      <c r="M377">
        <v>6.273666E-2</v>
      </c>
      <c r="N377">
        <f t="shared" si="57"/>
        <v>0</v>
      </c>
      <c r="O377" s="30">
        <v>8.2361642853356898E-5</v>
      </c>
      <c r="P377">
        <f t="shared" si="58"/>
        <v>0</v>
      </c>
      <c r="Q377" s="30">
        <v>6.7576638999999994E-2</v>
      </c>
      <c r="R377">
        <f t="shared" si="59"/>
        <v>0</v>
      </c>
      <c r="S377">
        <v>6.7057334817949999E-3</v>
      </c>
      <c r="T377">
        <f t="shared" ref="T377:T432" si="62">IF(S377&gt;$A$2,1,0)</f>
        <v>0</v>
      </c>
      <c r="U377" s="1">
        <v>0.41217014000000002</v>
      </c>
      <c r="V377">
        <v>0</v>
      </c>
    </row>
    <row r="378" spans="1:22">
      <c r="A378" s="1">
        <v>0</v>
      </c>
      <c r="B378" s="1" t="s">
        <v>411</v>
      </c>
      <c r="C378" s="1">
        <v>0</v>
      </c>
      <c r="D378" s="33">
        <v>1</v>
      </c>
      <c r="E378" s="36">
        <v>0</v>
      </c>
      <c r="F378" s="37">
        <v>0</v>
      </c>
      <c r="G378">
        <v>0.36200633599999998</v>
      </c>
      <c r="H378">
        <f t="shared" si="60"/>
        <v>0</v>
      </c>
      <c r="I378">
        <v>0.48356974124908497</v>
      </c>
      <c r="J378">
        <f t="shared" si="61"/>
        <v>0</v>
      </c>
      <c r="K378">
        <v>0.46017757058143599</v>
      </c>
      <c r="L378">
        <f t="shared" si="56"/>
        <v>0</v>
      </c>
      <c r="M378" s="30">
        <v>0.65144145499999995</v>
      </c>
      <c r="N378">
        <f t="shared" si="57"/>
        <v>1</v>
      </c>
      <c r="O378">
        <v>0.64971578121185303</v>
      </c>
      <c r="P378">
        <f t="shared" si="58"/>
        <v>1</v>
      </c>
      <c r="Q378">
        <v>0.71271836799999999</v>
      </c>
      <c r="R378">
        <f t="shared" si="59"/>
        <v>1</v>
      </c>
      <c r="S378">
        <v>0.77002292871475198</v>
      </c>
      <c r="T378">
        <f t="shared" si="62"/>
        <v>1</v>
      </c>
      <c r="U378" s="1">
        <v>0.50611717000000001</v>
      </c>
      <c r="V378">
        <v>0</v>
      </c>
    </row>
    <row r="379" spans="1:22">
      <c r="A379" s="1">
        <v>0</v>
      </c>
      <c r="B379" s="1" t="s">
        <v>412</v>
      </c>
      <c r="C379" s="1">
        <v>0</v>
      </c>
      <c r="D379" s="33">
        <v>0</v>
      </c>
      <c r="E379" s="37">
        <v>1</v>
      </c>
      <c r="F379" s="37">
        <v>1</v>
      </c>
      <c r="G379">
        <v>0.32521417699999999</v>
      </c>
      <c r="H379">
        <f t="shared" si="60"/>
        <v>0</v>
      </c>
      <c r="I379">
        <v>0.40548610687255898</v>
      </c>
      <c r="J379">
        <f t="shared" si="61"/>
        <v>0</v>
      </c>
      <c r="K379">
        <v>0.233589753508568</v>
      </c>
      <c r="L379">
        <f t="shared" si="56"/>
        <v>0</v>
      </c>
      <c r="M379" s="30">
        <v>0.32870727799999999</v>
      </c>
      <c r="N379">
        <f t="shared" si="57"/>
        <v>0</v>
      </c>
      <c r="O379">
        <v>0.33094748854637102</v>
      </c>
      <c r="P379">
        <f t="shared" si="58"/>
        <v>0</v>
      </c>
      <c r="Q379">
        <v>0.70361041999999996</v>
      </c>
      <c r="R379">
        <f t="shared" si="59"/>
        <v>1</v>
      </c>
      <c r="S379">
        <v>3.3049721270799998E-2</v>
      </c>
      <c r="T379">
        <f t="shared" si="62"/>
        <v>0</v>
      </c>
      <c r="U379" s="1">
        <v>0.38399909999999998</v>
      </c>
      <c r="V379">
        <v>0</v>
      </c>
    </row>
    <row r="380" spans="1:22">
      <c r="A380" s="1">
        <v>0</v>
      </c>
      <c r="B380" s="1" t="s">
        <v>413</v>
      </c>
      <c r="C380" s="1">
        <v>0</v>
      </c>
      <c r="D380" s="33">
        <v>0</v>
      </c>
      <c r="E380" s="37">
        <v>1</v>
      </c>
      <c r="F380" s="37">
        <v>0</v>
      </c>
      <c r="G380">
        <v>4.4105124000000002E-2</v>
      </c>
      <c r="H380">
        <f t="shared" si="60"/>
        <v>0</v>
      </c>
      <c r="I380">
        <v>0.31226065754890397</v>
      </c>
      <c r="J380">
        <f t="shared" si="61"/>
        <v>0</v>
      </c>
      <c r="K380">
        <v>0.39479658007621798</v>
      </c>
      <c r="L380">
        <f t="shared" si="56"/>
        <v>0</v>
      </c>
      <c r="M380">
        <v>0.36169570699999998</v>
      </c>
      <c r="N380">
        <f t="shared" si="57"/>
        <v>0</v>
      </c>
      <c r="O380">
        <v>1.0277511319149999E-3</v>
      </c>
      <c r="P380">
        <f t="shared" si="58"/>
        <v>0</v>
      </c>
      <c r="Q380">
        <v>0.28475439499999999</v>
      </c>
      <c r="R380">
        <f t="shared" si="59"/>
        <v>0</v>
      </c>
      <c r="S380">
        <v>8.8305985555049999E-3</v>
      </c>
      <c r="T380">
        <f t="shared" si="62"/>
        <v>0</v>
      </c>
      <c r="U380" s="1">
        <v>0.32111810000000002</v>
      </c>
      <c r="V380">
        <v>0</v>
      </c>
    </row>
    <row r="381" spans="1:22">
      <c r="A381" s="1">
        <v>0</v>
      </c>
      <c r="B381" s="1" t="s">
        <v>414</v>
      </c>
      <c r="C381" s="1">
        <v>0</v>
      </c>
      <c r="D381" s="33">
        <v>1</v>
      </c>
      <c r="E381" s="36">
        <v>0</v>
      </c>
      <c r="F381" s="37">
        <v>0</v>
      </c>
      <c r="G381">
        <v>0.13644741499999999</v>
      </c>
      <c r="H381">
        <f t="shared" si="60"/>
        <v>0</v>
      </c>
      <c r="I381">
        <v>1.9863514229654999E-2</v>
      </c>
      <c r="J381">
        <f t="shared" si="61"/>
        <v>0</v>
      </c>
      <c r="K381">
        <v>5.0644379109144003E-2</v>
      </c>
      <c r="L381">
        <f t="shared" si="56"/>
        <v>0</v>
      </c>
      <c r="M381">
        <v>0.85087257599999999</v>
      </c>
      <c r="N381">
        <f t="shared" si="57"/>
        <v>1</v>
      </c>
      <c r="O381">
        <v>9.951445972549999E-4</v>
      </c>
      <c r="P381">
        <f t="shared" si="58"/>
        <v>0</v>
      </c>
      <c r="Q381">
        <v>0.66070044000000006</v>
      </c>
      <c r="R381">
        <f t="shared" si="59"/>
        <v>1</v>
      </c>
      <c r="S381">
        <v>0.12834961712360399</v>
      </c>
      <c r="T381">
        <f t="shared" si="62"/>
        <v>0</v>
      </c>
      <c r="U381" s="1">
        <v>0.72887939999999996</v>
      </c>
      <c r="V381">
        <v>1</v>
      </c>
    </row>
    <row r="382" spans="1:22">
      <c r="A382" s="1">
        <v>0</v>
      </c>
      <c r="B382" s="1" t="s">
        <v>415</v>
      </c>
      <c r="C382" s="1">
        <v>0</v>
      </c>
      <c r="D382" s="33">
        <v>0</v>
      </c>
      <c r="E382" s="36">
        <v>0</v>
      </c>
      <c r="F382" s="37">
        <v>0</v>
      </c>
      <c r="G382" s="30">
        <v>3.3166248000000002E-2</v>
      </c>
      <c r="H382">
        <f t="shared" si="60"/>
        <v>0</v>
      </c>
      <c r="I382" s="30">
        <v>3.8296908314805498E-5</v>
      </c>
      <c r="J382">
        <f t="shared" si="61"/>
        <v>0</v>
      </c>
      <c r="K382">
        <v>4.6746414154767997E-2</v>
      </c>
      <c r="L382">
        <f t="shared" si="56"/>
        <v>0</v>
      </c>
      <c r="M382">
        <v>2.4895490999999999E-2</v>
      </c>
      <c r="N382">
        <f t="shared" si="57"/>
        <v>0</v>
      </c>
      <c r="O382" s="30">
        <v>9.5848721684888005E-5</v>
      </c>
      <c r="P382">
        <f t="shared" si="58"/>
        <v>0</v>
      </c>
      <c r="Q382" s="30">
        <v>7.9975218000000001E-2</v>
      </c>
      <c r="R382">
        <f t="shared" si="59"/>
        <v>0</v>
      </c>
      <c r="S382" s="30">
        <v>5.8256035117665299E-5</v>
      </c>
      <c r="T382">
        <f t="shared" si="62"/>
        <v>0</v>
      </c>
      <c r="U382" s="1">
        <v>0.17616232000000001</v>
      </c>
      <c r="V382">
        <v>0</v>
      </c>
    </row>
    <row r="383" spans="1:22">
      <c r="A383" s="1">
        <v>0</v>
      </c>
      <c r="B383" s="1" t="s">
        <v>416</v>
      </c>
      <c r="C383" s="1">
        <v>0</v>
      </c>
      <c r="D383" s="33">
        <v>0</v>
      </c>
      <c r="E383" s="36">
        <v>0</v>
      </c>
      <c r="F383" s="37">
        <v>0</v>
      </c>
      <c r="G383">
        <v>5.9801839000000002E-2</v>
      </c>
      <c r="H383">
        <f t="shared" si="60"/>
        <v>0</v>
      </c>
      <c r="I383" s="30">
        <v>3.6246544914299999E-4</v>
      </c>
      <c r="J383">
        <f t="shared" si="61"/>
        <v>0</v>
      </c>
      <c r="K383">
        <v>1.5295504592359E-2</v>
      </c>
      <c r="L383">
        <f t="shared" si="56"/>
        <v>0</v>
      </c>
      <c r="M383">
        <v>1.2621215999999999E-2</v>
      </c>
      <c r="N383">
        <f t="shared" si="57"/>
        <v>0</v>
      </c>
      <c r="O383">
        <v>1.2468974455299999E-4</v>
      </c>
      <c r="P383">
        <f t="shared" si="58"/>
        <v>0</v>
      </c>
      <c r="Q383">
        <v>0.19179774799999999</v>
      </c>
      <c r="R383">
        <f t="shared" si="59"/>
        <v>0</v>
      </c>
      <c r="S383">
        <v>2.0473678596320002E-3</v>
      </c>
      <c r="T383">
        <f t="shared" si="62"/>
        <v>0</v>
      </c>
      <c r="U383" s="1">
        <v>0.33454507999999999</v>
      </c>
      <c r="V383">
        <v>0</v>
      </c>
    </row>
    <row r="384" spans="1:22">
      <c r="A384" s="1">
        <v>0</v>
      </c>
      <c r="B384" s="1" t="s">
        <v>417</v>
      </c>
      <c r="C384" s="1">
        <v>0</v>
      </c>
      <c r="D384" s="33">
        <v>0</v>
      </c>
      <c r="E384" s="36">
        <v>0</v>
      </c>
      <c r="F384" s="37">
        <v>0</v>
      </c>
      <c r="G384">
        <v>0.15718643400000001</v>
      </c>
      <c r="H384">
        <f t="shared" si="60"/>
        <v>0</v>
      </c>
      <c r="I384">
        <v>0.95045119524002097</v>
      </c>
      <c r="J384">
        <f t="shared" si="61"/>
        <v>1</v>
      </c>
      <c r="K384">
        <v>0.66431957483291604</v>
      </c>
      <c r="L384">
        <f t="shared" si="56"/>
        <v>1</v>
      </c>
      <c r="M384">
        <v>0.27611786100000002</v>
      </c>
      <c r="N384">
        <f t="shared" si="57"/>
        <v>0</v>
      </c>
      <c r="O384">
        <v>7.3739379644394004E-2</v>
      </c>
      <c r="P384">
        <f t="shared" si="58"/>
        <v>0</v>
      </c>
      <c r="Q384">
        <v>0.37920764099999998</v>
      </c>
      <c r="R384">
        <f t="shared" si="59"/>
        <v>0</v>
      </c>
      <c r="S384">
        <v>0.64193195104598999</v>
      </c>
      <c r="T384">
        <f t="shared" si="62"/>
        <v>1</v>
      </c>
      <c r="U384" s="1">
        <v>0.62378602999999999</v>
      </c>
      <c r="V384">
        <v>1</v>
      </c>
    </row>
    <row r="385" spans="1:22">
      <c r="A385" s="1">
        <v>0</v>
      </c>
      <c r="B385" s="1" t="s">
        <v>418</v>
      </c>
      <c r="C385" s="1">
        <v>0</v>
      </c>
      <c r="D385" s="33">
        <v>0</v>
      </c>
      <c r="E385" s="36">
        <v>0</v>
      </c>
      <c r="F385" s="37">
        <v>0</v>
      </c>
      <c r="G385">
        <v>7.7941581999999995E-2</v>
      </c>
      <c r="H385">
        <f t="shared" si="60"/>
        <v>0</v>
      </c>
      <c r="I385">
        <v>1.7403334379196E-2</v>
      </c>
      <c r="J385">
        <f t="shared" si="61"/>
        <v>0</v>
      </c>
      <c r="K385">
        <v>0.14299869537353499</v>
      </c>
      <c r="L385">
        <f t="shared" si="56"/>
        <v>0</v>
      </c>
      <c r="M385" s="30">
        <v>0.240924731</v>
      </c>
      <c r="N385">
        <f t="shared" si="57"/>
        <v>0</v>
      </c>
      <c r="O385">
        <v>2.1057692356410002E-3</v>
      </c>
      <c r="P385">
        <f t="shared" si="58"/>
        <v>0</v>
      </c>
      <c r="Q385">
        <v>0.34011739499999999</v>
      </c>
      <c r="R385">
        <f t="shared" si="59"/>
        <v>0</v>
      </c>
      <c r="S385">
        <v>1.653557177633E-3</v>
      </c>
      <c r="T385">
        <f t="shared" si="62"/>
        <v>0</v>
      </c>
      <c r="U385" s="1">
        <v>0.5010289</v>
      </c>
      <c r="V385">
        <v>0</v>
      </c>
    </row>
    <row r="386" spans="1:22">
      <c r="A386" s="1">
        <v>0</v>
      </c>
      <c r="B386" s="1" t="s">
        <v>419</v>
      </c>
      <c r="C386" s="1">
        <v>0</v>
      </c>
      <c r="D386" s="33">
        <v>1</v>
      </c>
      <c r="E386" s="36">
        <v>1</v>
      </c>
      <c r="F386" s="37">
        <v>1</v>
      </c>
      <c r="G386">
        <v>8.4275290000000003E-2</v>
      </c>
      <c r="H386">
        <f t="shared" si="60"/>
        <v>0</v>
      </c>
      <c r="I386">
        <v>1.4533442445099E-2</v>
      </c>
      <c r="J386">
        <f t="shared" si="61"/>
        <v>0</v>
      </c>
      <c r="K386">
        <v>0.15464591979980499</v>
      </c>
      <c r="L386">
        <f t="shared" si="56"/>
        <v>0</v>
      </c>
      <c r="M386">
        <v>0.32562956199999998</v>
      </c>
      <c r="N386">
        <f t="shared" si="57"/>
        <v>0</v>
      </c>
      <c r="O386">
        <v>0.111499100923538</v>
      </c>
      <c r="P386">
        <f t="shared" si="58"/>
        <v>0</v>
      </c>
      <c r="Q386">
        <v>0.29505062100000001</v>
      </c>
      <c r="R386">
        <f t="shared" si="59"/>
        <v>0</v>
      </c>
      <c r="S386">
        <v>3.2744377851485998E-2</v>
      </c>
      <c r="T386">
        <f t="shared" si="62"/>
        <v>0</v>
      </c>
      <c r="U386" s="1">
        <v>0.28570973999999999</v>
      </c>
      <c r="V386">
        <v>0</v>
      </c>
    </row>
    <row r="387" spans="1:22">
      <c r="A387" s="1">
        <v>0</v>
      </c>
      <c r="B387" s="1" t="s">
        <v>420</v>
      </c>
      <c r="C387" s="1">
        <v>0</v>
      </c>
      <c r="D387" s="33">
        <v>0</v>
      </c>
      <c r="E387" s="36">
        <v>0</v>
      </c>
      <c r="F387" s="37">
        <v>0</v>
      </c>
      <c r="G387" s="30">
        <v>3.4748017999999999E-2</v>
      </c>
      <c r="H387">
        <f t="shared" si="60"/>
        <v>0</v>
      </c>
      <c r="I387" s="30">
        <v>6.113639101386E-3</v>
      </c>
      <c r="J387">
        <f t="shared" si="61"/>
        <v>0</v>
      </c>
      <c r="K387">
        <v>9.5297284424305004E-2</v>
      </c>
      <c r="L387">
        <f t="shared" si="56"/>
        <v>0</v>
      </c>
      <c r="M387">
        <v>1.226509E-3</v>
      </c>
      <c r="N387">
        <f t="shared" si="57"/>
        <v>0</v>
      </c>
      <c r="O387">
        <v>8.3383545279499996E-4</v>
      </c>
      <c r="P387">
        <f t="shared" si="58"/>
        <v>0</v>
      </c>
      <c r="Q387">
        <v>0.13216799500000001</v>
      </c>
      <c r="R387">
        <f t="shared" si="59"/>
        <v>0</v>
      </c>
      <c r="S387">
        <v>7.09306623321E-4</v>
      </c>
      <c r="T387">
        <f t="shared" si="62"/>
        <v>0</v>
      </c>
      <c r="U387" s="1">
        <v>0.34954067999999999</v>
      </c>
      <c r="V387">
        <v>0</v>
      </c>
    </row>
    <row r="388" spans="1:22">
      <c r="A388" s="1">
        <v>0</v>
      </c>
      <c r="B388" s="1" t="s">
        <v>421</v>
      </c>
      <c r="C388" s="1">
        <v>0</v>
      </c>
      <c r="D388" s="33">
        <v>0</v>
      </c>
      <c r="E388" s="36">
        <v>0</v>
      </c>
      <c r="F388" s="37">
        <v>0</v>
      </c>
      <c r="G388">
        <v>3.6599033000000003E-2</v>
      </c>
      <c r="H388">
        <f t="shared" si="60"/>
        <v>0</v>
      </c>
      <c r="I388">
        <v>2.3437274619936999E-2</v>
      </c>
      <c r="J388">
        <f t="shared" si="61"/>
        <v>0</v>
      </c>
      <c r="K388">
        <v>6.7871205508708995E-2</v>
      </c>
      <c r="L388">
        <f t="shared" si="56"/>
        <v>0</v>
      </c>
      <c r="M388">
        <v>5.1927734000000003E-2</v>
      </c>
      <c r="N388">
        <f t="shared" si="57"/>
        <v>0</v>
      </c>
      <c r="O388">
        <v>2.6710822712629999E-3</v>
      </c>
      <c r="P388">
        <f t="shared" si="58"/>
        <v>0</v>
      </c>
      <c r="Q388" s="30">
        <v>0.15705983300000001</v>
      </c>
      <c r="R388">
        <f t="shared" si="59"/>
        <v>0</v>
      </c>
      <c r="S388">
        <v>1.6139737563210001E-3</v>
      </c>
      <c r="T388">
        <f t="shared" si="62"/>
        <v>0</v>
      </c>
      <c r="U388" s="1">
        <v>0.18631990000000001</v>
      </c>
      <c r="V388">
        <v>0</v>
      </c>
    </row>
    <row r="389" spans="1:22">
      <c r="A389" s="1">
        <v>0</v>
      </c>
      <c r="B389" s="1" t="s">
        <v>422</v>
      </c>
      <c r="C389" s="1">
        <v>0</v>
      </c>
      <c r="D389" s="33">
        <v>0</v>
      </c>
      <c r="E389" s="36">
        <v>0</v>
      </c>
      <c r="F389" s="37">
        <v>0</v>
      </c>
      <c r="G389" s="30">
        <v>2.9054783000000001E-2</v>
      </c>
      <c r="H389">
        <f t="shared" si="60"/>
        <v>0</v>
      </c>
      <c r="I389" s="30">
        <v>1.07915020635119E-5</v>
      </c>
      <c r="J389">
        <f t="shared" si="61"/>
        <v>0</v>
      </c>
      <c r="K389">
        <v>6.9991969503459999E-3</v>
      </c>
      <c r="L389">
        <f t="shared" si="56"/>
        <v>0</v>
      </c>
      <c r="M389">
        <v>4.1332899999999999E-4</v>
      </c>
      <c r="N389">
        <f t="shared" si="57"/>
        <v>0</v>
      </c>
      <c r="O389" s="30">
        <v>1.81444283953169E-6</v>
      </c>
      <c r="P389">
        <f t="shared" si="58"/>
        <v>0</v>
      </c>
      <c r="Q389" s="30">
        <v>5.7306092000000003E-2</v>
      </c>
      <c r="R389">
        <f t="shared" si="59"/>
        <v>0</v>
      </c>
      <c r="S389">
        <v>3.6016575177199998E-4</v>
      </c>
      <c r="T389">
        <f t="shared" si="62"/>
        <v>0</v>
      </c>
      <c r="U389" s="1">
        <v>0.16401679999999999</v>
      </c>
      <c r="V389">
        <v>0</v>
      </c>
    </row>
    <row r="390" spans="1:22">
      <c r="A390" s="1">
        <v>0</v>
      </c>
      <c r="B390" s="1" t="s">
        <v>423</v>
      </c>
      <c r="C390" s="1">
        <v>0</v>
      </c>
      <c r="D390" s="33">
        <v>0</v>
      </c>
      <c r="E390" s="36">
        <v>0</v>
      </c>
      <c r="F390" s="37">
        <v>0</v>
      </c>
      <c r="G390">
        <v>4.6457548000000001E-2</v>
      </c>
      <c r="H390">
        <f t="shared" si="60"/>
        <v>0</v>
      </c>
      <c r="I390">
        <v>0.20076917111873599</v>
      </c>
      <c r="J390">
        <f t="shared" si="61"/>
        <v>0</v>
      </c>
      <c r="K390">
        <v>2.6404058560728999E-2</v>
      </c>
      <c r="L390">
        <f t="shared" si="56"/>
        <v>0</v>
      </c>
      <c r="M390">
        <v>4.5443349000000001E-2</v>
      </c>
      <c r="N390">
        <f t="shared" si="57"/>
        <v>0</v>
      </c>
      <c r="O390">
        <v>3.5399729385970002E-3</v>
      </c>
      <c r="P390">
        <f t="shared" si="58"/>
        <v>0</v>
      </c>
      <c r="Q390" s="30">
        <v>0.124096356</v>
      </c>
      <c r="R390">
        <f t="shared" si="59"/>
        <v>0</v>
      </c>
      <c r="S390">
        <v>9.7506055608389992E-3</v>
      </c>
      <c r="T390">
        <f t="shared" si="62"/>
        <v>0</v>
      </c>
      <c r="U390" s="1">
        <v>0.30561625999999997</v>
      </c>
      <c r="V390">
        <v>0</v>
      </c>
    </row>
    <row r="391" spans="1:22">
      <c r="A391" s="1">
        <v>0</v>
      </c>
      <c r="B391" s="1" t="s">
        <v>424</v>
      </c>
      <c r="C391" s="1">
        <v>0</v>
      </c>
      <c r="D391" s="33">
        <v>0</v>
      </c>
      <c r="E391" s="36">
        <v>0</v>
      </c>
      <c r="F391" s="37">
        <v>0</v>
      </c>
      <c r="G391">
        <v>0.29502183199999998</v>
      </c>
      <c r="H391">
        <f t="shared" si="60"/>
        <v>0</v>
      </c>
      <c r="I391">
        <v>0.35777440667152399</v>
      </c>
      <c r="J391">
        <f t="shared" si="61"/>
        <v>0</v>
      </c>
      <c r="K391" s="30">
        <v>0.35738542675972002</v>
      </c>
      <c r="L391">
        <f t="shared" si="56"/>
        <v>0</v>
      </c>
      <c r="M391">
        <v>6.9886095999999995E-2</v>
      </c>
      <c r="N391">
        <f t="shared" si="57"/>
        <v>0</v>
      </c>
      <c r="O391">
        <v>2.8747455216939998E-3</v>
      </c>
      <c r="P391">
        <f t="shared" si="58"/>
        <v>0</v>
      </c>
      <c r="Q391">
        <v>0.1450959</v>
      </c>
      <c r="R391">
        <f t="shared" si="59"/>
        <v>0</v>
      </c>
      <c r="S391">
        <v>3.4956604242325003E-2</v>
      </c>
      <c r="T391">
        <f t="shared" si="62"/>
        <v>0</v>
      </c>
      <c r="U391" s="1">
        <v>0.11924184</v>
      </c>
      <c r="V391">
        <v>0</v>
      </c>
    </row>
    <row r="392" spans="1:22">
      <c r="A392" s="1">
        <v>1</v>
      </c>
      <c r="B392" s="1" t="s">
        <v>425</v>
      </c>
      <c r="C392" s="1">
        <v>1</v>
      </c>
      <c r="D392" s="33">
        <v>1</v>
      </c>
      <c r="E392" s="37">
        <v>1</v>
      </c>
      <c r="F392" s="37">
        <v>1</v>
      </c>
      <c r="G392">
        <v>0.79381752000000005</v>
      </c>
      <c r="H392">
        <f t="shared" si="60"/>
        <v>1</v>
      </c>
      <c r="I392">
        <v>0.81683164834976196</v>
      </c>
      <c r="J392">
        <f t="shared" si="61"/>
        <v>1</v>
      </c>
      <c r="K392">
        <v>0.73079729080200195</v>
      </c>
      <c r="L392">
        <f t="shared" si="56"/>
        <v>1</v>
      </c>
      <c r="M392" s="30">
        <v>0.99405646299999995</v>
      </c>
      <c r="N392">
        <f t="shared" si="57"/>
        <v>1</v>
      </c>
      <c r="O392">
        <v>0.93828684091568004</v>
      </c>
      <c r="P392">
        <f t="shared" si="58"/>
        <v>1</v>
      </c>
      <c r="Q392">
        <v>0.66918408900000004</v>
      </c>
      <c r="R392">
        <f t="shared" si="59"/>
        <v>1</v>
      </c>
      <c r="S392">
        <v>0.90730261802673295</v>
      </c>
      <c r="T392">
        <f t="shared" si="62"/>
        <v>1</v>
      </c>
      <c r="U392" s="1">
        <v>0.66890717</v>
      </c>
      <c r="V392">
        <v>1</v>
      </c>
    </row>
    <row r="393" spans="1:22">
      <c r="A393" s="1">
        <v>1</v>
      </c>
      <c r="B393" s="1" t="s">
        <v>426</v>
      </c>
      <c r="C393" s="1">
        <v>1</v>
      </c>
      <c r="D393" s="33">
        <v>1</v>
      </c>
      <c r="E393" s="37">
        <v>1</v>
      </c>
      <c r="F393" s="37">
        <v>1</v>
      </c>
      <c r="G393">
        <v>0.45062655200000001</v>
      </c>
      <c r="H393">
        <f t="shared" si="60"/>
        <v>0</v>
      </c>
      <c r="I393">
        <v>0.81445229053497303</v>
      </c>
      <c r="J393">
        <f t="shared" si="61"/>
        <v>1</v>
      </c>
      <c r="K393">
        <v>0.67597025632858299</v>
      </c>
      <c r="L393">
        <f t="shared" si="56"/>
        <v>1</v>
      </c>
      <c r="M393">
        <v>0.93877279800000002</v>
      </c>
      <c r="N393">
        <f t="shared" si="57"/>
        <v>1</v>
      </c>
      <c r="O393">
        <v>0.70192116498947099</v>
      </c>
      <c r="P393">
        <f t="shared" si="58"/>
        <v>1</v>
      </c>
      <c r="Q393">
        <v>0.66438251699999995</v>
      </c>
      <c r="R393">
        <f t="shared" si="59"/>
        <v>1</v>
      </c>
      <c r="S393">
        <v>8.4133602678775996E-2</v>
      </c>
      <c r="T393">
        <f t="shared" si="62"/>
        <v>0</v>
      </c>
      <c r="U393" s="1">
        <v>0.42073166000000001</v>
      </c>
      <c r="V393">
        <v>0</v>
      </c>
    </row>
    <row r="394" spans="1:22">
      <c r="A394" s="1">
        <v>1</v>
      </c>
      <c r="B394" s="1" t="s">
        <v>427</v>
      </c>
      <c r="C394" s="1">
        <v>1</v>
      </c>
      <c r="D394" s="33">
        <v>1</v>
      </c>
      <c r="E394" s="37">
        <v>1</v>
      </c>
      <c r="F394" s="37">
        <v>1</v>
      </c>
      <c r="G394">
        <v>0.42401728</v>
      </c>
      <c r="H394">
        <f t="shared" si="60"/>
        <v>0</v>
      </c>
      <c r="I394">
        <v>0.93416827917098999</v>
      </c>
      <c r="J394">
        <f t="shared" si="61"/>
        <v>1</v>
      </c>
      <c r="K394">
        <v>0.58704864978790305</v>
      </c>
      <c r="L394">
        <f t="shared" si="56"/>
        <v>1</v>
      </c>
      <c r="M394">
        <v>0.52282071100000005</v>
      </c>
      <c r="N394">
        <f t="shared" si="57"/>
        <v>1</v>
      </c>
      <c r="O394">
        <v>6.0467746108770003E-2</v>
      </c>
      <c r="P394">
        <f t="shared" si="58"/>
        <v>0</v>
      </c>
      <c r="Q394">
        <v>0.60873323700000004</v>
      </c>
      <c r="R394">
        <f t="shared" si="59"/>
        <v>1</v>
      </c>
      <c r="S394">
        <v>4.1942898184061002E-2</v>
      </c>
      <c r="T394">
        <f t="shared" si="62"/>
        <v>0</v>
      </c>
      <c r="U394" s="1">
        <v>0.49549559999999998</v>
      </c>
      <c r="V394">
        <v>0</v>
      </c>
    </row>
    <row r="395" spans="1:22">
      <c r="A395" s="1">
        <v>1</v>
      </c>
      <c r="B395" s="1" t="s">
        <v>428</v>
      </c>
      <c r="C395" s="1">
        <v>1</v>
      </c>
      <c r="D395" s="33">
        <v>0</v>
      </c>
      <c r="E395" s="37">
        <v>1</v>
      </c>
      <c r="F395" s="37">
        <v>1</v>
      </c>
      <c r="G395">
        <v>0.89847439500000004</v>
      </c>
      <c r="H395">
        <f t="shared" si="60"/>
        <v>1</v>
      </c>
      <c r="I395">
        <v>0.80072253942489602</v>
      </c>
      <c r="J395">
        <f t="shared" si="61"/>
        <v>1</v>
      </c>
      <c r="K395">
        <v>0.75683516263961803</v>
      </c>
      <c r="L395">
        <f t="shared" si="56"/>
        <v>1</v>
      </c>
      <c r="M395">
        <v>0.99999928500000002</v>
      </c>
      <c r="N395">
        <f t="shared" si="57"/>
        <v>1</v>
      </c>
      <c r="O395">
        <v>0.99136120080947898</v>
      </c>
      <c r="P395">
        <f t="shared" si="58"/>
        <v>1</v>
      </c>
      <c r="Q395">
        <v>0.682048082</v>
      </c>
      <c r="R395">
        <f t="shared" si="59"/>
        <v>1</v>
      </c>
      <c r="S395">
        <v>0.98681879043579102</v>
      </c>
      <c r="T395">
        <f t="shared" si="62"/>
        <v>1</v>
      </c>
      <c r="U395" s="1">
        <v>0.76417420000000003</v>
      </c>
      <c r="V395">
        <v>1</v>
      </c>
    </row>
    <row r="396" spans="1:22">
      <c r="A396" s="1">
        <v>1</v>
      </c>
      <c r="B396" s="1" t="s">
        <v>429</v>
      </c>
      <c r="C396" s="1">
        <v>1</v>
      </c>
      <c r="D396" s="33">
        <v>1</v>
      </c>
      <c r="E396" s="37">
        <v>1</v>
      </c>
      <c r="F396" s="37">
        <v>1</v>
      </c>
      <c r="G396">
        <v>0.94680648999999995</v>
      </c>
      <c r="H396">
        <f t="shared" si="60"/>
        <v>1</v>
      </c>
      <c r="I396">
        <v>0.98087602853775002</v>
      </c>
      <c r="J396">
        <f t="shared" si="61"/>
        <v>1</v>
      </c>
      <c r="K396">
        <v>0.94926708936691295</v>
      </c>
      <c r="L396">
        <f t="shared" si="56"/>
        <v>1</v>
      </c>
      <c r="M396">
        <v>0.99999618499999998</v>
      </c>
      <c r="N396">
        <f t="shared" si="57"/>
        <v>1</v>
      </c>
      <c r="O396">
        <v>0.98973000049590998</v>
      </c>
      <c r="P396">
        <f t="shared" si="58"/>
        <v>1</v>
      </c>
      <c r="Q396">
        <v>0.81412327299999998</v>
      </c>
      <c r="R396">
        <f t="shared" si="59"/>
        <v>1</v>
      </c>
      <c r="S396">
        <v>0.95480680465698198</v>
      </c>
      <c r="T396">
        <f t="shared" si="62"/>
        <v>1</v>
      </c>
      <c r="U396" s="1">
        <v>0.76842319999999997</v>
      </c>
      <c r="V396">
        <v>1</v>
      </c>
    </row>
    <row r="397" spans="1:22">
      <c r="A397" s="1">
        <v>1</v>
      </c>
      <c r="B397" s="1" t="s">
        <v>430</v>
      </c>
      <c r="C397" s="1">
        <v>1</v>
      </c>
      <c r="D397" s="33">
        <v>1</v>
      </c>
      <c r="E397" s="37">
        <v>1</v>
      </c>
      <c r="F397" s="37">
        <v>1</v>
      </c>
      <c r="G397">
        <v>0.96998244499999997</v>
      </c>
      <c r="H397">
        <f t="shared" si="60"/>
        <v>1</v>
      </c>
      <c r="I397">
        <v>0.99870896339416504</v>
      </c>
      <c r="J397">
        <f t="shared" si="61"/>
        <v>1</v>
      </c>
      <c r="K397">
        <v>0.98643779754638705</v>
      </c>
      <c r="L397">
        <f t="shared" si="56"/>
        <v>1</v>
      </c>
      <c r="M397">
        <v>0.999931931</v>
      </c>
      <c r="N397">
        <f t="shared" si="57"/>
        <v>1</v>
      </c>
      <c r="O397">
        <v>0.99098867177963301</v>
      </c>
      <c r="P397">
        <f t="shared" si="58"/>
        <v>1</v>
      </c>
      <c r="Q397">
        <v>0.820414066</v>
      </c>
      <c r="R397">
        <f t="shared" si="59"/>
        <v>1</v>
      </c>
      <c r="S397">
        <v>0.99924135208129905</v>
      </c>
      <c r="T397">
        <f t="shared" si="62"/>
        <v>1</v>
      </c>
      <c r="U397" s="1">
        <v>0.80054164000000005</v>
      </c>
      <c r="V397">
        <v>1</v>
      </c>
    </row>
    <row r="398" spans="1:22">
      <c r="A398" s="1">
        <v>1</v>
      </c>
      <c r="B398" s="1" t="s">
        <v>431</v>
      </c>
      <c r="C398" s="1">
        <v>1</v>
      </c>
      <c r="D398" s="33">
        <v>1</v>
      </c>
      <c r="E398" s="37">
        <v>1</v>
      </c>
      <c r="F398" s="37">
        <v>1</v>
      </c>
      <c r="G398">
        <v>0.95822584600000005</v>
      </c>
      <c r="H398">
        <f t="shared" si="60"/>
        <v>1</v>
      </c>
      <c r="I398">
        <v>0.98566079139709495</v>
      </c>
      <c r="J398">
        <f t="shared" si="61"/>
        <v>1</v>
      </c>
      <c r="K398">
        <v>0.79669082164764404</v>
      </c>
      <c r="L398">
        <f t="shared" si="56"/>
        <v>1</v>
      </c>
      <c r="M398">
        <v>0.99998748299999995</v>
      </c>
      <c r="N398">
        <f t="shared" si="57"/>
        <v>1</v>
      </c>
      <c r="O398">
        <v>0.99814224243164096</v>
      </c>
      <c r="P398">
        <f t="shared" si="58"/>
        <v>1</v>
      </c>
      <c r="Q398">
        <v>0.75031399700000001</v>
      </c>
      <c r="R398">
        <f t="shared" si="59"/>
        <v>1</v>
      </c>
      <c r="S398">
        <v>0.99906545877456698</v>
      </c>
      <c r="T398">
        <f t="shared" si="62"/>
        <v>1</v>
      </c>
      <c r="U398" s="1">
        <v>0.78140955999999995</v>
      </c>
      <c r="V398">
        <v>1</v>
      </c>
    </row>
    <row r="399" spans="1:22">
      <c r="A399" s="1">
        <v>1</v>
      </c>
      <c r="B399" s="1" t="s">
        <v>432</v>
      </c>
      <c r="C399" s="1">
        <v>1</v>
      </c>
      <c r="D399" s="33">
        <v>1</v>
      </c>
      <c r="E399" s="37">
        <v>1</v>
      </c>
      <c r="F399" s="37">
        <v>1</v>
      </c>
      <c r="G399">
        <v>0.133418605</v>
      </c>
      <c r="H399">
        <f t="shared" si="60"/>
        <v>0</v>
      </c>
      <c r="I399">
        <v>7.5422815978527E-2</v>
      </c>
      <c r="J399">
        <f t="shared" si="61"/>
        <v>0</v>
      </c>
      <c r="K399">
        <v>0.46693822741508501</v>
      </c>
      <c r="L399">
        <f t="shared" si="56"/>
        <v>0</v>
      </c>
      <c r="M399">
        <v>0.83613091699999997</v>
      </c>
      <c r="N399">
        <f t="shared" si="57"/>
        <v>1</v>
      </c>
      <c r="O399">
        <v>6.2627241015434001E-2</v>
      </c>
      <c r="P399">
        <f t="shared" si="58"/>
        <v>0</v>
      </c>
      <c r="Q399">
        <v>0.63398504300000003</v>
      </c>
      <c r="R399">
        <f t="shared" si="59"/>
        <v>1</v>
      </c>
      <c r="S399">
        <v>0.78324967622757002</v>
      </c>
      <c r="T399">
        <f t="shared" si="62"/>
        <v>1</v>
      </c>
      <c r="U399" s="1">
        <v>0.45448378</v>
      </c>
      <c r="V399">
        <v>0</v>
      </c>
    </row>
    <row r="400" spans="1:22">
      <c r="A400" s="1">
        <v>1</v>
      </c>
      <c r="B400" s="1" t="s">
        <v>433</v>
      </c>
      <c r="C400" s="1">
        <v>1</v>
      </c>
      <c r="D400" s="33">
        <v>1</v>
      </c>
      <c r="E400" s="37">
        <v>1</v>
      </c>
      <c r="F400" s="37">
        <v>1</v>
      </c>
      <c r="G400">
        <v>0.97556328800000003</v>
      </c>
      <c r="H400">
        <f t="shared" si="60"/>
        <v>1</v>
      </c>
      <c r="I400">
        <v>0.99999773502349798</v>
      </c>
      <c r="J400">
        <f t="shared" si="61"/>
        <v>1</v>
      </c>
      <c r="K400">
        <v>0.99986207485198897</v>
      </c>
      <c r="L400">
        <f t="shared" si="56"/>
        <v>1</v>
      </c>
      <c r="M400">
        <v>1</v>
      </c>
      <c r="N400">
        <f t="shared" si="57"/>
        <v>1</v>
      </c>
      <c r="O400">
        <v>0.99997949600219704</v>
      </c>
      <c r="P400">
        <f t="shared" si="58"/>
        <v>1</v>
      </c>
      <c r="Q400">
        <v>0.85933786599999995</v>
      </c>
      <c r="R400">
        <f t="shared" si="59"/>
        <v>1</v>
      </c>
      <c r="S400">
        <v>0.99992942810058605</v>
      </c>
      <c r="T400">
        <f t="shared" si="62"/>
        <v>1</v>
      </c>
      <c r="U400" s="1">
        <v>0.77920305999999995</v>
      </c>
      <c r="V400">
        <v>1</v>
      </c>
    </row>
    <row r="401" spans="1:22">
      <c r="A401" s="1">
        <v>1</v>
      </c>
      <c r="B401" s="1" t="s">
        <v>434</v>
      </c>
      <c r="C401" s="1">
        <v>1</v>
      </c>
      <c r="D401" s="33">
        <v>0</v>
      </c>
      <c r="E401" s="37">
        <v>1</v>
      </c>
      <c r="F401" s="37">
        <v>1</v>
      </c>
      <c r="G401">
        <v>4.5790709999999998E-2</v>
      </c>
      <c r="H401">
        <f t="shared" si="60"/>
        <v>0</v>
      </c>
      <c r="I401">
        <v>2.2051006555557001E-2</v>
      </c>
      <c r="J401">
        <f t="shared" si="61"/>
        <v>0</v>
      </c>
      <c r="K401">
        <v>0.16013701260089899</v>
      </c>
      <c r="L401">
        <f t="shared" si="56"/>
        <v>0</v>
      </c>
      <c r="M401">
        <v>8.4236741000000004E-2</v>
      </c>
      <c r="N401">
        <f t="shared" si="57"/>
        <v>0</v>
      </c>
      <c r="O401">
        <v>9.0423598885539993E-3</v>
      </c>
      <c r="P401">
        <f t="shared" si="58"/>
        <v>0</v>
      </c>
      <c r="Q401">
        <v>0.22966447500000001</v>
      </c>
      <c r="R401">
        <f t="shared" si="59"/>
        <v>0</v>
      </c>
      <c r="S401">
        <v>6.9281953619799996E-4</v>
      </c>
      <c r="T401">
        <f t="shared" si="62"/>
        <v>0</v>
      </c>
      <c r="U401" s="1">
        <v>0.15289478000000001</v>
      </c>
      <c r="V401">
        <v>0</v>
      </c>
    </row>
    <row r="402" spans="1:22">
      <c r="A402" s="1">
        <v>1</v>
      </c>
      <c r="B402" s="1" t="s">
        <v>435</v>
      </c>
      <c r="C402" s="1">
        <v>1</v>
      </c>
      <c r="D402" s="33">
        <v>1</v>
      </c>
      <c r="E402" s="37">
        <v>1</v>
      </c>
      <c r="F402" s="37">
        <v>1</v>
      </c>
      <c r="G402">
        <v>0.785999954</v>
      </c>
      <c r="H402">
        <f t="shared" si="60"/>
        <v>1</v>
      </c>
      <c r="I402">
        <v>0.58460444211959794</v>
      </c>
      <c r="J402">
        <f t="shared" si="61"/>
        <v>1</v>
      </c>
      <c r="K402">
        <v>0.1913201212883</v>
      </c>
      <c r="L402">
        <f t="shared" si="56"/>
        <v>0</v>
      </c>
      <c r="M402">
        <v>0.93107336799999996</v>
      </c>
      <c r="N402">
        <f t="shared" si="57"/>
        <v>1</v>
      </c>
      <c r="O402">
        <v>0.26783400774002097</v>
      </c>
      <c r="P402">
        <f t="shared" si="58"/>
        <v>0</v>
      </c>
      <c r="Q402">
        <v>0.42800614199999998</v>
      </c>
      <c r="R402">
        <f t="shared" si="59"/>
        <v>0</v>
      </c>
      <c r="S402">
        <v>0.78865021467208896</v>
      </c>
      <c r="T402">
        <f t="shared" si="62"/>
        <v>1</v>
      </c>
      <c r="U402" s="1">
        <v>0.76705520000000005</v>
      </c>
      <c r="V402">
        <v>1</v>
      </c>
    </row>
    <row r="403" spans="1:22">
      <c r="A403" s="1">
        <v>1</v>
      </c>
      <c r="B403" s="1" t="s">
        <v>436</v>
      </c>
      <c r="C403" s="1">
        <v>1</v>
      </c>
      <c r="D403" s="33">
        <v>1</v>
      </c>
      <c r="E403" s="37">
        <v>1</v>
      </c>
      <c r="F403" s="37">
        <v>1</v>
      </c>
      <c r="G403">
        <v>0.84106093599999998</v>
      </c>
      <c r="H403">
        <f t="shared" si="60"/>
        <v>1</v>
      </c>
      <c r="I403">
        <v>0.99452400207519498</v>
      </c>
      <c r="J403">
        <f t="shared" si="61"/>
        <v>1</v>
      </c>
      <c r="K403">
        <v>0.98354291915893599</v>
      </c>
      <c r="L403">
        <f t="shared" si="56"/>
        <v>1</v>
      </c>
      <c r="M403">
        <v>0.99982017300000003</v>
      </c>
      <c r="N403">
        <f t="shared" si="57"/>
        <v>1</v>
      </c>
      <c r="O403">
        <v>0.94054162502288796</v>
      </c>
      <c r="P403">
        <f t="shared" si="58"/>
        <v>1</v>
      </c>
      <c r="Q403">
        <v>0.77240765099999997</v>
      </c>
      <c r="R403">
        <f t="shared" si="59"/>
        <v>1</v>
      </c>
      <c r="S403">
        <v>0.96520221233367898</v>
      </c>
      <c r="T403">
        <f t="shared" si="62"/>
        <v>1</v>
      </c>
      <c r="U403" s="1">
        <v>0.79208343999999997</v>
      </c>
      <c r="V403">
        <v>1</v>
      </c>
    </row>
    <row r="404" spans="1:22">
      <c r="A404" s="1">
        <v>1</v>
      </c>
      <c r="B404" s="1" t="s">
        <v>438</v>
      </c>
      <c r="C404" s="1">
        <v>1</v>
      </c>
      <c r="D404" s="33">
        <v>1</v>
      </c>
      <c r="E404" s="37">
        <v>1</v>
      </c>
      <c r="F404" s="37">
        <v>1</v>
      </c>
      <c r="G404">
        <v>0.937303424</v>
      </c>
      <c r="H404">
        <f t="shared" si="60"/>
        <v>1</v>
      </c>
      <c r="I404">
        <v>0.99528670310974099</v>
      </c>
      <c r="J404">
        <f t="shared" si="61"/>
        <v>1</v>
      </c>
      <c r="K404">
        <v>0.99573695659637396</v>
      </c>
      <c r="L404">
        <f t="shared" si="56"/>
        <v>1</v>
      </c>
      <c r="M404">
        <v>0.99794524900000003</v>
      </c>
      <c r="N404">
        <f t="shared" si="57"/>
        <v>1</v>
      </c>
      <c r="O404">
        <v>0.99910211563110396</v>
      </c>
      <c r="P404">
        <f t="shared" si="58"/>
        <v>1</v>
      </c>
      <c r="Q404">
        <v>0.76539641599999997</v>
      </c>
      <c r="R404">
        <f t="shared" si="59"/>
        <v>1</v>
      </c>
      <c r="S404">
        <v>0.993388891220093</v>
      </c>
      <c r="T404">
        <f t="shared" si="62"/>
        <v>1</v>
      </c>
      <c r="U404" s="1">
        <v>0.78668890000000002</v>
      </c>
      <c r="V404">
        <v>1</v>
      </c>
    </row>
    <row r="405" spans="1:22">
      <c r="A405" s="1">
        <v>1</v>
      </c>
      <c r="B405" s="1" t="s">
        <v>440</v>
      </c>
      <c r="C405" s="1">
        <v>1</v>
      </c>
      <c r="D405" s="33">
        <v>1</v>
      </c>
      <c r="E405" s="37">
        <v>1</v>
      </c>
      <c r="F405" s="37">
        <v>1</v>
      </c>
      <c r="G405">
        <v>0.97309744399999998</v>
      </c>
      <c r="H405">
        <f t="shared" si="60"/>
        <v>1</v>
      </c>
      <c r="I405">
        <v>0.99917262792587302</v>
      </c>
      <c r="J405">
        <f t="shared" si="61"/>
        <v>1</v>
      </c>
      <c r="K405">
        <v>0.99841415882110596</v>
      </c>
      <c r="L405">
        <f t="shared" si="56"/>
        <v>1</v>
      </c>
      <c r="M405">
        <v>1</v>
      </c>
      <c r="N405">
        <f t="shared" si="57"/>
        <v>1</v>
      </c>
      <c r="O405">
        <v>0.999558866024017</v>
      </c>
      <c r="P405">
        <f t="shared" si="58"/>
        <v>1</v>
      </c>
      <c r="Q405">
        <v>0.77491879500000005</v>
      </c>
      <c r="R405">
        <f t="shared" si="59"/>
        <v>1</v>
      </c>
      <c r="S405">
        <v>0.999908447265625</v>
      </c>
      <c r="T405">
        <f t="shared" si="62"/>
        <v>1</v>
      </c>
      <c r="U405" s="1">
        <v>0.79417760000000004</v>
      </c>
      <c r="V405">
        <v>1</v>
      </c>
    </row>
    <row r="406" spans="1:22">
      <c r="A406" s="1">
        <v>1</v>
      </c>
      <c r="B406" s="1" t="s">
        <v>441</v>
      </c>
      <c r="C406" s="1">
        <v>1</v>
      </c>
      <c r="D406" s="33">
        <v>1</v>
      </c>
      <c r="E406" s="37">
        <v>1</v>
      </c>
      <c r="F406" s="37">
        <v>1</v>
      </c>
      <c r="G406">
        <v>0.96536546899999998</v>
      </c>
      <c r="H406">
        <f t="shared" si="60"/>
        <v>1</v>
      </c>
      <c r="I406">
        <v>0.99603492021560702</v>
      </c>
      <c r="J406">
        <f t="shared" si="61"/>
        <v>1</v>
      </c>
      <c r="K406">
        <v>0.99954247474670399</v>
      </c>
      <c r="L406">
        <f t="shared" si="56"/>
        <v>1</v>
      </c>
      <c r="M406">
        <v>0.99997866199999996</v>
      </c>
      <c r="N406">
        <f t="shared" si="57"/>
        <v>1</v>
      </c>
      <c r="O406">
        <v>0.97655540704727195</v>
      </c>
      <c r="P406">
        <f t="shared" si="58"/>
        <v>1</v>
      </c>
      <c r="Q406">
        <v>0.72904813300000004</v>
      </c>
      <c r="R406">
        <f t="shared" si="59"/>
        <v>1</v>
      </c>
      <c r="S406">
        <v>0.99986803531646695</v>
      </c>
      <c r="T406">
        <f t="shared" si="62"/>
        <v>1</v>
      </c>
      <c r="U406" s="1">
        <v>0.78332685999999996</v>
      </c>
      <c r="V406">
        <v>1</v>
      </c>
    </row>
    <row r="407" spans="1:22">
      <c r="A407" s="1">
        <v>1</v>
      </c>
      <c r="B407" s="1" t="s">
        <v>443</v>
      </c>
      <c r="C407" s="1">
        <v>1</v>
      </c>
      <c r="D407" s="33">
        <v>1</v>
      </c>
      <c r="E407" s="37">
        <v>1</v>
      </c>
      <c r="F407" s="37">
        <v>1</v>
      </c>
      <c r="G407">
        <v>6.6902891000000006E-2</v>
      </c>
      <c r="H407">
        <f t="shared" si="60"/>
        <v>0</v>
      </c>
      <c r="I407" s="30">
        <v>2.531913109124E-3</v>
      </c>
      <c r="J407">
        <f t="shared" si="61"/>
        <v>0</v>
      </c>
      <c r="K407">
        <v>2.3646520450711001E-2</v>
      </c>
      <c r="L407">
        <f t="shared" si="56"/>
        <v>0</v>
      </c>
      <c r="M407">
        <v>8.3040953000000001E-2</v>
      </c>
      <c r="N407">
        <f t="shared" si="57"/>
        <v>0</v>
      </c>
      <c r="O407">
        <v>2.629374619573E-3</v>
      </c>
      <c r="P407">
        <f t="shared" si="58"/>
        <v>0</v>
      </c>
      <c r="Q407">
        <v>0.52060520600000004</v>
      </c>
      <c r="R407">
        <f t="shared" si="59"/>
        <v>1</v>
      </c>
      <c r="S407">
        <v>3.4214958548545997E-2</v>
      </c>
      <c r="T407">
        <f t="shared" si="62"/>
        <v>0</v>
      </c>
      <c r="U407" s="1">
        <v>0.63719170000000003</v>
      </c>
      <c r="V407">
        <v>1</v>
      </c>
    </row>
    <row r="408" spans="1:22">
      <c r="A408" s="1">
        <v>1</v>
      </c>
      <c r="B408" s="1" t="s">
        <v>444</v>
      </c>
      <c r="C408" s="1">
        <v>1</v>
      </c>
      <c r="D408" s="33">
        <v>1</v>
      </c>
      <c r="E408" s="37">
        <v>1</v>
      </c>
      <c r="F408" s="37">
        <v>1</v>
      </c>
      <c r="G408">
        <v>0.110729277</v>
      </c>
      <c r="H408">
        <f t="shared" si="60"/>
        <v>0</v>
      </c>
      <c r="I408">
        <v>0.115253388881683</v>
      </c>
      <c r="J408">
        <f t="shared" si="61"/>
        <v>0</v>
      </c>
      <c r="K408">
        <v>0.70638030767440796</v>
      </c>
      <c r="L408">
        <f t="shared" si="56"/>
        <v>1</v>
      </c>
      <c r="M408">
        <v>0.60822141200000002</v>
      </c>
      <c r="N408">
        <f t="shared" si="57"/>
        <v>1</v>
      </c>
      <c r="O408">
        <v>0.68664425611496005</v>
      </c>
      <c r="P408">
        <f t="shared" si="58"/>
        <v>1</v>
      </c>
      <c r="Q408">
        <v>0.53200238899999996</v>
      </c>
      <c r="R408">
        <f t="shared" si="59"/>
        <v>1</v>
      </c>
      <c r="S408">
        <v>0.21065336465835599</v>
      </c>
      <c r="T408">
        <f t="shared" si="62"/>
        <v>0</v>
      </c>
      <c r="U408" s="1">
        <v>0.7628315</v>
      </c>
      <c r="V408">
        <v>1</v>
      </c>
    </row>
    <row r="409" spans="1:22">
      <c r="A409" s="1">
        <v>1</v>
      </c>
      <c r="B409" s="1" t="s">
        <v>445</v>
      </c>
      <c r="C409" s="1">
        <v>1</v>
      </c>
      <c r="D409" s="33">
        <v>1</v>
      </c>
      <c r="E409" s="36">
        <v>0</v>
      </c>
      <c r="F409" s="37">
        <v>1</v>
      </c>
      <c r="G409">
        <v>0.93996471199999998</v>
      </c>
      <c r="H409">
        <f t="shared" si="60"/>
        <v>1</v>
      </c>
      <c r="I409">
        <v>0.99934870004653897</v>
      </c>
      <c r="J409">
        <f t="shared" si="61"/>
        <v>1</v>
      </c>
      <c r="K409">
        <v>0.99763846397399902</v>
      </c>
      <c r="L409">
        <f t="shared" si="56"/>
        <v>1</v>
      </c>
      <c r="M409">
        <v>0.99811315499999997</v>
      </c>
      <c r="N409">
        <f t="shared" si="57"/>
        <v>1</v>
      </c>
      <c r="O409">
        <v>0.99907565116882302</v>
      </c>
      <c r="P409">
        <f t="shared" si="58"/>
        <v>1</v>
      </c>
      <c r="Q409">
        <v>0.87196368000000002</v>
      </c>
      <c r="R409">
        <f t="shared" si="59"/>
        <v>1</v>
      </c>
      <c r="S409">
        <v>0.98474228382110596</v>
      </c>
      <c r="T409">
        <f t="shared" si="62"/>
        <v>1</v>
      </c>
      <c r="U409" s="1">
        <v>0.75719449999999999</v>
      </c>
      <c r="V409">
        <v>1</v>
      </c>
    </row>
    <row r="410" spans="1:22">
      <c r="A410" s="1">
        <v>1</v>
      </c>
      <c r="B410" s="1" t="s">
        <v>446</v>
      </c>
      <c r="C410" s="1">
        <v>1</v>
      </c>
      <c r="D410" s="33">
        <v>1</v>
      </c>
      <c r="E410" s="37">
        <v>1</v>
      </c>
      <c r="F410" s="37">
        <v>1</v>
      </c>
      <c r="G410">
        <v>0.217428699</v>
      </c>
      <c r="H410">
        <f t="shared" si="60"/>
        <v>0</v>
      </c>
      <c r="I410">
        <v>0.80085080862045299</v>
      </c>
      <c r="J410">
        <f t="shared" si="61"/>
        <v>1</v>
      </c>
      <c r="K410">
        <v>0.96903067827224698</v>
      </c>
      <c r="L410">
        <f t="shared" ref="L410:L432" si="63">IF(K410&gt;$A$2,1,0)</f>
        <v>1</v>
      </c>
      <c r="M410">
        <v>0.95080959799999998</v>
      </c>
      <c r="N410">
        <f t="shared" ref="N410:N432" si="64">IF(M410&gt;$A$2,1,0)</f>
        <v>1</v>
      </c>
      <c r="O410">
        <v>0.94091051816940297</v>
      </c>
      <c r="P410">
        <f t="shared" ref="P410:P432" si="65">IF(O410&gt;$A$2,1,0)</f>
        <v>1</v>
      </c>
      <c r="Q410">
        <v>0.73536366200000003</v>
      </c>
      <c r="R410">
        <f t="shared" ref="R410:R432" si="66">IF(Q410&gt;$A$2,1,0)</f>
        <v>1</v>
      </c>
      <c r="S410">
        <v>0.34013611078262301</v>
      </c>
      <c r="T410">
        <f t="shared" si="62"/>
        <v>0</v>
      </c>
      <c r="U410" s="1">
        <v>0.68098645999999996</v>
      </c>
      <c r="V410">
        <v>1</v>
      </c>
    </row>
    <row r="411" spans="1:22">
      <c r="A411" s="1">
        <v>1</v>
      </c>
      <c r="B411" s="1" t="s">
        <v>448</v>
      </c>
      <c r="C411" s="1">
        <v>1</v>
      </c>
      <c r="D411" s="33">
        <v>1</v>
      </c>
      <c r="E411" s="36">
        <v>0</v>
      </c>
      <c r="F411" s="37">
        <v>1</v>
      </c>
      <c r="G411">
        <v>0.84084230699999996</v>
      </c>
      <c r="H411">
        <f t="shared" si="60"/>
        <v>1</v>
      </c>
      <c r="I411">
        <v>0.99519711732864402</v>
      </c>
      <c r="J411">
        <f t="shared" si="61"/>
        <v>1</v>
      </c>
      <c r="K411">
        <v>0.95766168832778897</v>
      </c>
      <c r="L411">
        <f t="shared" si="63"/>
        <v>1</v>
      </c>
      <c r="M411">
        <v>0.95098119999999997</v>
      </c>
      <c r="N411">
        <f t="shared" si="64"/>
        <v>1</v>
      </c>
      <c r="O411">
        <v>0.99763929843902599</v>
      </c>
      <c r="P411">
        <f t="shared" si="65"/>
        <v>1</v>
      </c>
      <c r="Q411">
        <v>0.67425352299999997</v>
      </c>
      <c r="R411">
        <f t="shared" si="66"/>
        <v>1</v>
      </c>
      <c r="S411">
        <v>0.87389659881591797</v>
      </c>
      <c r="T411">
        <f t="shared" si="62"/>
        <v>1</v>
      </c>
      <c r="U411" s="1">
        <v>0.63049639999999996</v>
      </c>
      <c r="V411">
        <v>1</v>
      </c>
    </row>
    <row r="412" spans="1:22">
      <c r="A412" s="1">
        <v>1</v>
      </c>
      <c r="B412" s="1" t="s">
        <v>449</v>
      </c>
      <c r="C412" s="1">
        <v>1</v>
      </c>
      <c r="D412" s="33">
        <v>0</v>
      </c>
      <c r="E412" s="36">
        <v>1</v>
      </c>
      <c r="F412" s="37">
        <v>1</v>
      </c>
      <c r="G412">
        <v>0.84974998199999996</v>
      </c>
      <c r="H412">
        <f t="shared" si="60"/>
        <v>1</v>
      </c>
      <c r="I412">
        <v>0.95919352769851696</v>
      </c>
      <c r="J412">
        <f t="shared" si="61"/>
        <v>1</v>
      </c>
      <c r="K412">
        <v>0.92898416519164995</v>
      </c>
      <c r="L412">
        <f t="shared" si="63"/>
        <v>1</v>
      </c>
      <c r="M412">
        <v>0.97713029399999995</v>
      </c>
      <c r="N412">
        <f t="shared" si="64"/>
        <v>1</v>
      </c>
      <c r="O412">
        <v>0.89096146821975697</v>
      </c>
      <c r="P412">
        <f t="shared" si="65"/>
        <v>1</v>
      </c>
      <c r="Q412">
        <v>0.81418305599999996</v>
      </c>
      <c r="R412">
        <f t="shared" si="66"/>
        <v>1</v>
      </c>
      <c r="S412">
        <v>0.87737721204757702</v>
      </c>
      <c r="T412">
        <f t="shared" si="62"/>
        <v>1</v>
      </c>
      <c r="U412" s="1">
        <v>0.76938002999999999</v>
      </c>
      <c r="V412">
        <v>1</v>
      </c>
    </row>
    <row r="413" spans="1:22">
      <c r="A413" s="1">
        <v>1</v>
      </c>
      <c r="B413" s="1" t="s">
        <v>450</v>
      </c>
      <c r="C413" s="1">
        <v>1</v>
      </c>
      <c r="D413" s="33">
        <v>1</v>
      </c>
      <c r="E413" s="37">
        <v>1</v>
      </c>
      <c r="F413" s="37">
        <v>1</v>
      </c>
      <c r="G413">
        <v>0.77043265100000002</v>
      </c>
      <c r="H413">
        <f t="shared" si="60"/>
        <v>1</v>
      </c>
      <c r="I413">
        <v>0.97450816631317105</v>
      </c>
      <c r="J413">
        <f t="shared" si="61"/>
        <v>1</v>
      </c>
      <c r="K413">
        <v>0.77949291467666604</v>
      </c>
      <c r="L413">
        <f t="shared" si="63"/>
        <v>1</v>
      </c>
      <c r="M413">
        <v>0.84739124799999999</v>
      </c>
      <c r="N413">
        <f t="shared" si="64"/>
        <v>1</v>
      </c>
      <c r="O413">
        <v>0.65595752000808705</v>
      </c>
      <c r="P413">
        <f t="shared" si="65"/>
        <v>1</v>
      </c>
      <c r="Q413">
        <v>0.42822057000000002</v>
      </c>
      <c r="R413">
        <f t="shared" si="66"/>
        <v>0</v>
      </c>
      <c r="S413">
        <v>0.70028930902481101</v>
      </c>
      <c r="T413">
        <f t="shared" si="62"/>
        <v>1</v>
      </c>
      <c r="U413" s="1">
        <v>0.65905119999999995</v>
      </c>
      <c r="V413">
        <v>1</v>
      </c>
    </row>
    <row r="414" spans="1:22">
      <c r="A414" s="1">
        <v>1</v>
      </c>
      <c r="B414" s="1" t="s">
        <v>451</v>
      </c>
      <c r="C414" s="1">
        <v>1</v>
      </c>
      <c r="D414" s="33">
        <v>1</v>
      </c>
      <c r="E414" s="37">
        <v>1</v>
      </c>
      <c r="F414" s="37">
        <v>1</v>
      </c>
      <c r="G414">
        <v>0.91839027399999995</v>
      </c>
      <c r="H414">
        <f t="shared" si="60"/>
        <v>1</v>
      </c>
      <c r="I414">
        <v>0.99959725141525302</v>
      </c>
      <c r="J414">
        <f t="shared" si="61"/>
        <v>1</v>
      </c>
      <c r="K414">
        <v>0.95472270250320401</v>
      </c>
      <c r="L414">
        <f t="shared" si="63"/>
        <v>1</v>
      </c>
      <c r="M414">
        <v>0.99971312300000004</v>
      </c>
      <c r="N414">
        <f t="shared" si="64"/>
        <v>1</v>
      </c>
      <c r="O414">
        <v>0.98049885034561202</v>
      </c>
      <c r="P414">
        <f t="shared" si="65"/>
        <v>1</v>
      </c>
      <c r="Q414">
        <v>0.79679215000000003</v>
      </c>
      <c r="R414">
        <f t="shared" si="66"/>
        <v>1</v>
      </c>
      <c r="S414">
        <v>0.60770964622497603</v>
      </c>
      <c r="T414">
        <f t="shared" si="62"/>
        <v>1</v>
      </c>
      <c r="U414" s="1">
        <v>0.72356929999999997</v>
      </c>
      <c r="V414">
        <v>1</v>
      </c>
    </row>
    <row r="415" spans="1:22">
      <c r="A415" s="1">
        <v>1</v>
      </c>
      <c r="B415" s="1" t="s">
        <v>452</v>
      </c>
      <c r="C415" s="1">
        <v>1</v>
      </c>
      <c r="D415" s="33">
        <v>1</v>
      </c>
      <c r="E415" s="37">
        <v>1</v>
      </c>
      <c r="F415" s="37">
        <v>1</v>
      </c>
      <c r="G415">
        <v>0.95431119200000003</v>
      </c>
      <c r="H415">
        <f t="shared" si="60"/>
        <v>1</v>
      </c>
      <c r="I415">
        <v>0.99872535467147805</v>
      </c>
      <c r="J415">
        <f t="shared" si="61"/>
        <v>1</v>
      </c>
      <c r="K415">
        <v>0.99592089653015103</v>
      </c>
      <c r="L415">
        <f t="shared" si="63"/>
        <v>1</v>
      </c>
      <c r="M415">
        <v>0.99999463600000005</v>
      </c>
      <c r="N415">
        <f t="shared" si="64"/>
        <v>1</v>
      </c>
      <c r="O415">
        <v>0.99402773380279497</v>
      </c>
      <c r="P415">
        <f t="shared" si="65"/>
        <v>1</v>
      </c>
      <c r="Q415">
        <v>0.80609840200000005</v>
      </c>
      <c r="R415">
        <f t="shared" si="66"/>
        <v>1</v>
      </c>
      <c r="S415">
        <v>0.99976605176925704</v>
      </c>
      <c r="T415">
        <f t="shared" si="62"/>
        <v>1</v>
      </c>
      <c r="U415" s="1">
        <v>0.77403120000000003</v>
      </c>
      <c r="V415">
        <v>1</v>
      </c>
    </row>
    <row r="416" spans="1:22">
      <c r="A416" s="1">
        <v>1</v>
      </c>
      <c r="B416" s="1" t="s">
        <v>453</v>
      </c>
      <c r="C416" s="1">
        <v>1</v>
      </c>
      <c r="D416" s="33">
        <v>1</v>
      </c>
      <c r="E416" s="37">
        <v>1</v>
      </c>
      <c r="F416" s="37">
        <v>1</v>
      </c>
      <c r="G416">
        <v>0.96034908299999999</v>
      </c>
      <c r="H416">
        <f t="shared" si="60"/>
        <v>1</v>
      </c>
      <c r="I416">
        <v>0.99973064661026001</v>
      </c>
      <c r="J416">
        <f t="shared" si="61"/>
        <v>1</v>
      </c>
      <c r="K416">
        <v>0.85090589523315396</v>
      </c>
      <c r="L416">
        <f t="shared" si="63"/>
        <v>1</v>
      </c>
      <c r="M416">
        <v>0.99995684600000001</v>
      </c>
      <c r="N416">
        <f t="shared" si="64"/>
        <v>1</v>
      </c>
      <c r="O416">
        <v>0.99720001220703103</v>
      </c>
      <c r="P416">
        <f t="shared" si="65"/>
        <v>1</v>
      </c>
      <c r="Q416">
        <v>0.79041218800000002</v>
      </c>
      <c r="R416">
        <f t="shared" si="66"/>
        <v>1</v>
      </c>
      <c r="S416">
        <v>0.978068947792053</v>
      </c>
      <c r="T416">
        <f t="shared" si="62"/>
        <v>1</v>
      </c>
      <c r="U416" s="1">
        <v>0.73879760000000005</v>
      </c>
      <c r="V416">
        <v>1</v>
      </c>
    </row>
    <row r="417" spans="1:22">
      <c r="A417" s="1">
        <v>1</v>
      </c>
      <c r="B417" s="1" t="s">
        <v>454</v>
      </c>
      <c r="C417" s="1">
        <v>1</v>
      </c>
      <c r="D417" s="33">
        <v>1</v>
      </c>
      <c r="E417" s="37">
        <v>1</v>
      </c>
      <c r="F417" s="37">
        <v>1</v>
      </c>
      <c r="G417">
        <v>0.109890737</v>
      </c>
      <c r="H417">
        <f t="shared" si="60"/>
        <v>0</v>
      </c>
      <c r="I417">
        <v>0.53950858116149902</v>
      </c>
      <c r="J417">
        <f t="shared" si="61"/>
        <v>1</v>
      </c>
      <c r="K417">
        <v>0.734977126121521</v>
      </c>
      <c r="L417">
        <f t="shared" si="63"/>
        <v>1</v>
      </c>
      <c r="M417">
        <v>0.78700476900000005</v>
      </c>
      <c r="N417">
        <f t="shared" si="64"/>
        <v>1</v>
      </c>
      <c r="O417">
        <v>2.1654095500708001E-2</v>
      </c>
      <c r="P417">
        <f t="shared" si="65"/>
        <v>0</v>
      </c>
      <c r="Q417">
        <v>0.21616271100000001</v>
      </c>
      <c r="R417">
        <f t="shared" si="66"/>
        <v>0</v>
      </c>
      <c r="S417">
        <v>0.18056298792362199</v>
      </c>
      <c r="T417">
        <f t="shared" si="62"/>
        <v>0</v>
      </c>
      <c r="U417" s="1">
        <v>0.25493395000000002</v>
      </c>
      <c r="V417">
        <v>0</v>
      </c>
    </row>
    <row r="418" spans="1:22">
      <c r="A418" s="1">
        <v>1</v>
      </c>
      <c r="B418" s="1" t="s">
        <v>455</v>
      </c>
      <c r="C418" s="1">
        <v>1</v>
      </c>
      <c r="D418" s="33">
        <v>1</v>
      </c>
      <c r="E418" s="37">
        <v>1</v>
      </c>
      <c r="F418" s="37">
        <v>1</v>
      </c>
      <c r="G418">
        <v>0.97056448500000003</v>
      </c>
      <c r="H418">
        <f t="shared" si="60"/>
        <v>1</v>
      </c>
      <c r="I418">
        <v>0.96619963645935103</v>
      </c>
      <c r="J418">
        <f t="shared" si="61"/>
        <v>1</v>
      </c>
      <c r="K418">
        <v>0.98791933059692405</v>
      </c>
      <c r="L418">
        <f t="shared" si="63"/>
        <v>1</v>
      </c>
      <c r="M418">
        <v>0.99997639699999996</v>
      </c>
      <c r="N418">
        <f t="shared" si="64"/>
        <v>1</v>
      </c>
      <c r="O418">
        <v>0.98676145076751698</v>
      </c>
      <c r="P418">
        <f t="shared" si="65"/>
        <v>1</v>
      </c>
      <c r="Q418">
        <v>0.66803276499999997</v>
      </c>
      <c r="R418">
        <f t="shared" si="66"/>
        <v>1</v>
      </c>
      <c r="S418">
        <v>0.99737501144409202</v>
      </c>
      <c r="T418">
        <f t="shared" si="62"/>
        <v>1</v>
      </c>
      <c r="U418" s="1">
        <v>0.7421316</v>
      </c>
      <c r="V418">
        <v>1</v>
      </c>
    </row>
    <row r="419" spans="1:22">
      <c r="A419" s="1">
        <v>1</v>
      </c>
      <c r="B419" s="1" t="s">
        <v>456</v>
      </c>
      <c r="C419" s="1">
        <v>1</v>
      </c>
      <c r="D419" s="33">
        <v>1</v>
      </c>
      <c r="E419" s="37">
        <v>1</v>
      </c>
      <c r="F419" s="37">
        <v>1</v>
      </c>
      <c r="G419">
        <v>0.72443091900000001</v>
      </c>
      <c r="H419">
        <f t="shared" si="60"/>
        <v>1</v>
      </c>
      <c r="I419">
        <v>0.99882751703262296</v>
      </c>
      <c r="J419">
        <f t="shared" si="61"/>
        <v>1</v>
      </c>
      <c r="K419">
        <v>0.99469107389450095</v>
      </c>
      <c r="L419">
        <f t="shared" si="63"/>
        <v>1</v>
      </c>
      <c r="M419">
        <v>0.99454379100000001</v>
      </c>
      <c r="N419">
        <f t="shared" si="64"/>
        <v>1</v>
      </c>
      <c r="O419">
        <v>0.98855108022689797</v>
      </c>
      <c r="P419">
        <f t="shared" si="65"/>
        <v>1</v>
      </c>
      <c r="Q419">
        <v>0.60929095700000002</v>
      </c>
      <c r="R419">
        <f t="shared" si="66"/>
        <v>1</v>
      </c>
      <c r="S419">
        <v>0.97021150588989302</v>
      </c>
      <c r="T419">
        <f t="shared" si="62"/>
        <v>1</v>
      </c>
      <c r="U419" s="1">
        <v>0.78823142999999996</v>
      </c>
      <c r="V419">
        <v>1</v>
      </c>
    </row>
    <row r="420" spans="1:22">
      <c r="A420" s="1">
        <v>1</v>
      </c>
      <c r="B420" s="1" t="s">
        <v>457</v>
      </c>
      <c r="C420" s="1">
        <v>1</v>
      </c>
      <c r="D420" s="33">
        <v>0</v>
      </c>
      <c r="E420" s="37">
        <v>1</v>
      </c>
      <c r="F420" s="37">
        <v>1</v>
      </c>
      <c r="G420">
        <v>0.57718056399999995</v>
      </c>
      <c r="H420">
        <f t="shared" si="60"/>
        <v>1</v>
      </c>
      <c r="I420">
        <v>0.90672588348388705</v>
      </c>
      <c r="J420">
        <f t="shared" si="61"/>
        <v>1</v>
      </c>
      <c r="K420">
        <v>0.65034747123718295</v>
      </c>
      <c r="L420">
        <f t="shared" si="63"/>
        <v>1</v>
      </c>
      <c r="M420">
        <v>0.835966706</v>
      </c>
      <c r="N420">
        <f t="shared" si="64"/>
        <v>1</v>
      </c>
      <c r="O420">
        <v>0.94899326562881503</v>
      </c>
      <c r="P420">
        <f t="shared" si="65"/>
        <v>1</v>
      </c>
      <c r="Q420">
        <v>0.692655146</v>
      </c>
      <c r="R420">
        <f t="shared" si="66"/>
        <v>1</v>
      </c>
      <c r="S420">
        <v>0.90630882978439298</v>
      </c>
      <c r="T420">
        <f t="shared" si="62"/>
        <v>1</v>
      </c>
      <c r="U420" s="1">
        <v>0.7608511</v>
      </c>
      <c r="V420">
        <v>1</v>
      </c>
    </row>
    <row r="421" spans="1:22">
      <c r="A421" s="1">
        <v>1</v>
      </c>
      <c r="B421" s="1" t="s">
        <v>458</v>
      </c>
      <c r="C421" s="1">
        <v>1</v>
      </c>
      <c r="D421" s="33">
        <v>1</v>
      </c>
      <c r="E421" s="36">
        <v>1</v>
      </c>
      <c r="F421" s="37">
        <v>1</v>
      </c>
      <c r="G421">
        <v>0.80665767200000005</v>
      </c>
      <c r="H421">
        <f t="shared" si="60"/>
        <v>1</v>
      </c>
      <c r="I421">
        <v>0.93599581718444802</v>
      </c>
      <c r="J421">
        <f t="shared" si="61"/>
        <v>1</v>
      </c>
      <c r="K421">
        <v>0.71873503923416104</v>
      </c>
      <c r="L421">
        <f t="shared" si="63"/>
        <v>1</v>
      </c>
      <c r="M421">
        <v>0.99983429899999998</v>
      </c>
      <c r="N421">
        <f t="shared" si="64"/>
        <v>1</v>
      </c>
      <c r="O421">
        <v>0.98140519857406605</v>
      </c>
      <c r="P421">
        <f t="shared" si="65"/>
        <v>1</v>
      </c>
      <c r="Q421">
        <v>0.74738746899999997</v>
      </c>
      <c r="R421">
        <f t="shared" si="66"/>
        <v>1</v>
      </c>
      <c r="S421">
        <v>0.92323750257492099</v>
      </c>
      <c r="T421">
        <f t="shared" si="62"/>
        <v>1</v>
      </c>
      <c r="U421" s="1">
        <v>0.78235909999999997</v>
      </c>
      <c r="V421">
        <v>1</v>
      </c>
    </row>
    <row r="422" spans="1:22">
      <c r="A422" s="1">
        <v>1</v>
      </c>
      <c r="B422" s="1" t="s">
        <v>459</v>
      </c>
      <c r="C422" s="1">
        <v>1</v>
      </c>
      <c r="D422" s="33">
        <v>1</v>
      </c>
      <c r="E422" s="37">
        <v>1</v>
      </c>
      <c r="F422" s="37">
        <v>1</v>
      </c>
      <c r="G422">
        <v>0.96242547000000001</v>
      </c>
      <c r="H422">
        <f t="shared" si="60"/>
        <v>1</v>
      </c>
      <c r="I422">
        <v>0.99959021806716897</v>
      </c>
      <c r="J422">
        <f t="shared" si="61"/>
        <v>1</v>
      </c>
      <c r="K422">
        <v>0.99993026256561302</v>
      </c>
      <c r="L422">
        <f t="shared" si="63"/>
        <v>1</v>
      </c>
      <c r="M422">
        <v>1</v>
      </c>
      <c r="N422">
        <f t="shared" si="64"/>
        <v>1</v>
      </c>
      <c r="O422">
        <v>0.99970942735671997</v>
      </c>
      <c r="P422">
        <f t="shared" si="65"/>
        <v>1</v>
      </c>
      <c r="Q422">
        <v>0.73170036100000002</v>
      </c>
      <c r="R422">
        <f t="shared" si="66"/>
        <v>1</v>
      </c>
      <c r="S422">
        <v>0.99995815753936801</v>
      </c>
      <c r="T422">
        <f t="shared" si="62"/>
        <v>1</v>
      </c>
      <c r="U422" s="1">
        <v>0.75759659999999995</v>
      </c>
      <c r="V422">
        <v>1</v>
      </c>
    </row>
    <row r="423" spans="1:22">
      <c r="A423" s="1">
        <v>1</v>
      </c>
      <c r="B423" s="1" t="s">
        <v>460</v>
      </c>
      <c r="C423" s="1">
        <v>1</v>
      </c>
      <c r="D423" s="33">
        <v>0</v>
      </c>
      <c r="E423" s="36">
        <v>0</v>
      </c>
      <c r="F423" s="37">
        <v>0</v>
      </c>
      <c r="G423">
        <v>0.744488657</v>
      </c>
      <c r="H423">
        <f t="shared" si="60"/>
        <v>1</v>
      </c>
      <c r="I423">
        <v>0.53974825143814098</v>
      </c>
      <c r="J423">
        <f t="shared" si="61"/>
        <v>1</v>
      </c>
      <c r="K423">
        <v>0.80813944339752197</v>
      </c>
      <c r="L423">
        <f t="shared" si="63"/>
        <v>1</v>
      </c>
      <c r="M423">
        <v>0.98561263099999996</v>
      </c>
      <c r="N423">
        <f t="shared" si="64"/>
        <v>1</v>
      </c>
      <c r="O423">
        <v>0.43657240271568298</v>
      </c>
      <c r="P423">
        <f t="shared" si="65"/>
        <v>0</v>
      </c>
      <c r="Q423">
        <v>0.74707627300000001</v>
      </c>
      <c r="R423">
        <f t="shared" si="66"/>
        <v>1</v>
      </c>
      <c r="S423">
        <v>0.79170465469360396</v>
      </c>
      <c r="T423">
        <f t="shared" si="62"/>
        <v>1</v>
      </c>
      <c r="U423" s="1">
        <v>0.74526959999999998</v>
      </c>
      <c r="V423">
        <v>1</v>
      </c>
    </row>
    <row r="424" spans="1:22">
      <c r="A424" s="1">
        <v>1</v>
      </c>
      <c r="B424" s="1" t="s">
        <v>461</v>
      </c>
      <c r="C424" s="1">
        <v>1</v>
      </c>
      <c r="D424" s="33">
        <v>1</v>
      </c>
      <c r="E424" s="37">
        <v>1</v>
      </c>
      <c r="F424" s="37">
        <v>1</v>
      </c>
      <c r="G424">
        <v>0.65198183099999996</v>
      </c>
      <c r="H424">
        <f t="shared" si="60"/>
        <v>1</v>
      </c>
      <c r="I424">
        <v>0.950106501579285</v>
      </c>
      <c r="J424">
        <f t="shared" si="61"/>
        <v>1</v>
      </c>
      <c r="K424">
        <v>0.95241594314575195</v>
      </c>
      <c r="L424">
        <f t="shared" si="63"/>
        <v>1</v>
      </c>
      <c r="M424">
        <v>0.99858993299999999</v>
      </c>
      <c r="N424">
        <f t="shared" si="64"/>
        <v>1</v>
      </c>
      <c r="O424">
        <v>0.97542619705200195</v>
      </c>
      <c r="P424">
        <f t="shared" si="65"/>
        <v>1</v>
      </c>
      <c r="Q424">
        <v>0.54060053799999996</v>
      </c>
      <c r="R424">
        <f t="shared" si="66"/>
        <v>1</v>
      </c>
      <c r="S424">
        <v>0.92324036359786998</v>
      </c>
      <c r="T424">
        <f t="shared" si="62"/>
        <v>1</v>
      </c>
      <c r="U424" s="1">
        <v>0.74483067000000003</v>
      </c>
      <c r="V424">
        <v>1</v>
      </c>
    </row>
    <row r="425" spans="1:22">
      <c r="A425" s="1">
        <v>1</v>
      </c>
      <c r="B425" s="1" t="s">
        <v>462</v>
      </c>
      <c r="C425" s="1">
        <v>1</v>
      </c>
      <c r="D425" s="33">
        <v>1</v>
      </c>
      <c r="E425" s="37">
        <v>1</v>
      </c>
      <c r="F425" s="37">
        <v>1</v>
      </c>
      <c r="G425">
        <v>0.94139033599999999</v>
      </c>
      <c r="H425">
        <f t="shared" si="60"/>
        <v>1</v>
      </c>
      <c r="I425">
        <v>0.99851125478744496</v>
      </c>
      <c r="J425">
        <f t="shared" si="61"/>
        <v>1</v>
      </c>
      <c r="K425">
        <v>0.93341022729873702</v>
      </c>
      <c r="L425">
        <f t="shared" si="63"/>
        <v>1</v>
      </c>
      <c r="M425">
        <v>0.99882286799999997</v>
      </c>
      <c r="N425">
        <f t="shared" si="64"/>
        <v>1</v>
      </c>
      <c r="O425">
        <v>0.99872547388076804</v>
      </c>
      <c r="P425">
        <f t="shared" si="65"/>
        <v>1</v>
      </c>
      <c r="Q425">
        <v>0.74733859300000005</v>
      </c>
      <c r="R425">
        <f t="shared" si="66"/>
        <v>1</v>
      </c>
      <c r="S425">
        <v>0.99770480394363403</v>
      </c>
      <c r="T425">
        <f t="shared" si="62"/>
        <v>1</v>
      </c>
      <c r="U425" s="1">
        <v>0.64226925000000001</v>
      </c>
      <c r="V425">
        <v>1</v>
      </c>
    </row>
    <row r="426" spans="1:22">
      <c r="A426" s="1">
        <v>1</v>
      </c>
      <c r="B426" s="1" t="s">
        <v>463</v>
      </c>
      <c r="C426" s="1">
        <v>1</v>
      </c>
      <c r="D426" s="33">
        <v>1</v>
      </c>
      <c r="E426" s="37">
        <v>1</v>
      </c>
      <c r="F426" s="37">
        <v>1</v>
      </c>
      <c r="G426">
        <v>0.56213438500000001</v>
      </c>
      <c r="H426">
        <f t="shared" si="60"/>
        <v>1</v>
      </c>
      <c r="I426">
        <v>9.5457687973975996E-2</v>
      </c>
      <c r="J426">
        <f t="shared" si="61"/>
        <v>0</v>
      </c>
      <c r="K426">
        <v>0.59606420993804898</v>
      </c>
      <c r="L426">
        <f t="shared" si="63"/>
        <v>1</v>
      </c>
      <c r="M426">
        <v>0.96408903599999995</v>
      </c>
      <c r="N426">
        <f t="shared" si="64"/>
        <v>1</v>
      </c>
      <c r="O426">
        <v>6.2126763164996997E-2</v>
      </c>
      <c r="P426">
        <f t="shared" si="65"/>
        <v>0</v>
      </c>
      <c r="Q426">
        <v>0.19486938400000001</v>
      </c>
      <c r="R426">
        <f t="shared" si="66"/>
        <v>0</v>
      </c>
      <c r="S426">
        <v>0.234895974397659</v>
      </c>
      <c r="T426">
        <f t="shared" si="62"/>
        <v>0</v>
      </c>
      <c r="U426" s="1">
        <v>0.29717719999999997</v>
      </c>
      <c r="V426">
        <v>0</v>
      </c>
    </row>
    <row r="427" spans="1:22">
      <c r="A427" s="1">
        <v>1</v>
      </c>
      <c r="B427" s="1" t="s">
        <v>464</v>
      </c>
      <c r="C427" s="1">
        <v>1</v>
      </c>
      <c r="D427" s="33">
        <v>1</v>
      </c>
      <c r="E427" s="37">
        <v>1</v>
      </c>
      <c r="F427" s="37">
        <v>1</v>
      </c>
      <c r="G427">
        <v>0.959917307</v>
      </c>
      <c r="H427">
        <f t="shared" si="60"/>
        <v>1</v>
      </c>
      <c r="I427">
        <v>0.99980372190475397</v>
      </c>
      <c r="J427">
        <f t="shared" si="61"/>
        <v>1</v>
      </c>
      <c r="K427">
        <v>0.99966478347778298</v>
      </c>
      <c r="L427">
        <f t="shared" si="63"/>
        <v>1</v>
      </c>
      <c r="M427">
        <v>0.99998116500000001</v>
      </c>
      <c r="N427">
        <f t="shared" si="64"/>
        <v>1</v>
      </c>
      <c r="O427">
        <v>0.99946564435958896</v>
      </c>
      <c r="P427">
        <f t="shared" si="65"/>
        <v>1</v>
      </c>
      <c r="Q427">
        <v>0.83251339199999996</v>
      </c>
      <c r="R427">
        <f t="shared" si="66"/>
        <v>1</v>
      </c>
      <c r="S427">
        <v>0.99989366531372104</v>
      </c>
      <c r="T427">
        <f t="shared" si="62"/>
        <v>1</v>
      </c>
      <c r="U427" s="1">
        <v>0.7903791</v>
      </c>
      <c r="V427">
        <v>1</v>
      </c>
    </row>
    <row r="428" spans="1:22">
      <c r="A428" s="1">
        <v>1</v>
      </c>
      <c r="B428" s="1" t="s">
        <v>465</v>
      </c>
      <c r="C428" s="1">
        <v>1</v>
      </c>
      <c r="D428" s="33">
        <v>1</v>
      </c>
      <c r="E428" s="37">
        <v>1</v>
      </c>
      <c r="F428" s="37">
        <v>1</v>
      </c>
      <c r="G428">
        <v>0.97804093400000003</v>
      </c>
      <c r="H428">
        <f t="shared" si="60"/>
        <v>1</v>
      </c>
      <c r="I428">
        <v>0.99999737739562999</v>
      </c>
      <c r="J428">
        <f t="shared" si="61"/>
        <v>1</v>
      </c>
      <c r="K428">
        <v>0.99979513883590698</v>
      </c>
      <c r="L428">
        <f t="shared" si="63"/>
        <v>1</v>
      </c>
      <c r="M428">
        <v>0.999889731</v>
      </c>
      <c r="N428">
        <f t="shared" si="64"/>
        <v>1</v>
      </c>
      <c r="O428">
        <v>0.99998962879180897</v>
      </c>
      <c r="P428">
        <f t="shared" si="65"/>
        <v>1</v>
      </c>
      <c r="Q428">
        <v>0.67876082699999996</v>
      </c>
      <c r="R428">
        <f t="shared" si="66"/>
        <v>1</v>
      </c>
      <c r="S428">
        <v>0.99976760149002097</v>
      </c>
      <c r="T428">
        <f t="shared" si="62"/>
        <v>1</v>
      </c>
      <c r="U428" s="1">
        <v>0.77117705000000003</v>
      </c>
      <c r="V428">
        <v>1</v>
      </c>
    </row>
    <row r="429" spans="1:22">
      <c r="A429" s="1">
        <v>1</v>
      </c>
      <c r="B429" s="1" t="s">
        <v>466</v>
      </c>
      <c r="C429" s="1">
        <v>1</v>
      </c>
      <c r="D429" s="33">
        <v>1</v>
      </c>
      <c r="E429" s="37">
        <v>1</v>
      </c>
      <c r="F429" s="37">
        <v>1</v>
      </c>
      <c r="G429">
        <v>0.91463643299999997</v>
      </c>
      <c r="H429">
        <f t="shared" si="60"/>
        <v>1</v>
      </c>
      <c r="I429">
        <v>0.98009353876113903</v>
      </c>
      <c r="J429">
        <f t="shared" si="61"/>
        <v>1</v>
      </c>
      <c r="K429">
        <v>0.94772267341613803</v>
      </c>
      <c r="L429">
        <f t="shared" si="63"/>
        <v>1</v>
      </c>
      <c r="M429">
        <v>0.93720352600000001</v>
      </c>
      <c r="N429">
        <f t="shared" si="64"/>
        <v>1</v>
      </c>
      <c r="O429">
        <v>0.95251446962356601</v>
      </c>
      <c r="P429">
        <f t="shared" si="65"/>
        <v>1</v>
      </c>
      <c r="Q429">
        <v>0.77925771499999996</v>
      </c>
      <c r="R429">
        <f t="shared" si="66"/>
        <v>1</v>
      </c>
      <c r="S429">
        <v>0.98190695047378496</v>
      </c>
      <c r="T429">
        <f t="shared" si="62"/>
        <v>1</v>
      </c>
      <c r="U429" s="1">
        <v>0.7132695</v>
      </c>
      <c r="V429">
        <v>1</v>
      </c>
    </row>
    <row r="430" spans="1:22">
      <c r="A430" s="1">
        <v>1</v>
      </c>
      <c r="B430" s="1" t="s">
        <v>467</v>
      </c>
      <c r="C430" s="1">
        <v>1</v>
      </c>
      <c r="D430" s="33">
        <v>1</v>
      </c>
      <c r="E430" s="37">
        <v>1</v>
      </c>
      <c r="F430" s="37">
        <v>1</v>
      </c>
      <c r="G430">
        <v>0.121307001</v>
      </c>
      <c r="H430">
        <f t="shared" si="60"/>
        <v>0</v>
      </c>
      <c r="I430">
        <v>0.71020996570587203</v>
      </c>
      <c r="J430">
        <f t="shared" si="61"/>
        <v>1</v>
      </c>
      <c r="K430">
        <v>3.1651224941015001E-2</v>
      </c>
      <c r="L430">
        <f t="shared" si="63"/>
        <v>0</v>
      </c>
      <c r="M430">
        <v>0.83049046999999998</v>
      </c>
      <c r="N430">
        <f t="shared" si="64"/>
        <v>1</v>
      </c>
      <c r="O430">
        <v>0.42280769348144498</v>
      </c>
      <c r="P430">
        <f t="shared" si="65"/>
        <v>0</v>
      </c>
      <c r="Q430">
        <v>0.64223992799999996</v>
      </c>
      <c r="R430">
        <f t="shared" si="66"/>
        <v>1</v>
      </c>
      <c r="S430">
        <v>1.4183835126459999E-2</v>
      </c>
      <c r="T430">
        <f t="shared" si="62"/>
        <v>0</v>
      </c>
      <c r="U430" s="1">
        <v>0.74091225999999999</v>
      </c>
      <c r="V430">
        <v>1</v>
      </c>
    </row>
    <row r="431" spans="1:22">
      <c r="A431" s="1">
        <v>1</v>
      </c>
      <c r="B431" s="1" t="s">
        <v>468</v>
      </c>
      <c r="C431" s="1">
        <v>1</v>
      </c>
      <c r="D431" s="33">
        <v>1</v>
      </c>
      <c r="E431" s="37">
        <v>1</v>
      </c>
      <c r="F431" s="37">
        <v>1</v>
      </c>
      <c r="G431">
        <v>0.94421094699999997</v>
      </c>
      <c r="H431">
        <f t="shared" si="60"/>
        <v>1</v>
      </c>
      <c r="I431">
        <v>0.99932885169982899</v>
      </c>
      <c r="J431">
        <f t="shared" si="61"/>
        <v>1</v>
      </c>
      <c r="K431">
        <v>0.99980932474136397</v>
      </c>
      <c r="L431">
        <f t="shared" si="63"/>
        <v>1</v>
      </c>
      <c r="M431">
        <v>0.99999988100000003</v>
      </c>
      <c r="N431">
        <f t="shared" si="64"/>
        <v>1</v>
      </c>
      <c r="O431">
        <v>0.993965923786163</v>
      </c>
      <c r="P431">
        <f t="shared" si="65"/>
        <v>1</v>
      </c>
      <c r="Q431">
        <v>0.76898342399999997</v>
      </c>
      <c r="R431">
        <f t="shared" si="66"/>
        <v>1</v>
      </c>
      <c r="S431">
        <v>0.99982434511184703</v>
      </c>
      <c r="T431">
        <f t="shared" si="62"/>
        <v>1</v>
      </c>
      <c r="U431" s="1">
        <v>0.79524313999999996</v>
      </c>
      <c r="V431">
        <v>1</v>
      </c>
    </row>
    <row r="432" spans="1:22">
      <c r="A432" s="1">
        <v>1</v>
      </c>
      <c r="B432" s="1" t="s">
        <v>469</v>
      </c>
      <c r="C432" s="1">
        <v>1</v>
      </c>
      <c r="D432" s="33">
        <v>0</v>
      </c>
      <c r="E432" s="36">
        <v>0</v>
      </c>
      <c r="F432" s="37">
        <v>1</v>
      </c>
      <c r="G432">
        <v>0.86100834599999998</v>
      </c>
      <c r="H432">
        <f t="shared" si="60"/>
        <v>1</v>
      </c>
      <c r="I432">
        <v>0.98890763521194502</v>
      </c>
      <c r="J432">
        <f t="shared" si="61"/>
        <v>1</v>
      </c>
      <c r="K432">
        <v>0.91228765249252297</v>
      </c>
      <c r="L432">
        <f t="shared" si="63"/>
        <v>1</v>
      </c>
      <c r="M432">
        <v>0.90015792800000005</v>
      </c>
      <c r="N432">
        <f t="shared" si="64"/>
        <v>1</v>
      </c>
      <c r="O432">
        <v>0.95324319601059004</v>
      </c>
      <c r="P432">
        <f t="shared" si="65"/>
        <v>1</v>
      </c>
      <c r="Q432">
        <v>0.50139433099999997</v>
      </c>
      <c r="R432">
        <f t="shared" si="66"/>
        <v>1</v>
      </c>
      <c r="S432">
        <v>0.74526059627533003</v>
      </c>
      <c r="T432">
        <f t="shared" si="62"/>
        <v>1</v>
      </c>
      <c r="U432" s="1">
        <v>0.74422670000000002</v>
      </c>
      <c r="V432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topLeftCell="A19" workbookViewId="0">
      <pane xSplit="2" ySplit="3" topLeftCell="U22" activePane="bottomRight" state="frozen"/>
      <selection activeCell="A19" sqref="A19"/>
      <selection pane="topRight" activeCell="C19" sqref="C19"/>
      <selection pane="bottomLeft" activeCell="A22" sqref="A22"/>
      <selection pane="bottomRight" activeCell="AK64" sqref="AK64"/>
    </sheetView>
  </sheetViews>
  <sheetFormatPr defaultRowHeight="17"/>
  <sheetData>
    <row r="1" spans="1:18">
      <c r="A1" s="79" t="s">
        <v>470</v>
      </c>
      <c r="B1" s="26" t="s">
        <v>11</v>
      </c>
      <c r="C1" s="26" t="s">
        <v>471</v>
      </c>
      <c r="D1" s="26" t="s">
        <v>472</v>
      </c>
      <c r="E1" s="26" t="s">
        <v>473</v>
      </c>
      <c r="F1" s="26" t="s">
        <v>474</v>
      </c>
      <c r="G1" s="26" t="s">
        <v>475</v>
      </c>
      <c r="H1" s="26" t="s">
        <v>476</v>
      </c>
      <c r="I1" s="26" t="s">
        <v>477</v>
      </c>
      <c r="J1" s="26" t="s">
        <v>478</v>
      </c>
      <c r="K1" s="41" t="s">
        <v>479</v>
      </c>
      <c r="L1" s="41" t="s">
        <v>480</v>
      </c>
      <c r="M1" s="41" t="s">
        <v>561</v>
      </c>
      <c r="N1" s="26" t="s">
        <v>481</v>
      </c>
      <c r="O1" s="26" t="s">
        <v>482</v>
      </c>
    </row>
    <row r="2" spans="1:18">
      <c r="A2" s="79">
        <v>0.5</v>
      </c>
      <c r="B2" s="26">
        <f>COUNTIF(C22:C64, 1)</f>
        <v>23</v>
      </c>
      <c r="C2" s="79"/>
      <c r="D2" s="79"/>
      <c r="E2" s="79"/>
      <c r="F2" s="79"/>
      <c r="G2" s="79"/>
      <c r="H2" s="79"/>
      <c r="I2" s="79"/>
      <c r="J2" s="79"/>
      <c r="K2" s="42"/>
      <c r="L2" s="42"/>
      <c r="M2" s="42"/>
      <c r="N2" s="79"/>
      <c r="O2" s="79"/>
    </row>
    <row r="3" spans="1:18">
      <c r="A3" s="79"/>
      <c r="B3" s="26" t="s">
        <v>10</v>
      </c>
      <c r="C3" s="79"/>
      <c r="D3" s="79"/>
      <c r="E3" s="79"/>
      <c r="F3" s="79"/>
      <c r="G3" s="79"/>
      <c r="H3" s="79"/>
      <c r="I3" s="79"/>
      <c r="J3" s="79"/>
      <c r="K3" s="42"/>
      <c r="L3" s="42"/>
      <c r="M3" s="42"/>
      <c r="N3" s="79"/>
      <c r="O3" s="79"/>
    </row>
    <row r="4" spans="1:18">
      <c r="A4" s="79"/>
      <c r="B4" s="26">
        <f>COUNTIF(C22:C64, 0)</f>
        <v>15</v>
      </c>
      <c r="C4" s="79"/>
      <c r="D4" s="79"/>
      <c r="E4" s="79"/>
      <c r="F4" s="79"/>
      <c r="G4" s="79"/>
      <c r="H4" s="79"/>
      <c r="I4" s="79"/>
      <c r="J4" s="79"/>
      <c r="K4" s="42"/>
      <c r="L4" s="42"/>
      <c r="M4" s="42"/>
      <c r="N4" s="79"/>
      <c r="O4" s="79"/>
    </row>
    <row r="5" spans="1:18">
      <c r="A5" s="4" t="s">
        <v>492</v>
      </c>
      <c r="B5" s="26" t="s">
        <v>489</v>
      </c>
      <c r="C5">
        <f>COUNTIFS($C$22:$C$64, 1, $D$22:$D$64, 1)</f>
        <v>16</v>
      </c>
      <c r="D5">
        <f>COUNTIFS($C$22:$C$64, 1, $D$22:$D$64, 0)</f>
        <v>7</v>
      </c>
      <c r="E5">
        <f>COUNTIFS($C$22:$C$64, 0, $D$22:$D$64, 1)</f>
        <v>4</v>
      </c>
      <c r="F5">
        <f>COUNTIFS($C$22:$C$64, 0, $D$22:$D$64, 0)</f>
        <v>11</v>
      </c>
      <c r="G5" s="79">
        <f>C5+E5</f>
        <v>20</v>
      </c>
      <c r="H5" s="79">
        <f>D5+F5</f>
        <v>18</v>
      </c>
      <c r="I5" s="79">
        <f t="shared" ref="I5:I15" si="0">C5+D5</f>
        <v>23</v>
      </c>
      <c r="J5" s="79">
        <f t="shared" ref="J5:J15" si="1">F5+E5</f>
        <v>15</v>
      </c>
      <c r="K5" s="54">
        <f t="shared" ref="K5:K15" si="2">(C5+F5)/SUM($C5:$F5)</f>
        <v>0.71052631578947367</v>
      </c>
      <c r="L5" s="54">
        <f t="shared" ref="L5:L15" si="3">C5/I5</f>
        <v>0.69565217391304346</v>
      </c>
      <c r="M5" s="54">
        <f t="shared" ref="M5:M15" si="4">F5/J5</f>
        <v>0.73333333333333328</v>
      </c>
      <c r="N5" s="55">
        <f t="shared" ref="N5:N15" si="5">C5/G5</f>
        <v>0.8</v>
      </c>
      <c r="O5" s="55">
        <f t="shared" ref="O5:O15" si="6">F5/H5</f>
        <v>0.61111111111111116</v>
      </c>
      <c r="Q5" s="27"/>
    </row>
    <row r="6" spans="1:18">
      <c r="A6" s="43" t="s">
        <v>493</v>
      </c>
      <c r="B6" s="44" t="s">
        <v>490</v>
      </c>
      <c r="C6" s="45">
        <f>COUNTIFS($C$22:$C$64, 1, $E$22:$E$64, 1)</f>
        <v>19</v>
      </c>
      <c r="D6" s="45">
        <f>COUNTIFS($C$22:$C$64, 1, $E$22:$E$64, 0)</f>
        <v>4</v>
      </c>
      <c r="E6" s="45">
        <f>COUNTIFS($C$22:$C$64, 0, $E$22:$E$64, 1)</f>
        <v>5</v>
      </c>
      <c r="F6" s="45">
        <f>COUNTIFS($C$22:$C$64, 0, $E$22:$E$64, 0)</f>
        <v>10</v>
      </c>
      <c r="G6" s="46">
        <f t="shared" ref="G6:H15" si="7">C6+E6</f>
        <v>24</v>
      </c>
      <c r="H6" s="46">
        <f t="shared" si="7"/>
        <v>14</v>
      </c>
      <c r="I6" s="46">
        <f t="shared" si="0"/>
        <v>23</v>
      </c>
      <c r="J6" s="46">
        <f t="shared" si="1"/>
        <v>15</v>
      </c>
      <c r="K6" s="56">
        <f t="shared" si="2"/>
        <v>0.76315789473684215</v>
      </c>
      <c r="L6" s="56">
        <f t="shared" si="3"/>
        <v>0.82608695652173914</v>
      </c>
      <c r="M6" s="56">
        <f t="shared" si="4"/>
        <v>0.66666666666666663</v>
      </c>
      <c r="N6" s="57">
        <f t="shared" si="5"/>
        <v>0.79166666666666663</v>
      </c>
      <c r="O6" s="57">
        <f t="shared" si="6"/>
        <v>0.7142857142857143</v>
      </c>
      <c r="P6" s="45" t="s">
        <v>497</v>
      </c>
    </row>
    <row r="7" spans="1:18">
      <c r="A7" s="4" t="s">
        <v>494</v>
      </c>
      <c r="B7" s="29" t="s">
        <v>491</v>
      </c>
      <c r="C7">
        <f>COUNTIFS($C$22:$C$64, 1, $F$22:$F$64, 1)</f>
        <v>22</v>
      </c>
      <c r="D7">
        <f>COUNTIFS($C$22:$C$64, 1, $F$22:$F$64, 0)</f>
        <v>1</v>
      </c>
      <c r="E7">
        <f>COUNTIFS($C$22:$C$64, 0, $F$22:$F$64, 1)</f>
        <v>4</v>
      </c>
      <c r="F7">
        <f>COUNTIFS($C$22:$C$64, 0, $F$22:$F$64, 0)</f>
        <v>11</v>
      </c>
      <c r="G7" s="79">
        <f t="shared" si="7"/>
        <v>26</v>
      </c>
      <c r="H7" s="79">
        <f t="shared" si="7"/>
        <v>12</v>
      </c>
      <c r="I7" s="79">
        <f t="shared" si="0"/>
        <v>23</v>
      </c>
      <c r="J7" s="79">
        <f t="shared" si="1"/>
        <v>15</v>
      </c>
      <c r="K7" s="54">
        <f t="shared" si="2"/>
        <v>0.86842105263157898</v>
      </c>
      <c r="L7" s="54">
        <f t="shared" si="3"/>
        <v>0.95652173913043481</v>
      </c>
      <c r="M7" s="54">
        <f t="shared" si="4"/>
        <v>0.73333333333333328</v>
      </c>
      <c r="N7" s="55">
        <f t="shared" si="5"/>
        <v>0.84615384615384615</v>
      </c>
      <c r="O7" s="55">
        <f t="shared" si="6"/>
        <v>0.91666666666666663</v>
      </c>
      <c r="P7" s="27"/>
    </row>
    <row r="8" spans="1:18">
      <c r="A8" s="79"/>
      <c r="B8" s="47" t="s">
        <v>495</v>
      </c>
      <c r="C8" s="48">
        <f>COUNTIFS($C$22:$C$64, 1, H$22:H$64, 1)</f>
        <v>20</v>
      </c>
      <c r="D8" s="48">
        <f>COUNTIFS($C$22:$C$64, 1, H$22:H$64, 0)</f>
        <v>3</v>
      </c>
      <c r="E8" s="48">
        <f>COUNTIFS($C$22:$C$64, 0, H$22:H$64, 1)</f>
        <v>4</v>
      </c>
      <c r="F8" s="48">
        <f>COUNTIFS($C$22:$C$64, 0, H$22:H$64, 0)</f>
        <v>11</v>
      </c>
      <c r="G8" s="49">
        <f t="shared" si="7"/>
        <v>24</v>
      </c>
      <c r="H8" s="49">
        <f t="shared" si="7"/>
        <v>14</v>
      </c>
      <c r="I8" s="49">
        <f t="shared" si="0"/>
        <v>23</v>
      </c>
      <c r="J8" s="49">
        <f t="shared" si="1"/>
        <v>15</v>
      </c>
      <c r="K8" s="58">
        <f t="shared" si="2"/>
        <v>0.81578947368421051</v>
      </c>
      <c r="L8" s="58">
        <f t="shared" si="3"/>
        <v>0.86956521739130432</v>
      </c>
      <c r="M8" s="58">
        <f t="shared" si="4"/>
        <v>0.73333333333333328</v>
      </c>
      <c r="N8" s="59">
        <f t="shared" si="5"/>
        <v>0.83333333333333337</v>
      </c>
      <c r="O8" s="59">
        <f t="shared" si="6"/>
        <v>0.7857142857142857</v>
      </c>
      <c r="P8" s="48" t="s">
        <v>495</v>
      </c>
      <c r="Q8" s="52"/>
      <c r="R8" s="52"/>
    </row>
    <row r="9" spans="1:18">
      <c r="A9" s="79"/>
      <c r="B9" s="29" t="s">
        <v>542</v>
      </c>
      <c r="C9">
        <f>COUNTIFS($C$22:$C$64, 1, J$22:J$64, 1)</f>
        <v>17</v>
      </c>
      <c r="D9">
        <f>COUNTIFS($C$22:$C$64, 1, J$22:J$64, 0)</f>
        <v>6</v>
      </c>
      <c r="E9">
        <f>COUNTIFS($C$22:$C$64, 0, J$22:J$64, 1)</f>
        <v>3</v>
      </c>
      <c r="F9">
        <f>COUNTIFS($C$22:$C$64, 0, J$22:J$64, 0)</f>
        <v>12</v>
      </c>
      <c r="G9" s="79">
        <f t="shared" si="7"/>
        <v>20</v>
      </c>
      <c r="H9" s="79">
        <f t="shared" si="7"/>
        <v>18</v>
      </c>
      <c r="I9" s="79">
        <f t="shared" si="0"/>
        <v>23</v>
      </c>
      <c r="J9" s="79">
        <f t="shared" si="1"/>
        <v>15</v>
      </c>
      <c r="K9" s="54">
        <f t="shared" si="2"/>
        <v>0.76315789473684215</v>
      </c>
      <c r="L9" s="54">
        <f t="shared" si="3"/>
        <v>0.73913043478260865</v>
      </c>
      <c r="M9" s="54">
        <f t="shared" si="4"/>
        <v>0.8</v>
      </c>
      <c r="N9" s="55">
        <f t="shared" si="5"/>
        <v>0.85</v>
      </c>
      <c r="O9" s="55">
        <f t="shared" si="6"/>
        <v>0.66666666666666663</v>
      </c>
      <c r="Q9" s="60"/>
      <c r="R9" s="52"/>
    </row>
    <row r="10" spans="1:18">
      <c r="B10" s="26" t="s">
        <v>540</v>
      </c>
      <c r="C10">
        <f>COUNTIFS($C$22:$C$64, 1, L$22:L$64, 1)</f>
        <v>19</v>
      </c>
      <c r="D10">
        <f>COUNTIFS($C$22:$C$64, 1, L$22:L$64, 0)</f>
        <v>4</v>
      </c>
      <c r="E10">
        <f>COUNTIFS($C$22:$C$64, 0, L$22:L$64, 1)</f>
        <v>4</v>
      </c>
      <c r="F10">
        <f>COUNTIFS($C$22:$C$64, 0, L$22:L$64, 0)</f>
        <v>11</v>
      </c>
      <c r="G10" s="79">
        <f t="shared" si="7"/>
        <v>23</v>
      </c>
      <c r="H10" s="79">
        <f t="shared" si="7"/>
        <v>15</v>
      </c>
      <c r="I10" s="79">
        <f t="shared" si="0"/>
        <v>23</v>
      </c>
      <c r="J10" s="79">
        <f t="shared" si="1"/>
        <v>15</v>
      </c>
      <c r="K10" s="54">
        <f t="shared" si="2"/>
        <v>0.78947368421052633</v>
      </c>
      <c r="L10" s="54">
        <f t="shared" si="3"/>
        <v>0.82608695652173914</v>
      </c>
      <c r="M10" s="54">
        <f t="shared" si="4"/>
        <v>0.73333333333333328</v>
      </c>
      <c r="N10" s="55">
        <f t="shared" si="5"/>
        <v>0.82608695652173914</v>
      </c>
      <c r="O10" s="55">
        <f t="shared" si="6"/>
        <v>0.73333333333333328</v>
      </c>
      <c r="Q10" s="60"/>
      <c r="R10" s="52"/>
    </row>
    <row r="11" spans="1:18">
      <c r="B11" s="28" t="s">
        <v>539</v>
      </c>
      <c r="C11">
        <f>COUNTIFS($C$22:$C$64, 1, N$22:N$64, 1)</f>
        <v>19</v>
      </c>
      <c r="D11">
        <f>COUNTIFS($C$22:$C$64, 1, N$22:N$64, 0)</f>
        <v>4</v>
      </c>
      <c r="E11">
        <f>COUNTIFS($C$22:$C$64, 0, N$22:N$64, 1)</f>
        <v>3</v>
      </c>
      <c r="F11">
        <f>COUNTIFS($C$22:$C$64, 0, N$22:N$64, 0)</f>
        <v>12</v>
      </c>
      <c r="G11" s="79">
        <f t="shared" si="7"/>
        <v>22</v>
      </c>
      <c r="H11" s="79">
        <f t="shared" si="7"/>
        <v>16</v>
      </c>
      <c r="I11" s="79">
        <f t="shared" si="0"/>
        <v>23</v>
      </c>
      <c r="J11" s="79">
        <f t="shared" si="1"/>
        <v>15</v>
      </c>
      <c r="K11" s="54">
        <f t="shared" si="2"/>
        <v>0.81578947368421051</v>
      </c>
      <c r="L11" s="54">
        <f t="shared" si="3"/>
        <v>0.82608695652173914</v>
      </c>
      <c r="M11" s="54">
        <f t="shared" si="4"/>
        <v>0.8</v>
      </c>
      <c r="N11" s="55">
        <f t="shared" si="5"/>
        <v>0.86363636363636365</v>
      </c>
      <c r="O11" s="55">
        <f t="shared" si="6"/>
        <v>0.75</v>
      </c>
      <c r="Q11" s="52"/>
      <c r="R11" s="52"/>
    </row>
    <row r="12" spans="1:18">
      <c r="B12" s="29" t="s">
        <v>541</v>
      </c>
      <c r="C12">
        <f>COUNTIFS($C$22:$C$64, 1, P$22:P$64, 1)</f>
        <v>17</v>
      </c>
      <c r="D12">
        <f>COUNTIFS($C$22:$C$64, 1, P$22:P$64, 0)</f>
        <v>6</v>
      </c>
      <c r="E12">
        <f>COUNTIFS($C$22:$C$64, 0, P$22:P$64, 1)</f>
        <v>3</v>
      </c>
      <c r="F12">
        <f>COUNTIFS($C$22:$C$64, 0, P$22:P$64, 0)</f>
        <v>12</v>
      </c>
      <c r="G12" s="79">
        <f t="shared" si="7"/>
        <v>20</v>
      </c>
      <c r="H12" s="79">
        <f t="shared" si="7"/>
        <v>18</v>
      </c>
      <c r="I12" s="79">
        <f t="shared" si="0"/>
        <v>23</v>
      </c>
      <c r="J12" s="79">
        <f t="shared" si="1"/>
        <v>15</v>
      </c>
      <c r="K12" s="54">
        <f t="shared" si="2"/>
        <v>0.76315789473684215</v>
      </c>
      <c r="L12" s="54">
        <f t="shared" si="3"/>
        <v>0.73913043478260865</v>
      </c>
      <c r="M12" s="54">
        <f t="shared" si="4"/>
        <v>0.8</v>
      </c>
      <c r="N12" s="55">
        <f t="shared" si="5"/>
        <v>0.85</v>
      </c>
      <c r="O12" s="55">
        <f t="shared" si="6"/>
        <v>0.66666666666666663</v>
      </c>
      <c r="Q12" s="52"/>
      <c r="R12" s="52"/>
    </row>
    <row r="13" spans="1:18">
      <c r="B13" s="29" t="s">
        <v>555</v>
      </c>
      <c r="C13">
        <f>COUNTIFS($C$22:$C$64, 1, R$22:R$64, 1)</f>
        <v>18</v>
      </c>
      <c r="D13">
        <f>COUNTIFS($C$22:$C$64, 1, R$22:R$64, 0)</f>
        <v>5</v>
      </c>
      <c r="E13">
        <f>COUNTIFS($C$22:$C$64, 0, R$22:R$64, 1)</f>
        <v>3</v>
      </c>
      <c r="F13">
        <f>COUNTIFS($C$22:$C$64, 0, R$22:R$64, 0)</f>
        <v>12</v>
      </c>
      <c r="G13" s="79">
        <f t="shared" si="7"/>
        <v>21</v>
      </c>
      <c r="H13" s="79">
        <f t="shared" si="7"/>
        <v>17</v>
      </c>
      <c r="I13" s="79">
        <f t="shared" si="0"/>
        <v>23</v>
      </c>
      <c r="J13" s="79">
        <f t="shared" si="1"/>
        <v>15</v>
      </c>
      <c r="K13" s="54">
        <f t="shared" si="2"/>
        <v>0.78947368421052633</v>
      </c>
      <c r="L13" s="54">
        <f t="shared" si="3"/>
        <v>0.78260869565217395</v>
      </c>
      <c r="M13" s="54">
        <f t="shared" si="4"/>
        <v>0.8</v>
      </c>
      <c r="N13" s="55">
        <f t="shared" si="5"/>
        <v>0.8571428571428571</v>
      </c>
      <c r="O13" s="55">
        <f t="shared" si="6"/>
        <v>0.70588235294117652</v>
      </c>
      <c r="Q13" s="52"/>
      <c r="R13" s="52"/>
    </row>
    <row r="14" spans="1:18">
      <c r="B14" s="29" t="s">
        <v>543</v>
      </c>
      <c r="C14">
        <f>COUNTIFS($C$22:$C$64, 1, T$22:T$64, 1)</f>
        <v>17</v>
      </c>
      <c r="D14">
        <f>COUNTIFS($C$22:$C$64, 1, T$22:T$64, 0)</f>
        <v>6</v>
      </c>
      <c r="E14">
        <f>COUNTIFS($C$22:$C$64, 0, T$22:T$64, 1)</f>
        <v>2</v>
      </c>
      <c r="F14">
        <f>COUNTIFS($C$22:$C$64, 0, T$22:T$64, 0)</f>
        <v>13</v>
      </c>
      <c r="G14" s="79">
        <f t="shared" si="7"/>
        <v>19</v>
      </c>
      <c r="H14" s="79">
        <f t="shared" si="7"/>
        <v>19</v>
      </c>
      <c r="I14" s="79">
        <f t="shared" si="0"/>
        <v>23</v>
      </c>
      <c r="J14" s="79">
        <f t="shared" si="1"/>
        <v>15</v>
      </c>
      <c r="K14" s="54">
        <f t="shared" si="2"/>
        <v>0.78947368421052633</v>
      </c>
      <c r="L14" s="54">
        <f t="shared" si="3"/>
        <v>0.73913043478260865</v>
      </c>
      <c r="M14" s="54">
        <f t="shared" si="4"/>
        <v>0.8666666666666667</v>
      </c>
      <c r="N14" s="55">
        <f t="shared" si="5"/>
        <v>0.89473684210526316</v>
      </c>
      <c r="O14" s="55">
        <f t="shared" si="6"/>
        <v>0.68421052631578949</v>
      </c>
      <c r="Q14" s="52"/>
      <c r="R14" s="52"/>
    </row>
    <row r="15" spans="1:18">
      <c r="B15" s="29" t="s">
        <v>557</v>
      </c>
      <c r="C15">
        <f>COUNTIFS($C$22:$C$64, 1, V$22:V$64, 1)</f>
        <v>18</v>
      </c>
      <c r="D15">
        <f>COUNTIFS($C$22:$C$64, 1, V$22:V$64, 0)</f>
        <v>5</v>
      </c>
      <c r="E15">
        <f>COUNTIFS($C$22:$C$64, 0, V$22:V$64, 1)</f>
        <v>2</v>
      </c>
      <c r="F15">
        <f>COUNTIFS($C$22:$C$64, 0, V$22:V$64, 0)</f>
        <v>13</v>
      </c>
      <c r="G15" s="79">
        <f t="shared" si="7"/>
        <v>20</v>
      </c>
      <c r="H15" s="79">
        <f t="shared" si="7"/>
        <v>18</v>
      </c>
      <c r="I15" s="79">
        <f t="shared" si="0"/>
        <v>23</v>
      </c>
      <c r="J15" s="79">
        <f t="shared" si="1"/>
        <v>15</v>
      </c>
      <c r="K15" s="54">
        <f t="shared" si="2"/>
        <v>0.81578947368421051</v>
      </c>
      <c r="L15" s="54">
        <f t="shared" si="3"/>
        <v>0.78260869565217395</v>
      </c>
      <c r="M15" s="54">
        <f t="shared" si="4"/>
        <v>0.8666666666666667</v>
      </c>
      <c r="N15" s="55">
        <f t="shared" si="5"/>
        <v>0.9</v>
      </c>
      <c r="O15" s="55">
        <f t="shared" si="6"/>
        <v>0.72222222222222221</v>
      </c>
      <c r="Q15" t="s">
        <v>559</v>
      </c>
      <c r="R15" t="s">
        <v>560</v>
      </c>
    </row>
    <row r="16" spans="1:18">
      <c r="B16" s="29"/>
      <c r="G16" s="79"/>
      <c r="H16" s="79"/>
      <c r="I16" s="79"/>
      <c r="J16" s="79"/>
      <c r="K16" s="78"/>
      <c r="L16" s="78"/>
      <c r="M16" s="78"/>
      <c r="N16" s="55"/>
      <c r="O16" s="55"/>
      <c r="P16" t="s">
        <v>563</v>
      </c>
      <c r="Q16" s="52"/>
      <c r="R16" s="52"/>
    </row>
    <row r="17" spans="1:22">
      <c r="C17" s="50" t="s">
        <v>498</v>
      </c>
      <c r="D17" s="50"/>
      <c r="E17" s="50"/>
      <c r="F17" s="50"/>
      <c r="G17" s="51"/>
      <c r="H17" s="51"/>
      <c r="I17" s="51"/>
      <c r="J17" s="51"/>
      <c r="K17" s="51"/>
      <c r="L17" s="51"/>
      <c r="M17" s="51"/>
      <c r="N17" s="51"/>
      <c r="O17" s="51"/>
      <c r="P17" s="50" t="s">
        <v>564</v>
      </c>
      <c r="Q17" s="50"/>
      <c r="R17" s="50"/>
      <c r="S17" s="50"/>
      <c r="U17" s="50"/>
    </row>
    <row r="18" spans="1:22">
      <c r="C18" s="50" t="s">
        <v>499</v>
      </c>
      <c r="D18" s="50"/>
      <c r="E18" s="50"/>
      <c r="F18" s="50"/>
      <c r="G18" s="51"/>
      <c r="H18" s="51"/>
      <c r="I18" s="51"/>
      <c r="J18" s="51"/>
      <c r="K18" s="51"/>
      <c r="L18" s="51"/>
      <c r="M18" s="51"/>
      <c r="N18" s="51"/>
      <c r="O18" s="51"/>
      <c r="P18" s="50"/>
      <c r="Q18" s="50"/>
      <c r="R18" s="50"/>
      <c r="S18" s="50"/>
      <c r="U18" s="50"/>
    </row>
    <row r="19" spans="1:22">
      <c r="C19" s="50" t="s">
        <v>500</v>
      </c>
      <c r="D19" s="50"/>
      <c r="E19" s="50"/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0"/>
      <c r="Q19" s="50"/>
      <c r="R19" s="50"/>
      <c r="S19" s="50"/>
      <c r="U19" s="50"/>
    </row>
    <row r="21" spans="1:22" ht="51">
      <c r="B21" s="23" t="s">
        <v>483</v>
      </c>
      <c r="C21" s="24" t="s">
        <v>484</v>
      </c>
      <c r="D21" s="31" t="s">
        <v>486</v>
      </c>
      <c r="E21" s="31" t="s">
        <v>487</v>
      </c>
      <c r="F21" s="31" t="s">
        <v>488</v>
      </c>
      <c r="G21" s="40" t="s">
        <v>496</v>
      </c>
      <c r="H21" s="39" t="s">
        <v>485</v>
      </c>
      <c r="I21" s="39" t="s">
        <v>542</v>
      </c>
      <c r="K21" s="39" t="s">
        <v>540</v>
      </c>
      <c r="M21" s="39" t="s">
        <v>562</v>
      </c>
      <c r="O21" t="s">
        <v>541</v>
      </c>
      <c r="Q21" t="s">
        <v>555</v>
      </c>
      <c r="S21" t="s">
        <v>543</v>
      </c>
      <c r="U21" t="s">
        <v>558</v>
      </c>
    </row>
    <row r="22" spans="1:22">
      <c r="A22" s="1" t="s">
        <v>9</v>
      </c>
      <c r="B22" s="1"/>
      <c r="D22" s="32"/>
      <c r="E22" s="32"/>
      <c r="F22" s="32"/>
    </row>
    <row r="23" spans="1:22">
      <c r="A23" s="1">
        <v>0</v>
      </c>
      <c r="B23" s="7" t="s">
        <v>23</v>
      </c>
      <c r="C23" s="1">
        <v>0</v>
      </c>
      <c r="D23" s="33">
        <v>0</v>
      </c>
      <c r="E23" s="34">
        <v>0</v>
      </c>
      <c r="F23" s="33">
        <v>0</v>
      </c>
      <c r="G23">
        <v>3.4404241000000002E-2</v>
      </c>
      <c r="H23">
        <f t="shared" ref="H23:H28" si="8">IF(G23&gt;$A$2,1,0)</f>
        <v>0</v>
      </c>
      <c r="I23">
        <v>4.3995529413223003E-2</v>
      </c>
      <c r="J23">
        <f t="shared" ref="J23:J28" si="9">IF(I23&gt;$A$2,1,0)</f>
        <v>0</v>
      </c>
      <c r="K23">
        <v>1.3769069686532E-2</v>
      </c>
      <c r="L23">
        <f t="shared" ref="L23:R28" si="10">IF(K23&gt;$A$2,1,0)</f>
        <v>0</v>
      </c>
      <c r="M23">
        <v>1.7730399999999999E-8</v>
      </c>
      <c r="N23">
        <f t="shared" si="10"/>
        <v>0</v>
      </c>
      <c r="O23">
        <v>2.3577270621900001E-4</v>
      </c>
      <c r="P23">
        <f t="shared" si="10"/>
        <v>0</v>
      </c>
      <c r="Q23">
        <v>0.26420143200000001</v>
      </c>
      <c r="R23">
        <f t="shared" si="10"/>
        <v>0</v>
      </c>
      <c r="S23">
        <v>1.143320463598E-3</v>
      </c>
      <c r="T23">
        <f t="shared" ref="T23:T28" si="11">IF(S23&gt;$A$2,1,0)</f>
        <v>0</v>
      </c>
      <c r="U23" s="7">
        <v>0.25091255000000001</v>
      </c>
      <c r="V23" s="7">
        <v>0</v>
      </c>
    </row>
    <row r="24" spans="1:22">
      <c r="A24" s="1">
        <v>0</v>
      </c>
      <c r="B24" s="7" t="s">
        <v>547</v>
      </c>
      <c r="C24" s="1">
        <v>0</v>
      </c>
      <c r="D24" s="33">
        <v>1</v>
      </c>
      <c r="E24" s="34">
        <v>0</v>
      </c>
      <c r="F24" s="33">
        <v>0</v>
      </c>
      <c r="G24" s="30">
        <v>5.7265401E-2</v>
      </c>
      <c r="H24">
        <f t="shared" si="8"/>
        <v>0</v>
      </c>
      <c r="I24" s="30">
        <v>1.8766045570374E-2</v>
      </c>
      <c r="J24">
        <f t="shared" si="9"/>
        <v>0</v>
      </c>
      <c r="K24">
        <v>3.4547142684459999E-2</v>
      </c>
      <c r="L24">
        <f t="shared" si="10"/>
        <v>0</v>
      </c>
      <c r="M24" s="30">
        <v>8.2588209999999995E-3</v>
      </c>
      <c r="N24">
        <f t="shared" si="10"/>
        <v>0</v>
      </c>
      <c r="O24">
        <v>2.1073771640660001E-3</v>
      </c>
      <c r="P24">
        <f t="shared" si="10"/>
        <v>0</v>
      </c>
      <c r="Q24">
        <v>5.5413693E-2</v>
      </c>
      <c r="R24">
        <f t="shared" si="10"/>
        <v>0</v>
      </c>
      <c r="S24">
        <v>6.8186759017410002E-3</v>
      </c>
      <c r="T24">
        <f t="shared" si="11"/>
        <v>0</v>
      </c>
      <c r="U24" s="7">
        <v>0.18406954</v>
      </c>
      <c r="V24" s="7">
        <v>0</v>
      </c>
    </row>
    <row r="25" spans="1:22">
      <c r="A25" s="1">
        <v>1</v>
      </c>
      <c r="B25" s="7" t="s">
        <v>66</v>
      </c>
      <c r="C25" s="1">
        <v>1</v>
      </c>
      <c r="D25" s="33">
        <v>1</v>
      </c>
      <c r="E25" s="33">
        <v>1</v>
      </c>
      <c r="F25" s="33">
        <v>1</v>
      </c>
      <c r="G25">
        <v>0.95791137199999998</v>
      </c>
      <c r="H25">
        <f t="shared" si="8"/>
        <v>1</v>
      </c>
      <c r="I25">
        <v>0.99999988079071001</v>
      </c>
      <c r="J25">
        <f t="shared" si="9"/>
        <v>1</v>
      </c>
      <c r="K25">
        <v>0.999994397163391</v>
      </c>
      <c r="L25">
        <f t="shared" si="10"/>
        <v>1</v>
      </c>
      <c r="M25">
        <v>0.99997425100000004</v>
      </c>
      <c r="N25">
        <f t="shared" si="10"/>
        <v>1</v>
      </c>
      <c r="O25">
        <v>0.99999988079071001</v>
      </c>
      <c r="P25">
        <f t="shared" si="10"/>
        <v>1</v>
      </c>
      <c r="Q25">
        <v>0.92249399399999998</v>
      </c>
      <c r="R25">
        <f t="shared" si="10"/>
        <v>1</v>
      </c>
      <c r="S25">
        <v>0.999972343444824</v>
      </c>
      <c r="T25">
        <f t="shared" si="11"/>
        <v>1</v>
      </c>
      <c r="U25" s="7">
        <v>0.78033799999999998</v>
      </c>
      <c r="V25">
        <v>1</v>
      </c>
    </row>
    <row r="26" spans="1:22">
      <c r="A26" s="1">
        <v>1</v>
      </c>
      <c r="B26" s="7" t="s">
        <v>68</v>
      </c>
      <c r="C26" s="1">
        <v>1</v>
      </c>
      <c r="D26" s="33">
        <v>1</v>
      </c>
      <c r="E26" s="33">
        <v>1</v>
      </c>
      <c r="F26" s="33">
        <v>1</v>
      </c>
      <c r="G26">
        <v>0.68877869800000002</v>
      </c>
      <c r="H26">
        <f t="shared" si="8"/>
        <v>1</v>
      </c>
      <c r="I26">
        <v>0.13930149376392401</v>
      </c>
      <c r="J26">
        <f t="shared" si="9"/>
        <v>0</v>
      </c>
      <c r="K26">
        <v>6.9428734481335005E-2</v>
      </c>
      <c r="L26">
        <f t="shared" si="10"/>
        <v>0</v>
      </c>
      <c r="M26" s="30">
        <v>3.2889570999999999E-2</v>
      </c>
      <c r="N26">
        <f t="shared" si="10"/>
        <v>0</v>
      </c>
      <c r="O26">
        <v>3.6671112757179999E-3</v>
      </c>
      <c r="P26">
        <f t="shared" si="10"/>
        <v>0</v>
      </c>
      <c r="Q26">
        <v>0.59303128699999996</v>
      </c>
      <c r="R26">
        <f t="shared" si="10"/>
        <v>1</v>
      </c>
      <c r="S26">
        <v>0.53384518623352095</v>
      </c>
      <c r="T26">
        <f t="shared" si="11"/>
        <v>1</v>
      </c>
      <c r="U26" s="7">
        <v>0.73060840000000005</v>
      </c>
      <c r="V26">
        <v>1</v>
      </c>
    </row>
    <row r="27" spans="1:22">
      <c r="A27" s="1">
        <v>1</v>
      </c>
      <c r="B27" s="7" t="s">
        <v>74</v>
      </c>
      <c r="C27" s="1">
        <v>1</v>
      </c>
      <c r="D27" s="33">
        <v>1</v>
      </c>
      <c r="E27" s="33">
        <v>1</v>
      </c>
      <c r="F27" s="33">
        <v>1</v>
      </c>
      <c r="G27">
        <v>0.44135627199999999</v>
      </c>
      <c r="H27">
        <f t="shared" si="8"/>
        <v>0</v>
      </c>
      <c r="I27">
        <v>0.33487367630004899</v>
      </c>
      <c r="J27">
        <f t="shared" si="9"/>
        <v>0</v>
      </c>
      <c r="K27">
        <v>0.76452326774597201</v>
      </c>
      <c r="L27">
        <f t="shared" si="10"/>
        <v>1</v>
      </c>
      <c r="M27" s="30">
        <v>0.72475153199999998</v>
      </c>
      <c r="N27">
        <f t="shared" si="10"/>
        <v>1</v>
      </c>
      <c r="O27">
        <v>0.14453089237213099</v>
      </c>
      <c r="P27">
        <f t="shared" si="10"/>
        <v>0</v>
      </c>
      <c r="Q27">
        <v>0.78311711500000003</v>
      </c>
      <c r="R27">
        <f t="shared" si="10"/>
        <v>1</v>
      </c>
      <c r="S27">
        <v>0.30963915586471602</v>
      </c>
      <c r="T27">
        <f t="shared" si="11"/>
        <v>0</v>
      </c>
      <c r="U27" s="7">
        <v>0.51418370000000002</v>
      </c>
      <c r="V27">
        <v>0</v>
      </c>
    </row>
    <row r="28" spans="1:22">
      <c r="A28" s="1">
        <v>1</v>
      </c>
      <c r="B28" s="7" t="s">
        <v>81</v>
      </c>
      <c r="C28" s="1">
        <v>1</v>
      </c>
      <c r="D28" s="33">
        <v>1</v>
      </c>
      <c r="E28" s="33">
        <v>1</v>
      </c>
      <c r="F28" s="33">
        <v>1</v>
      </c>
      <c r="G28">
        <v>0.83488756399999997</v>
      </c>
      <c r="H28">
        <f t="shared" si="8"/>
        <v>1</v>
      </c>
      <c r="I28">
        <v>0.97401469945907604</v>
      </c>
      <c r="J28">
        <f t="shared" si="9"/>
        <v>1</v>
      </c>
      <c r="K28">
        <v>0.64651614427566495</v>
      </c>
      <c r="L28">
        <f t="shared" si="10"/>
        <v>1</v>
      </c>
      <c r="M28">
        <v>0.632440746</v>
      </c>
      <c r="N28">
        <f t="shared" si="10"/>
        <v>1</v>
      </c>
      <c r="O28">
        <v>0.84025460481643699</v>
      </c>
      <c r="P28">
        <f t="shared" si="10"/>
        <v>1</v>
      </c>
      <c r="Q28">
        <v>0.40094032899999998</v>
      </c>
      <c r="R28">
        <f t="shared" si="10"/>
        <v>0</v>
      </c>
      <c r="S28">
        <v>0.69582772254943903</v>
      </c>
      <c r="T28">
        <f t="shared" si="11"/>
        <v>1</v>
      </c>
      <c r="U28" s="7">
        <v>0.69393530000000003</v>
      </c>
      <c r="V28">
        <v>1</v>
      </c>
    </row>
    <row r="29" spans="1:22">
      <c r="A29" s="1">
        <v>1</v>
      </c>
      <c r="B29" s="7" t="s">
        <v>110</v>
      </c>
      <c r="C29" s="1">
        <v>1</v>
      </c>
      <c r="D29" s="33">
        <v>1</v>
      </c>
      <c r="E29" s="34">
        <v>0</v>
      </c>
      <c r="F29" s="33">
        <v>1</v>
      </c>
      <c r="G29" s="30">
        <v>0.65950977799999999</v>
      </c>
      <c r="H29">
        <f t="shared" ref="H29:H33" si="12">IF(G29&gt;$A$2,1,0)</f>
        <v>1</v>
      </c>
      <c r="I29">
        <v>0.88754475116729703</v>
      </c>
      <c r="J29">
        <f t="shared" ref="J29:J33" si="13">IF(I29&gt;$A$2,1,0)</f>
        <v>1</v>
      </c>
      <c r="K29">
        <v>0.72885447740554798</v>
      </c>
      <c r="L29">
        <f t="shared" ref="L29" si="14">IF(K29&gt;$A$2,1,0)</f>
        <v>1</v>
      </c>
      <c r="M29">
        <v>0.86509776100000002</v>
      </c>
      <c r="N29">
        <f t="shared" ref="N29" si="15">IF(M29&gt;$A$2,1,0)</f>
        <v>1</v>
      </c>
      <c r="O29">
        <v>0.84911417961120605</v>
      </c>
      <c r="P29">
        <f t="shared" ref="P29" si="16">IF(O29&gt;$A$2,1,0)</f>
        <v>1</v>
      </c>
      <c r="Q29">
        <v>0.54434728600000004</v>
      </c>
      <c r="R29">
        <f t="shared" ref="R29" si="17">IF(Q29&gt;$A$2,1,0)</f>
        <v>1</v>
      </c>
      <c r="S29">
        <v>0.98282492160797097</v>
      </c>
      <c r="T29">
        <f t="shared" ref="T29:T33" si="18">IF(S29&gt;$A$2,1,0)</f>
        <v>1</v>
      </c>
      <c r="U29" s="7">
        <v>0.69417834</v>
      </c>
      <c r="V29">
        <v>1</v>
      </c>
    </row>
    <row r="30" spans="1:22">
      <c r="A30" s="1" t="s">
        <v>112</v>
      </c>
      <c r="B30" s="1"/>
      <c r="C30" s="22"/>
      <c r="D30" s="35"/>
      <c r="E30" s="35"/>
      <c r="F30" s="35"/>
    </row>
    <row r="31" spans="1:22">
      <c r="A31" s="1">
        <v>0</v>
      </c>
      <c r="B31" s="7" t="s">
        <v>137</v>
      </c>
      <c r="C31" s="1">
        <v>0</v>
      </c>
      <c r="D31" s="33">
        <v>0</v>
      </c>
      <c r="E31" s="36">
        <v>0</v>
      </c>
      <c r="F31" s="37">
        <v>0</v>
      </c>
      <c r="G31" s="30">
        <v>0.13495323100000001</v>
      </c>
      <c r="H31">
        <f t="shared" si="12"/>
        <v>0</v>
      </c>
      <c r="I31">
        <v>1.6183994710445002E-2</v>
      </c>
      <c r="J31">
        <f t="shared" si="13"/>
        <v>0</v>
      </c>
      <c r="K31">
        <v>6.3255101442336994E-2</v>
      </c>
      <c r="L31">
        <f t="shared" ref="L31:L34" si="19">IF(K31&gt;$A$2,1,0)</f>
        <v>0</v>
      </c>
      <c r="M31">
        <v>1.4315725E-2</v>
      </c>
      <c r="N31">
        <f t="shared" ref="N31:N34" si="20">IF(M31&gt;$A$2,1,0)</f>
        <v>0</v>
      </c>
      <c r="O31">
        <v>2.059898106381E-3</v>
      </c>
      <c r="P31">
        <f t="shared" ref="P31:P34" si="21">IF(O31&gt;$A$2,1,0)</f>
        <v>0</v>
      </c>
      <c r="Q31">
        <v>0.25496607999999998</v>
      </c>
      <c r="R31">
        <f t="shared" ref="R31:R34" si="22">IF(Q31&gt;$A$2,1,0)</f>
        <v>0</v>
      </c>
      <c r="S31">
        <v>7.6203881762919997E-3</v>
      </c>
      <c r="T31">
        <f t="shared" si="18"/>
        <v>0</v>
      </c>
      <c r="U31" s="7">
        <v>0.31015231999999998</v>
      </c>
      <c r="V31">
        <v>0</v>
      </c>
    </row>
    <row r="32" spans="1:22">
      <c r="A32" s="1">
        <v>0</v>
      </c>
      <c r="B32" s="7" t="s">
        <v>138</v>
      </c>
      <c r="C32" s="1">
        <v>0</v>
      </c>
      <c r="D32" s="33">
        <v>0</v>
      </c>
      <c r="E32" s="37">
        <v>1</v>
      </c>
      <c r="F32" s="37">
        <v>0</v>
      </c>
      <c r="G32">
        <v>0.93844908500000002</v>
      </c>
      <c r="H32">
        <f t="shared" si="12"/>
        <v>1</v>
      </c>
      <c r="I32">
        <v>0.93513220548629805</v>
      </c>
      <c r="J32">
        <f t="shared" si="13"/>
        <v>1</v>
      </c>
      <c r="K32">
        <v>0.68142628669738803</v>
      </c>
      <c r="L32">
        <f t="shared" si="19"/>
        <v>1</v>
      </c>
      <c r="M32">
        <v>0.85660976200000005</v>
      </c>
      <c r="N32">
        <f t="shared" si="20"/>
        <v>1</v>
      </c>
      <c r="O32">
        <v>0.99853169918060303</v>
      </c>
      <c r="P32">
        <f t="shared" si="21"/>
        <v>1</v>
      </c>
      <c r="Q32">
        <v>0.71363210700000002</v>
      </c>
      <c r="R32">
        <f t="shared" si="22"/>
        <v>1</v>
      </c>
      <c r="S32">
        <v>0.96174573898315396</v>
      </c>
      <c r="T32">
        <f t="shared" si="18"/>
        <v>1</v>
      </c>
      <c r="U32" s="7">
        <v>0.75756540000000006</v>
      </c>
      <c r="V32">
        <v>1</v>
      </c>
    </row>
    <row r="33" spans="1:22">
      <c r="A33" s="1">
        <v>0</v>
      </c>
      <c r="B33" s="7" t="s">
        <v>144</v>
      </c>
      <c r="C33" s="1">
        <v>0</v>
      </c>
      <c r="D33" s="33">
        <v>0</v>
      </c>
      <c r="E33" s="37">
        <v>1</v>
      </c>
      <c r="F33" s="37">
        <v>0</v>
      </c>
      <c r="G33">
        <v>4.5006901000000002E-2</v>
      </c>
      <c r="H33">
        <f t="shared" si="12"/>
        <v>0</v>
      </c>
      <c r="I33">
        <v>0.196049824357033</v>
      </c>
      <c r="J33">
        <f t="shared" si="13"/>
        <v>0</v>
      </c>
      <c r="K33">
        <v>2.1145591512322998E-2</v>
      </c>
      <c r="L33">
        <f t="shared" si="19"/>
        <v>0</v>
      </c>
      <c r="M33">
        <v>1.020008E-3</v>
      </c>
      <c r="N33">
        <f t="shared" si="20"/>
        <v>0</v>
      </c>
      <c r="O33">
        <v>6.7673339508469996E-3</v>
      </c>
      <c r="P33">
        <f t="shared" si="21"/>
        <v>0</v>
      </c>
      <c r="Q33">
        <v>0.30622831</v>
      </c>
      <c r="R33">
        <f t="shared" si="22"/>
        <v>0</v>
      </c>
      <c r="S33">
        <v>3.9132020901899998E-4</v>
      </c>
      <c r="T33">
        <f t="shared" si="18"/>
        <v>0</v>
      </c>
      <c r="U33" s="7">
        <v>0.37298036000000001</v>
      </c>
      <c r="V33">
        <v>0</v>
      </c>
    </row>
    <row r="34" spans="1:22">
      <c r="A34" s="1">
        <v>1</v>
      </c>
      <c r="B34" s="7" t="s">
        <v>167</v>
      </c>
      <c r="C34" s="1">
        <v>1</v>
      </c>
      <c r="D34" s="33">
        <v>1</v>
      </c>
      <c r="E34" s="37">
        <v>1</v>
      </c>
      <c r="F34" s="37">
        <v>0</v>
      </c>
      <c r="G34">
        <v>0.88241887100000005</v>
      </c>
      <c r="H34">
        <f t="shared" ref="H34:H40" si="23">IF(G34&gt;$A$2,1,0)</f>
        <v>1</v>
      </c>
      <c r="I34">
        <v>0.83949923515319802</v>
      </c>
      <c r="J34">
        <f t="shared" ref="J34:J40" si="24">IF(I34&gt;$A$2,1,0)</f>
        <v>1</v>
      </c>
      <c r="K34">
        <v>0.70292735099792503</v>
      </c>
      <c r="L34">
        <f t="shared" si="19"/>
        <v>1</v>
      </c>
      <c r="M34">
        <v>0.40913981199999999</v>
      </c>
      <c r="N34">
        <f t="shared" si="20"/>
        <v>0</v>
      </c>
      <c r="O34">
        <v>0.97924679517746005</v>
      </c>
      <c r="P34">
        <f t="shared" si="21"/>
        <v>1</v>
      </c>
      <c r="Q34">
        <v>0.61992639299999996</v>
      </c>
      <c r="R34">
        <f t="shared" si="22"/>
        <v>1</v>
      </c>
      <c r="S34">
        <v>0.83317065238952603</v>
      </c>
      <c r="T34">
        <f t="shared" ref="T34:T40" si="25">IF(S34&gt;$A$2,1,0)</f>
        <v>1</v>
      </c>
      <c r="U34" s="7">
        <v>0.71347099999999997</v>
      </c>
      <c r="V34">
        <v>1</v>
      </c>
    </row>
    <row r="35" spans="1:22">
      <c r="A35" s="1">
        <v>1</v>
      </c>
      <c r="B35" s="7" t="s">
        <v>179</v>
      </c>
      <c r="C35" s="1">
        <v>1</v>
      </c>
      <c r="D35" s="33">
        <v>0</v>
      </c>
      <c r="E35" s="37">
        <v>1</v>
      </c>
      <c r="F35" s="37">
        <v>1</v>
      </c>
      <c r="G35">
        <v>0.91783279200000001</v>
      </c>
      <c r="H35">
        <f t="shared" si="23"/>
        <v>1</v>
      </c>
      <c r="I35">
        <v>0.99987614154815696</v>
      </c>
      <c r="J35">
        <f t="shared" si="24"/>
        <v>1</v>
      </c>
      <c r="K35">
        <v>0.99900168180465698</v>
      </c>
      <c r="L35">
        <f t="shared" ref="L35:L38" si="26">IF(K35&gt;$A$2,1,0)</f>
        <v>1</v>
      </c>
      <c r="M35">
        <v>1</v>
      </c>
      <c r="N35">
        <f t="shared" ref="N35:N38" si="27">IF(M35&gt;$A$2,1,0)</f>
        <v>1</v>
      </c>
      <c r="O35">
        <v>0.99999976158142101</v>
      </c>
      <c r="P35">
        <f t="shared" ref="P35:P38" si="28">IF(O35&gt;$A$2,1,0)</f>
        <v>1</v>
      </c>
      <c r="Q35">
        <v>0.93429076700000002</v>
      </c>
      <c r="R35">
        <f t="shared" ref="R35:R38" si="29">IF(Q35&gt;$A$2,1,0)</f>
        <v>1</v>
      </c>
      <c r="S35">
        <v>0.99934643507003795</v>
      </c>
      <c r="T35">
        <f t="shared" si="25"/>
        <v>1</v>
      </c>
      <c r="U35" s="7">
        <v>0.79073906000000005</v>
      </c>
      <c r="V35">
        <v>1</v>
      </c>
    </row>
    <row r="36" spans="1:22">
      <c r="A36" s="1">
        <v>1</v>
      </c>
      <c r="B36" s="7" t="s">
        <v>185</v>
      </c>
      <c r="C36" s="1">
        <v>1</v>
      </c>
      <c r="D36" s="33">
        <v>0</v>
      </c>
      <c r="E36" s="37">
        <v>1</v>
      </c>
      <c r="F36" s="37">
        <v>1</v>
      </c>
      <c r="G36">
        <v>0.87242043000000002</v>
      </c>
      <c r="H36">
        <f t="shared" si="23"/>
        <v>1</v>
      </c>
      <c r="I36">
        <v>0.99956411123275801</v>
      </c>
      <c r="J36">
        <f t="shared" si="24"/>
        <v>1</v>
      </c>
      <c r="K36">
        <v>0.98406225442886397</v>
      </c>
      <c r="L36">
        <f t="shared" si="26"/>
        <v>1</v>
      </c>
      <c r="M36">
        <v>0.96218973399999996</v>
      </c>
      <c r="N36">
        <f t="shared" si="27"/>
        <v>1</v>
      </c>
      <c r="O36">
        <v>0.99995934963226296</v>
      </c>
      <c r="P36">
        <f t="shared" si="28"/>
        <v>1</v>
      </c>
      <c r="Q36">
        <v>0.803076923</v>
      </c>
      <c r="R36">
        <f t="shared" si="29"/>
        <v>1</v>
      </c>
      <c r="S36">
        <v>0.88106244802474998</v>
      </c>
      <c r="T36">
        <f t="shared" si="25"/>
        <v>1</v>
      </c>
      <c r="U36" s="7">
        <v>0.64791799999999999</v>
      </c>
      <c r="V36">
        <v>1</v>
      </c>
    </row>
    <row r="37" spans="1:22">
      <c r="A37" s="1">
        <v>1</v>
      </c>
      <c r="B37" s="7" t="s">
        <v>193</v>
      </c>
      <c r="C37" s="1">
        <v>1</v>
      </c>
      <c r="D37" s="33">
        <v>1</v>
      </c>
      <c r="E37" s="37">
        <v>1</v>
      </c>
      <c r="F37" s="37">
        <v>1</v>
      </c>
      <c r="G37">
        <v>0.58353757900000003</v>
      </c>
      <c r="H37">
        <f t="shared" si="23"/>
        <v>1</v>
      </c>
      <c r="I37">
        <v>0.25040343403816201</v>
      </c>
      <c r="J37">
        <f t="shared" si="24"/>
        <v>0</v>
      </c>
      <c r="K37">
        <v>0.203548178076744</v>
      </c>
      <c r="L37">
        <f t="shared" si="26"/>
        <v>0</v>
      </c>
      <c r="M37">
        <v>8.0284148E-2</v>
      </c>
      <c r="N37">
        <f t="shared" si="27"/>
        <v>0</v>
      </c>
      <c r="O37">
        <v>0.847803354263306</v>
      </c>
      <c r="P37">
        <f t="shared" si="28"/>
        <v>1</v>
      </c>
      <c r="Q37">
        <v>0.380396187</v>
      </c>
      <c r="R37">
        <f t="shared" si="29"/>
        <v>0</v>
      </c>
      <c r="S37" s="30">
        <v>1.28999263324658E-5</v>
      </c>
      <c r="T37">
        <f t="shared" si="25"/>
        <v>0</v>
      </c>
      <c r="U37" s="7">
        <v>0.3739904</v>
      </c>
      <c r="V37">
        <v>0</v>
      </c>
    </row>
    <row r="38" spans="1:22">
      <c r="A38" s="1">
        <v>1</v>
      </c>
      <c r="B38" s="7" t="s">
        <v>201</v>
      </c>
      <c r="C38" s="1">
        <v>1</v>
      </c>
      <c r="D38" s="33">
        <v>1</v>
      </c>
      <c r="E38" s="37">
        <v>1</v>
      </c>
      <c r="F38" s="37">
        <v>1</v>
      </c>
      <c r="G38">
        <v>0.71963214900000005</v>
      </c>
      <c r="H38">
        <f t="shared" si="23"/>
        <v>1</v>
      </c>
      <c r="I38">
        <v>0.97236585617065396</v>
      </c>
      <c r="J38">
        <f t="shared" si="24"/>
        <v>1</v>
      </c>
      <c r="K38">
        <v>0.95730137825012196</v>
      </c>
      <c r="L38">
        <f t="shared" si="26"/>
        <v>1</v>
      </c>
      <c r="M38">
        <v>0.95408040299999997</v>
      </c>
      <c r="N38">
        <f t="shared" si="27"/>
        <v>1</v>
      </c>
      <c r="O38">
        <v>0.99921548366546598</v>
      </c>
      <c r="P38">
        <f t="shared" si="28"/>
        <v>1</v>
      </c>
      <c r="Q38">
        <v>0.43486005100000003</v>
      </c>
      <c r="R38">
        <f t="shared" si="29"/>
        <v>0</v>
      </c>
      <c r="S38">
        <v>0.99471312761306796</v>
      </c>
      <c r="T38">
        <f t="shared" si="25"/>
        <v>1</v>
      </c>
      <c r="U38" s="7">
        <v>0.76671314000000002</v>
      </c>
      <c r="V38">
        <v>1</v>
      </c>
    </row>
    <row r="39" spans="1:22">
      <c r="A39" s="1" t="s">
        <v>202</v>
      </c>
      <c r="B39" s="1"/>
      <c r="C39" s="22"/>
      <c r="D39" s="33"/>
      <c r="E39" s="38"/>
      <c r="F39" s="38"/>
    </row>
    <row r="40" spans="1:22">
      <c r="A40" s="1">
        <v>0</v>
      </c>
      <c r="B40" s="7" t="s">
        <v>204</v>
      </c>
      <c r="C40" s="1">
        <v>0</v>
      </c>
      <c r="D40" s="33">
        <v>0</v>
      </c>
      <c r="E40" s="36">
        <v>0</v>
      </c>
      <c r="F40" s="37">
        <v>1</v>
      </c>
      <c r="G40">
        <v>0.17500053300000001</v>
      </c>
      <c r="H40">
        <f t="shared" si="23"/>
        <v>0</v>
      </c>
      <c r="I40">
        <v>4.5026816427707998E-2</v>
      </c>
      <c r="J40">
        <f t="shared" si="24"/>
        <v>0</v>
      </c>
      <c r="K40">
        <v>0.29509595036506597</v>
      </c>
      <c r="L40">
        <f t="shared" ref="L40" si="30">IF(K40&gt;$A$2,1,0)</f>
        <v>0</v>
      </c>
      <c r="M40" s="30">
        <v>0.16558377399999999</v>
      </c>
      <c r="N40">
        <f t="shared" ref="N40" si="31">IF(M40&gt;$A$2,1,0)</f>
        <v>0</v>
      </c>
      <c r="O40">
        <v>0.23816078901290899</v>
      </c>
      <c r="P40">
        <f t="shared" ref="P40" si="32">IF(O40&gt;$A$2,1,0)</f>
        <v>0</v>
      </c>
      <c r="Q40">
        <v>0.26763907100000001</v>
      </c>
      <c r="R40">
        <f t="shared" ref="R40" si="33">IF(Q40&gt;$A$2,1,0)</f>
        <v>0</v>
      </c>
      <c r="S40">
        <v>7.5522758066653997E-2</v>
      </c>
      <c r="T40">
        <f t="shared" si="25"/>
        <v>0</v>
      </c>
      <c r="U40" s="7">
        <v>0.37263030000000003</v>
      </c>
      <c r="V40">
        <v>0</v>
      </c>
    </row>
    <row r="41" spans="1:22">
      <c r="A41" s="1">
        <v>0</v>
      </c>
      <c r="B41" s="7" t="s">
        <v>219</v>
      </c>
      <c r="C41" s="1">
        <v>0</v>
      </c>
      <c r="D41" s="33">
        <v>0</v>
      </c>
      <c r="E41" s="36">
        <v>0</v>
      </c>
      <c r="F41" s="37">
        <v>0</v>
      </c>
      <c r="G41">
        <v>0.35554313700000001</v>
      </c>
      <c r="H41">
        <f t="shared" ref="H41:H48" si="34">IF(G41&gt;$A$2,1,0)</f>
        <v>0</v>
      </c>
      <c r="I41">
        <v>0.28679424524307301</v>
      </c>
      <c r="J41">
        <f t="shared" ref="J41:J48" si="35">IF(I41&gt;$A$2,1,0)</f>
        <v>0</v>
      </c>
      <c r="K41">
        <v>0.61856007575988803</v>
      </c>
      <c r="L41">
        <f t="shared" ref="L41:R49" si="36">IF(K41&gt;$A$2,1,0)</f>
        <v>1</v>
      </c>
      <c r="M41">
        <v>0.125990301</v>
      </c>
      <c r="N41">
        <f t="shared" si="36"/>
        <v>0</v>
      </c>
      <c r="O41">
        <v>0.30083003640174899</v>
      </c>
      <c r="P41">
        <f t="shared" si="36"/>
        <v>0</v>
      </c>
      <c r="Q41">
        <v>0.26680168500000001</v>
      </c>
      <c r="R41">
        <f t="shared" si="36"/>
        <v>0</v>
      </c>
      <c r="S41">
        <v>6.1471895314750002E-3</v>
      </c>
      <c r="T41">
        <f t="shared" ref="T41:T48" si="37">IF(S41&gt;$A$2,1,0)</f>
        <v>0</v>
      </c>
      <c r="U41" s="7">
        <v>0.575604</v>
      </c>
      <c r="V41">
        <v>0</v>
      </c>
    </row>
    <row r="42" spans="1:22">
      <c r="A42" s="1">
        <v>0</v>
      </c>
      <c r="B42" s="7" t="s">
        <v>226</v>
      </c>
      <c r="C42" s="1">
        <v>0</v>
      </c>
      <c r="D42" s="33">
        <v>0</v>
      </c>
      <c r="E42" s="36">
        <v>0</v>
      </c>
      <c r="F42" s="37">
        <v>0</v>
      </c>
      <c r="G42" s="30">
        <v>3.2841660000000002E-2</v>
      </c>
      <c r="H42">
        <f t="shared" si="34"/>
        <v>0</v>
      </c>
      <c r="I42" s="30">
        <v>4.3097982415900001E-4</v>
      </c>
      <c r="J42">
        <f t="shared" si="35"/>
        <v>0</v>
      </c>
      <c r="K42" s="30">
        <v>1.3565951958299001E-2</v>
      </c>
      <c r="L42">
        <f t="shared" si="36"/>
        <v>0</v>
      </c>
      <c r="M42">
        <v>1.8359299999999999E-4</v>
      </c>
      <c r="N42">
        <f t="shared" si="36"/>
        <v>0</v>
      </c>
      <c r="O42">
        <v>1.3604151085019001E-2</v>
      </c>
      <c r="P42">
        <f t="shared" si="36"/>
        <v>0</v>
      </c>
      <c r="Q42">
        <v>0.127575561</v>
      </c>
      <c r="R42">
        <f t="shared" si="36"/>
        <v>0</v>
      </c>
      <c r="S42" s="30">
        <v>1.4401141925191E-5</v>
      </c>
      <c r="T42">
        <f t="shared" si="37"/>
        <v>0</v>
      </c>
      <c r="U42" s="7">
        <v>0.28409817999999998</v>
      </c>
      <c r="V42">
        <v>0</v>
      </c>
    </row>
    <row r="43" spans="1:22">
      <c r="A43" s="1">
        <v>0</v>
      </c>
      <c r="B43" s="7" t="s">
        <v>227</v>
      </c>
      <c r="C43" s="1">
        <v>0</v>
      </c>
      <c r="D43" s="33">
        <v>1</v>
      </c>
      <c r="E43" s="37">
        <v>1</v>
      </c>
      <c r="F43" s="37">
        <v>0</v>
      </c>
      <c r="G43">
        <v>0.92156833400000004</v>
      </c>
      <c r="H43">
        <f t="shared" si="34"/>
        <v>1</v>
      </c>
      <c r="I43">
        <v>0.99062085151672397</v>
      </c>
      <c r="J43">
        <f t="shared" si="35"/>
        <v>1</v>
      </c>
      <c r="K43">
        <v>0.983479022979736</v>
      </c>
      <c r="L43">
        <f t="shared" si="36"/>
        <v>1</v>
      </c>
      <c r="M43">
        <v>0.72239434700000005</v>
      </c>
      <c r="N43">
        <f t="shared" si="36"/>
        <v>1</v>
      </c>
      <c r="O43">
        <v>0.85397446155548096</v>
      </c>
      <c r="P43">
        <f t="shared" si="36"/>
        <v>1</v>
      </c>
      <c r="Q43">
        <v>0.64784407600000005</v>
      </c>
      <c r="R43">
        <f t="shared" si="36"/>
        <v>1</v>
      </c>
      <c r="S43">
        <v>0.371251910924911</v>
      </c>
      <c r="T43">
        <f t="shared" si="37"/>
        <v>0</v>
      </c>
      <c r="U43" s="7">
        <v>0.54439395999999995</v>
      </c>
      <c r="V43">
        <v>0</v>
      </c>
    </row>
    <row r="44" spans="1:22">
      <c r="A44" s="1">
        <v>0</v>
      </c>
      <c r="B44" s="7" t="s">
        <v>229</v>
      </c>
      <c r="C44" s="1">
        <v>0</v>
      </c>
      <c r="D44" s="33">
        <v>0</v>
      </c>
      <c r="E44" s="37">
        <v>0</v>
      </c>
      <c r="F44" s="37">
        <v>0</v>
      </c>
      <c r="G44">
        <v>0.93141305399999996</v>
      </c>
      <c r="H44">
        <f t="shared" si="34"/>
        <v>1</v>
      </c>
      <c r="I44">
        <v>0.99622666835784901</v>
      </c>
      <c r="J44">
        <f t="shared" si="35"/>
        <v>1</v>
      </c>
      <c r="K44">
        <v>0.99084925651550304</v>
      </c>
      <c r="L44">
        <f t="shared" si="36"/>
        <v>1</v>
      </c>
      <c r="M44" s="30">
        <v>0.99759536999999998</v>
      </c>
      <c r="N44">
        <f t="shared" si="36"/>
        <v>1</v>
      </c>
      <c r="O44">
        <v>0.97730243206024203</v>
      </c>
      <c r="P44">
        <f t="shared" si="36"/>
        <v>1</v>
      </c>
      <c r="Q44">
        <v>0.91580098899999995</v>
      </c>
      <c r="R44">
        <f t="shared" si="36"/>
        <v>1</v>
      </c>
      <c r="S44">
        <v>0.99250608682632402</v>
      </c>
      <c r="T44">
        <f t="shared" si="37"/>
        <v>1</v>
      </c>
      <c r="U44" s="7">
        <v>0.6979725</v>
      </c>
      <c r="V44">
        <v>1</v>
      </c>
    </row>
    <row r="45" spans="1:22">
      <c r="A45" s="1">
        <v>0</v>
      </c>
      <c r="B45" s="7" t="s">
        <v>239</v>
      </c>
      <c r="C45" s="1">
        <v>0</v>
      </c>
      <c r="D45" s="33">
        <v>0</v>
      </c>
      <c r="E45" s="36">
        <v>0</v>
      </c>
      <c r="F45" s="37">
        <v>0</v>
      </c>
      <c r="G45" s="30">
        <v>0.12138657999999999</v>
      </c>
      <c r="H45">
        <f t="shared" si="34"/>
        <v>0</v>
      </c>
      <c r="I45">
        <v>2.1001081913710001E-2</v>
      </c>
      <c r="J45">
        <f t="shared" si="35"/>
        <v>0</v>
      </c>
      <c r="K45">
        <v>0.22267757356166801</v>
      </c>
      <c r="L45">
        <f t="shared" si="36"/>
        <v>0</v>
      </c>
      <c r="M45">
        <v>1.9018642999999998E-2</v>
      </c>
      <c r="N45">
        <f t="shared" si="36"/>
        <v>0</v>
      </c>
      <c r="O45">
        <v>3.8314168341459999E-3</v>
      </c>
      <c r="P45">
        <f t="shared" si="36"/>
        <v>0</v>
      </c>
      <c r="Q45">
        <v>3.4275182000000001E-2</v>
      </c>
      <c r="R45">
        <f t="shared" si="36"/>
        <v>0</v>
      </c>
      <c r="S45" s="30">
        <v>1.16808105303789E-5</v>
      </c>
      <c r="T45">
        <f t="shared" si="37"/>
        <v>0</v>
      </c>
      <c r="U45" s="7">
        <v>6.7185060000000005E-2</v>
      </c>
      <c r="V45">
        <v>0</v>
      </c>
    </row>
    <row r="46" spans="1:22">
      <c r="A46" s="1">
        <v>1</v>
      </c>
      <c r="B46" s="7" t="s">
        <v>251</v>
      </c>
      <c r="C46" s="1">
        <v>1</v>
      </c>
      <c r="D46" s="33">
        <v>0</v>
      </c>
      <c r="E46" s="37">
        <v>1</v>
      </c>
      <c r="F46" s="37">
        <v>1</v>
      </c>
      <c r="G46">
        <v>0.59784412399999998</v>
      </c>
      <c r="H46">
        <f t="shared" si="34"/>
        <v>1</v>
      </c>
      <c r="I46">
        <v>0.173280090093613</v>
      </c>
      <c r="J46">
        <f t="shared" si="35"/>
        <v>0</v>
      </c>
      <c r="K46">
        <v>0.71290636062622104</v>
      </c>
      <c r="L46">
        <f t="shared" si="36"/>
        <v>1</v>
      </c>
      <c r="M46">
        <v>0.59622341400000001</v>
      </c>
      <c r="N46">
        <f t="shared" si="36"/>
        <v>1</v>
      </c>
      <c r="O46">
        <v>0.24445815384388001</v>
      </c>
      <c r="P46">
        <f t="shared" si="36"/>
        <v>0</v>
      </c>
      <c r="Q46">
        <v>8.0794603000000006E-2</v>
      </c>
      <c r="R46">
        <f t="shared" si="36"/>
        <v>0</v>
      </c>
      <c r="S46">
        <v>2.6977263391018001E-2</v>
      </c>
      <c r="T46">
        <f t="shared" si="37"/>
        <v>0</v>
      </c>
      <c r="U46" s="7">
        <v>0.40526040000000002</v>
      </c>
      <c r="V46">
        <v>0</v>
      </c>
    </row>
    <row r="47" spans="1:22">
      <c r="A47" s="1">
        <v>1</v>
      </c>
      <c r="B47" s="7" t="s">
        <v>252</v>
      </c>
      <c r="C47" s="1">
        <v>1</v>
      </c>
      <c r="D47" s="33">
        <v>1</v>
      </c>
      <c r="E47" s="37">
        <v>1</v>
      </c>
      <c r="F47" s="37">
        <v>1</v>
      </c>
      <c r="G47">
        <v>0.93777579099999997</v>
      </c>
      <c r="H47">
        <f t="shared" si="34"/>
        <v>1</v>
      </c>
      <c r="I47">
        <v>0.99996650218963601</v>
      </c>
      <c r="J47">
        <f t="shared" si="35"/>
        <v>1</v>
      </c>
      <c r="K47">
        <v>0.99969124794006403</v>
      </c>
      <c r="L47">
        <f t="shared" si="36"/>
        <v>1</v>
      </c>
      <c r="M47">
        <v>0.99798870100000003</v>
      </c>
      <c r="N47">
        <f t="shared" si="36"/>
        <v>1</v>
      </c>
      <c r="O47">
        <v>0.99933248758315996</v>
      </c>
      <c r="P47">
        <f t="shared" si="36"/>
        <v>1</v>
      </c>
      <c r="Q47">
        <v>0.91293954799999999</v>
      </c>
      <c r="R47">
        <f t="shared" si="36"/>
        <v>1</v>
      </c>
      <c r="S47">
        <v>0.99971193075179998</v>
      </c>
      <c r="T47">
        <f t="shared" si="37"/>
        <v>1</v>
      </c>
      <c r="U47" s="7">
        <v>0.75098540000000003</v>
      </c>
      <c r="V47">
        <v>1</v>
      </c>
    </row>
    <row r="48" spans="1:22">
      <c r="A48" s="1">
        <v>1</v>
      </c>
      <c r="B48" s="7" t="s">
        <v>275</v>
      </c>
      <c r="C48" s="1">
        <v>1</v>
      </c>
      <c r="D48" s="33">
        <v>1</v>
      </c>
      <c r="E48" s="36">
        <v>0</v>
      </c>
      <c r="F48" s="37">
        <v>1</v>
      </c>
      <c r="G48">
        <v>0.250777364</v>
      </c>
      <c r="H48">
        <f t="shared" si="34"/>
        <v>0</v>
      </c>
      <c r="I48">
        <v>0.69782549142837502</v>
      </c>
      <c r="J48">
        <f t="shared" si="35"/>
        <v>1</v>
      </c>
      <c r="K48">
        <v>0.898351609706879</v>
      </c>
      <c r="L48">
        <f t="shared" si="36"/>
        <v>1</v>
      </c>
      <c r="M48">
        <v>0.66087907599999995</v>
      </c>
      <c r="N48">
        <f t="shared" si="36"/>
        <v>1</v>
      </c>
      <c r="O48">
        <v>0.56996792554855302</v>
      </c>
      <c r="P48">
        <f t="shared" si="36"/>
        <v>1</v>
      </c>
      <c r="Q48">
        <v>0.14455090500000001</v>
      </c>
      <c r="R48">
        <f t="shared" si="36"/>
        <v>0</v>
      </c>
      <c r="S48">
        <v>5.7726667728299997E-4</v>
      </c>
      <c r="T48">
        <f t="shared" si="37"/>
        <v>0</v>
      </c>
      <c r="U48" s="7">
        <v>0.23184273999999999</v>
      </c>
      <c r="V48">
        <v>0</v>
      </c>
    </row>
    <row r="49" spans="1:22">
      <c r="A49" s="1">
        <v>1</v>
      </c>
      <c r="B49" s="7" t="s">
        <v>279</v>
      </c>
      <c r="C49" s="1">
        <v>1</v>
      </c>
      <c r="D49" s="33">
        <v>1</v>
      </c>
      <c r="E49" s="37">
        <v>1</v>
      </c>
      <c r="F49" s="37">
        <v>1</v>
      </c>
      <c r="G49">
        <v>0.865824759</v>
      </c>
      <c r="H49">
        <f t="shared" ref="H49:H55" si="38">IF(G49&gt;$A$2,1,0)</f>
        <v>1</v>
      </c>
      <c r="I49">
        <v>0.99894529581069902</v>
      </c>
      <c r="J49">
        <f t="shared" ref="J49:J55" si="39">IF(I49&gt;$A$2,1,0)</f>
        <v>1</v>
      </c>
      <c r="K49">
        <v>0.99947935342788696</v>
      </c>
      <c r="L49">
        <f t="shared" si="36"/>
        <v>1</v>
      </c>
      <c r="M49">
        <v>0.99340951399999999</v>
      </c>
      <c r="N49">
        <f t="shared" si="36"/>
        <v>1</v>
      </c>
      <c r="O49">
        <v>0.96091121435165405</v>
      </c>
      <c r="P49">
        <f t="shared" si="36"/>
        <v>1</v>
      </c>
      <c r="Q49">
        <v>0.86792975699999997</v>
      </c>
      <c r="R49">
        <f t="shared" si="36"/>
        <v>1</v>
      </c>
      <c r="S49">
        <v>0.981911361217499</v>
      </c>
      <c r="T49">
        <f>IF(S49&gt;$A$2,1,0)</f>
        <v>1</v>
      </c>
      <c r="U49" s="7">
        <v>0.78841030000000001</v>
      </c>
      <c r="V49">
        <v>1</v>
      </c>
    </row>
    <row r="50" spans="1:22">
      <c r="A50" s="1">
        <v>1</v>
      </c>
      <c r="B50" s="7" t="s">
        <v>286</v>
      </c>
      <c r="C50" s="1">
        <v>1</v>
      </c>
      <c r="D50" s="33">
        <v>1</v>
      </c>
      <c r="E50" s="37">
        <v>1</v>
      </c>
      <c r="F50" s="37">
        <v>1</v>
      </c>
      <c r="G50">
        <v>0.70317512800000004</v>
      </c>
      <c r="H50">
        <f t="shared" si="38"/>
        <v>1</v>
      </c>
      <c r="I50">
        <v>0.98494833707809404</v>
      </c>
      <c r="J50">
        <f t="shared" si="39"/>
        <v>1</v>
      </c>
      <c r="K50">
        <v>0.94440346956252996</v>
      </c>
      <c r="L50">
        <f t="shared" ref="L50" si="40">IF(K50&gt;$A$2,1,0)</f>
        <v>1</v>
      </c>
      <c r="M50" s="30">
        <v>0.96058762099999995</v>
      </c>
      <c r="N50">
        <f t="shared" ref="N50" si="41">IF(M50&gt;$A$2,1,0)</f>
        <v>1</v>
      </c>
      <c r="O50">
        <v>0.745269775390625</v>
      </c>
      <c r="P50">
        <f t="shared" ref="P50" si="42">IF(O50&gt;$A$2,1,0)</f>
        <v>1</v>
      </c>
      <c r="Q50">
        <v>0.86289215100000005</v>
      </c>
      <c r="R50">
        <f t="shared" ref="R50" si="43">IF(Q50&gt;$A$2,1,0)</f>
        <v>1</v>
      </c>
      <c r="S50">
        <v>0.90447562932968095</v>
      </c>
      <c r="T50">
        <f t="shared" ref="T50:T55" si="44">IF(S50&gt;$A$2,1,0)</f>
        <v>1</v>
      </c>
      <c r="U50" s="7">
        <v>0.76220304000000005</v>
      </c>
      <c r="V50">
        <v>1</v>
      </c>
    </row>
    <row r="51" spans="1:22">
      <c r="A51" s="1" t="s">
        <v>291</v>
      </c>
      <c r="B51" s="1"/>
      <c r="C51" s="22"/>
      <c r="D51" s="33"/>
      <c r="E51" s="38"/>
      <c r="F51" s="38"/>
      <c r="M51" s="30"/>
    </row>
    <row r="52" spans="1:22">
      <c r="A52" s="1">
        <v>0</v>
      </c>
      <c r="B52" s="7" t="s">
        <v>303</v>
      </c>
      <c r="C52" s="1">
        <v>0</v>
      </c>
      <c r="D52" s="33">
        <v>1</v>
      </c>
      <c r="E52" s="37">
        <v>1</v>
      </c>
      <c r="F52" s="37">
        <v>1</v>
      </c>
      <c r="G52" s="30">
        <v>3.4724831999999997E-2</v>
      </c>
      <c r="H52">
        <f t="shared" si="38"/>
        <v>0</v>
      </c>
      <c r="I52" s="30">
        <v>6.0085971199441701E-5</v>
      </c>
      <c r="J52">
        <f t="shared" si="39"/>
        <v>0</v>
      </c>
      <c r="K52" s="30">
        <v>1.6836193390199999E-4</v>
      </c>
      <c r="L52">
        <f t="shared" ref="L52:L57" si="45">IF(K52&gt;$A$2,1,0)</f>
        <v>0</v>
      </c>
      <c r="M52" s="30">
        <v>2.5918300000000002E-4</v>
      </c>
      <c r="N52">
        <f t="shared" ref="N52:N57" si="46">IF(M52&gt;$A$2,1,0)</f>
        <v>0</v>
      </c>
      <c r="O52" s="30">
        <v>4.2709999252100002E-4</v>
      </c>
      <c r="P52">
        <f t="shared" ref="P52:P57" si="47">IF(O52&gt;$A$2,1,0)</f>
        <v>0</v>
      </c>
      <c r="Q52" s="30">
        <v>0.100406945</v>
      </c>
      <c r="R52">
        <f t="shared" ref="R52:R57" si="48">IF(Q52&gt;$A$2,1,0)</f>
        <v>0</v>
      </c>
      <c r="S52" s="30">
        <v>2.4959159782199998E-4</v>
      </c>
      <c r="T52">
        <f t="shared" si="44"/>
        <v>0</v>
      </c>
      <c r="U52" s="7">
        <v>9.9783629999999998E-2</v>
      </c>
      <c r="V52">
        <v>0</v>
      </c>
    </row>
    <row r="53" spans="1:22">
      <c r="A53" s="1">
        <v>0</v>
      </c>
      <c r="B53" s="7" t="s">
        <v>309</v>
      </c>
      <c r="C53" s="1">
        <v>0</v>
      </c>
      <c r="D53" s="33">
        <v>1</v>
      </c>
      <c r="E53" s="37">
        <v>1</v>
      </c>
      <c r="F53" s="37">
        <v>1</v>
      </c>
      <c r="G53">
        <v>0.56752812900000005</v>
      </c>
      <c r="H53">
        <f t="shared" si="38"/>
        <v>1</v>
      </c>
      <c r="I53">
        <v>5.5365636944769998E-3</v>
      </c>
      <c r="J53">
        <f t="shared" si="39"/>
        <v>0</v>
      </c>
      <c r="K53">
        <v>7.3689498007298002E-2</v>
      </c>
      <c r="L53">
        <f t="shared" si="45"/>
        <v>0</v>
      </c>
      <c r="M53" s="30">
        <v>0.14283970000000001</v>
      </c>
      <c r="N53">
        <f t="shared" si="46"/>
        <v>0</v>
      </c>
      <c r="O53">
        <v>1.1645582504570999E-2</v>
      </c>
      <c r="P53">
        <f t="shared" si="47"/>
        <v>0</v>
      </c>
      <c r="Q53">
        <v>0.44580271799999999</v>
      </c>
      <c r="R53">
        <f t="shared" si="48"/>
        <v>0</v>
      </c>
      <c r="S53">
        <v>1.2104096822441001E-2</v>
      </c>
      <c r="T53">
        <f t="shared" si="44"/>
        <v>0</v>
      </c>
      <c r="U53" s="7">
        <v>0.58902060000000001</v>
      </c>
      <c r="V53">
        <v>0</v>
      </c>
    </row>
    <row r="54" spans="1:22">
      <c r="A54" s="1">
        <v>0</v>
      </c>
      <c r="B54" s="7" t="s">
        <v>320</v>
      </c>
      <c r="C54" s="1">
        <v>0</v>
      </c>
      <c r="D54" s="33">
        <v>0</v>
      </c>
      <c r="E54" s="37">
        <v>0</v>
      </c>
      <c r="F54" s="37">
        <v>1</v>
      </c>
      <c r="G54">
        <v>0.22559486300000001</v>
      </c>
      <c r="H54">
        <f t="shared" si="38"/>
        <v>0</v>
      </c>
      <c r="I54">
        <v>4.7598287463187998E-2</v>
      </c>
      <c r="J54">
        <f t="shared" si="39"/>
        <v>0</v>
      </c>
      <c r="K54">
        <v>0.14999139308929399</v>
      </c>
      <c r="L54">
        <f t="shared" si="45"/>
        <v>0</v>
      </c>
      <c r="M54">
        <v>7.3089175000000006E-2</v>
      </c>
      <c r="N54">
        <f t="shared" si="46"/>
        <v>0</v>
      </c>
      <c r="O54">
        <v>5.1696337759490002E-3</v>
      </c>
      <c r="P54">
        <f t="shared" si="47"/>
        <v>0</v>
      </c>
      <c r="Q54">
        <v>0.30043905999999998</v>
      </c>
      <c r="R54">
        <f t="shared" si="48"/>
        <v>0</v>
      </c>
      <c r="S54">
        <v>5.310552660376E-3</v>
      </c>
      <c r="T54">
        <f t="shared" si="44"/>
        <v>0</v>
      </c>
      <c r="U54" s="7">
        <v>0.28829159999999998</v>
      </c>
      <c r="V54">
        <v>0</v>
      </c>
    </row>
    <row r="55" spans="1:22">
      <c r="A55" s="1">
        <v>1</v>
      </c>
      <c r="B55" s="7" t="s">
        <v>341</v>
      </c>
      <c r="C55" s="1">
        <v>1</v>
      </c>
      <c r="D55" s="33">
        <v>0</v>
      </c>
      <c r="E55" s="37">
        <v>1</v>
      </c>
      <c r="F55" s="37">
        <v>1</v>
      </c>
      <c r="G55">
        <v>0.86125832800000002</v>
      </c>
      <c r="H55">
        <f t="shared" si="38"/>
        <v>1</v>
      </c>
      <c r="I55">
        <v>0.67039644718170199</v>
      </c>
      <c r="J55">
        <f t="shared" si="39"/>
        <v>1</v>
      </c>
      <c r="K55">
        <v>0.976118624210358</v>
      </c>
      <c r="L55">
        <f t="shared" si="45"/>
        <v>1</v>
      </c>
      <c r="M55">
        <v>0.84149819599999998</v>
      </c>
      <c r="N55">
        <f t="shared" si="46"/>
        <v>1</v>
      </c>
      <c r="O55">
        <v>0.91296088695526101</v>
      </c>
      <c r="P55">
        <f t="shared" si="47"/>
        <v>1</v>
      </c>
      <c r="Q55">
        <v>0.71025711300000005</v>
      </c>
      <c r="R55">
        <f t="shared" si="48"/>
        <v>1</v>
      </c>
      <c r="S55">
        <v>0.96801245212554898</v>
      </c>
      <c r="T55">
        <f t="shared" si="44"/>
        <v>1</v>
      </c>
      <c r="U55" s="7">
        <v>0.7155861</v>
      </c>
      <c r="V55">
        <v>1</v>
      </c>
    </row>
    <row r="56" spans="1:22">
      <c r="A56" s="1">
        <v>1</v>
      </c>
      <c r="B56" s="7" t="s">
        <v>345</v>
      </c>
      <c r="C56" s="1">
        <v>1</v>
      </c>
      <c r="D56" s="33">
        <v>1</v>
      </c>
      <c r="E56" s="37">
        <v>1</v>
      </c>
      <c r="F56" s="37">
        <v>1</v>
      </c>
      <c r="G56">
        <v>0.67472505599999999</v>
      </c>
      <c r="H56">
        <f t="shared" ref="H56:H60" si="49">IF(G56&gt;$A$2,1,0)</f>
        <v>1</v>
      </c>
      <c r="I56">
        <v>0.84751504659652699</v>
      </c>
      <c r="J56">
        <f t="shared" ref="J56:J60" si="50">IF(I56&gt;$A$2,1,0)</f>
        <v>1</v>
      </c>
      <c r="K56">
        <v>0.96423119306564298</v>
      </c>
      <c r="L56">
        <f t="shared" si="45"/>
        <v>1</v>
      </c>
      <c r="M56">
        <v>0.91872733799999995</v>
      </c>
      <c r="N56">
        <f t="shared" si="46"/>
        <v>1</v>
      </c>
      <c r="O56">
        <v>0.25332272052764898</v>
      </c>
      <c r="P56">
        <f t="shared" si="47"/>
        <v>0</v>
      </c>
      <c r="Q56">
        <v>0.554879487</v>
      </c>
      <c r="R56">
        <f t="shared" si="48"/>
        <v>1</v>
      </c>
      <c r="S56">
        <v>0.99284440279007002</v>
      </c>
      <c r="T56">
        <f t="shared" ref="T56:T60" si="51">IF(S56&gt;$A$2,1,0)</f>
        <v>1</v>
      </c>
      <c r="U56" s="7">
        <v>0.43695339999999999</v>
      </c>
      <c r="V56">
        <v>0</v>
      </c>
    </row>
    <row r="57" spans="1:22">
      <c r="A57" s="1">
        <v>1</v>
      </c>
      <c r="B57" s="7" t="s">
        <v>353</v>
      </c>
      <c r="C57" s="1">
        <v>1</v>
      </c>
      <c r="D57" s="33">
        <v>1</v>
      </c>
      <c r="E57" s="37">
        <v>1</v>
      </c>
      <c r="F57" s="37">
        <v>1</v>
      </c>
      <c r="G57">
        <v>0.72925341099999996</v>
      </c>
      <c r="H57">
        <f t="shared" si="49"/>
        <v>1</v>
      </c>
      <c r="I57">
        <v>0.62297523021697998</v>
      </c>
      <c r="J57">
        <f t="shared" si="50"/>
        <v>1</v>
      </c>
      <c r="K57">
        <v>0.14650829136371599</v>
      </c>
      <c r="L57">
        <f t="shared" si="45"/>
        <v>0</v>
      </c>
      <c r="M57">
        <v>0.230290577</v>
      </c>
      <c r="N57">
        <f t="shared" si="46"/>
        <v>0</v>
      </c>
      <c r="O57">
        <v>0.31840077042579601</v>
      </c>
      <c r="P57">
        <f t="shared" si="47"/>
        <v>0</v>
      </c>
      <c r="Q57">
        <v>0.52003908200000004</v>
      </c>
      <c r="R57">
        <f t="shared" si="48"/>
        <v>1</v>
      </c>
      <c r="S57">
        <v>1.1594357201829999E-3</v>
      </c>
      <c r="T57">
        <f t="shared" si="51"/>
        <v>0</v>
      </c>
      <c r="U57" s="7">
        <v>0.63884909999999995</v>
      </c>
      <c r="V57">
        <v>1</v>
      </c>
    </row>
    <row r="58" spans="1:22">
      <c r="A58" s="1">
        <v>1</v>
      </c>
      <c r="B58" s="7" t="s">
        <v>357</v>
      </c>
      <c r="C58" s="1">
        <v>1</v>
      </c>
      <c r="D58" s="33">
        <v>0</v>
      </c>
      <c r="E58" s="36">
        <v>0</v>
      </c>
      <c r="F58" s="37">
        <v>1</v>
      </c>
      <c r="G58">
        <v>0.93374228500000001</v>
      </c>
      <c r="H58">
        <f t="shared" si="49"/>
        <v>1</v>
      </c>
      <c r="I58">
        <v>0.33548301458358798</v>
      </c>
      <c r="J58">
        <f t="shared" si="50"/>
        <v>0</v>
      </c>
      <c r="K58">
        <v>0.72391337156295799</v>
      </c>
      <c r="L58">
        <f t="shared" ref="L58" si="52">IF(K58&gt;$A$2,1,0)</f>
        <v>1</v>
      </c>
      <c r="M58">
        <v>0.86264658000000005</v>
      </c>
      <c r="N58">
        <f t="shared" ref="N58" si="53">IF(M58&gt;$A$2,1,0)</f>
        <v>1</v>
      </c>
      <c r="O58">
        <v>0.523343205451965</v>
      </c>
      <c r="P58">
        <f t="shared" ref="P58" si="54">IF(O58&gt;$A$2,1,0)</f>
        <v>1</v>
      </c>
      <c r="Q58">
        <v>0.62146288199999999</v>
      </c>
      <c r="R58">
        <f t="shared" ref="R58" si="55">IF(Q58&gt;$A$2,1,0)</f>
        <v>1</v>
      </c>
      <c r="S58">
        <v>0.95356994867324796</v>
      </c>
      <c r="T58">
        <f t="shared" si="51"/>
        <v>1</v>
      </c>
      <c r="U58" s="7">
        <v>0.78655980000000003</v>
      </c>
      <c r="V58">
        <v>1</v>
      </c>
    </row>
    <row r="59" spans="1:22">
      <c r="A59" s="1" t="s">
        <v>381</v>
      </c>
      <c r="B59" s="1"/>
      <c r="C59" s="22"/>
      <c r="D59" s="33"/>
      <c r="E59" s="38"/>
      <c r="F59" s="38"/>
    </row>
    <row r="60" spans="1:22">
      <c r="A60" s="1">
        <v>0</v>
      </c>
      <c r="B60" s="7" t="s">
        <v>394</v>
      </c>
      <c r="C60" s="1">
        <v>0</v>
      </c>
      <c r="D60" s="33">
        <v>0</v>
      </c>
      <c r="E60" s="36">
        <v>0</v>
      </c>
      <c r="F60" s="37">
        <v>0</v>
      </c>
      <c r="G60" s="30">
        <v>2.9801641E-2</v>
      </c>
      <c r="H60">
        <f t="shared" si="49"/>
        <v>0</v>
      </c>
      <c r="I60" s="30">
        <v>1.13910151413E-4</v>
      </c>
      <c r="J60">
        <f t="shared" si="50"/>
        <v>0</v>
      </c>
      <c r="K60" s="30">
        <v>8.3273081108929999E-3</v>
      </c>
      <c r="L60">
        <f t="shared" ref="L60:L63" si="56">IF(K60&gt;$A$2,1,0)</f>
        <v>0</v>
      </c>
      <c r="M60">
        <v>4.2766159999999996E-3</v>
      </c>
      <c r="N60">
        <f t="shared" ref="N60:N63" si="57">IF(M60&gt;$A$2,1,0)</f>
        <v>0</v>
      </c>
      <c r="O60" s="30">
        <v>6.1155464209150496E-5</v>
      </c>
      <c r="P60">
        <f t="shared" ref="P60:P63" si="58">IF(O60&gt;$A$2,1,0)</f>
        <v>0</v>
      </c>
      <c r="Q60" s="30">
        <v>7.3684907999999993E-2</v>
      </c>
      <c r="R60">
        <f t="shared" ref="R60:R63" si="59">IF(Q60&gt;$A$2,1,0)</f>
        <v>0</v>
      </c>
      <c r="S60">
        <v>4.5769556891200002E-4</v>
      </c>
      <c r="T60">
        <f t="shared" si="51"/>
        <v>0</v>
      </c>
      <c r="U60" s="7">
        <v>0.13119987</v>
      </c>
      <c r="V60">
        <v>0</v>
      </c>
    </row>
    <row r="61" spans="1:22">
      <c r="A61" s="1">
        <v>1</v>
      </c>
      <c r="B61" s="7" t="s">
        <v>437</v>
      </c>
      <c r="C61" s="1">
        <v>1</v>
      </c>
      <c r="D61" s="33">
        <v>1</v>
      </c>
      <c r="E61" s="37">
        <v>1</v>
      </c>
      <c r="F61" s="37">
        <v>1</v>
      </c>
      <c r="G61">
        <v>4.8533912999999998E-2</v>
      </c>
      <c r="H61">
        <f t="shared" ref="H61:H64" si="60">IF(G61&gt;$A$2,1,0)</f>
        <v>0</v>
      </c>
      <c r="I61">
        <v>7.7199995517731004E-2</v>
      </c>
      <c r="J61">
        <f t="shared" ref="J61:J64" si="61">IF(I61&gt;$A$2,1,0)</f>
        <v>0</v>
      </c>
      <c r="K61">
        <v>0.19776120781898501</v>
      </c>
      <c r="L61">
        <f t="shared" si="56"/>
        <v>0</v>
      </c>
      <c r="M61">
        <v>0.757458568</v>
      </c>
      <c r="N61">
        <f t="shared" si="57"/>
        <v>1</v>
      </c>
      <c r="O61">
        <v>0.134964600205421</v>
      </c>
      <c r="P61">
        <f t="shared" si="58"/>
        <v>0</v>
      </c>
      <c r="Q61">
        <v>0.71626812200000001</v>
      </c>
      <c r="R61">
        <f t="shared" si="59"/>
        <v>1</v>
      </c>
      <c r="S61">
        <v>5.6340705603360998E-2</v>
      </c>
      <c r="T61">
        <f t="shared" ref="T61:T64" si="62">IF(S61&gt;$A$2,1,0)</f>
        <v>0</v>
      </c>
      <c r="U61" s="7">
        <v>0.64904019999999996</v>
      </c>
      <c r="V61">
        <v>1</v>
      </c>
    </row>
    <row r="62" spans="1:22">
      <c r="A62" s="1">
        <v>1</v>
      </c>
      <c r="B62" s="7" t="s">
        <v>439</v>
      </c>
      <c r="C62" s="1">
        <v>1</v>
      </c>
      <c r="D62" s="33">
        <v>0</v>
      </c>
      <c r="E62" s="37">
        <v>1</v>
      </c>
      <c r="F62" s="37">
        <v>1</v>
      </c>
      <c r="G62">
        <v>0.93989509299999996</v>
      </c>
      <c r="H62">
        <f t="shared" si="60"/>
        <v>1</v>
      </c>
      <c r="I62">
        <v>0.94670540094375599</v>
      </c>
      <c r="J62">
        <f t="shared" si="61"/>
        <v>1</v>
      </c>
      <c r="K62">
        <v>0.96104753017425504</v>
      </c>
      <c r="L62">
        <f t="shared" si="56"/>
        <v>1</v>
      </c>
      <c r="M62">
        <v>0.999999046</v>
      </c>
      <c r="N62">
        <f t="shared" si="57"/>
        <v>1</v>
      </c>
      <c r="O62">
        <v>0.99998676776885997</v>
      </c>
      <c r="P62">
        <f t="shared" si="58"/>
        <v>1</v>
      </c>
      <c r="Q62">
        <v>0.88477188299999998</v>
      </c>
      <c r="R62">
        <f t="shared" si="59"/>
        <v>1</v>
      </c>
      <c r="S62">
        <v>0.92430502176284801</v>
      </c>
      <c r="T62">
        <f t="shared" si="62"/>
        <v>1</v>
      </c>
      <c r="U62" s="7">
        <v>0.77991730000000004</v>
      </c>
      <c r="V62">
        <v>1</v>
      </c>
    </row>
    <row r="63" spans="1:22">
      <c r="A63" s="1">
        <v>1</v>
      </c>
      <c r="B63" s="7" t="s">
        <v>442</v>
      </c>
      <c r="C63" s="1">
        <v>1</v>
      </c>
      <c r="D63" s="33">
        <v>0</v>
      </c>
      <c r="E63" s="34">
        <v>0</v>
      </c>
      <c r="F63" s="33">
        <v>1</v>
      </c>
      <c r="G63">
        <v>0.731013358</v>
      </c>
      <c r="H63">
        <f t="shared" si="60"/>
        <v>1</v>
      </c>
      <c r="I63">
        <v>0.85682237148284901</v>
      </c>
      <c r="J63">
        <f t="shared" si="61"/>
        <v>1</v>
      </c>
      <c r="K63">
        <v>0.91287589073181197</v>
      </c>
      <c r="L63">
        <f t="shared" si="56"/>
        <v>1</v>
      </c>
      <c r="M63">
        <v>0.99883240500000003</v>
      </c>
      <c r="N63">
        <f t="shared" si="57"/>
        <v>1</v>
      </c>
      <c r="O63">
        <v>0.796872198581696</v>
      </c>
      <c r="P63">
        <f t="shared" si="58"/>
        <v>1</v>
      </c>
      <c r="Q63">
        <v>0.53656494600000004</v>
      </c>
      <c r="R63">
        <f t="shared" si="59"/>
        <v>1</v>
      </c>
      <c r="S63">
        <v>0.73484021425247203</v>
      </c>
      <c r="T63">
        <f t="shared" si="62"/>
        <v>1</v>
      </c>
      <c r="U63" s="7">
        <v>0.64092979999999999</v>
      </c>
      <c r="V63">
        <v>1</v>
      </c>
    </row>
    <row r="64" spans="1:22">
      <c r="A64" s="1">
        <v>1</v>
      </c>
      <c r="B64" s="7" t="s">
        <v>447</v>
      </c>
      <c r="C64" s="1">
        <v>1</v>
      </c>
      <c r="D64" s="33">
        <v>1</v>
      </c>
      <c r="E64" s="37">
        <v>1</v>
      </c>
      <c r="F64" s="37">
        <v>1</v>
      </c>
      <c r="G64">
        <v>0.95346003800000001</v>
      </c>
      <c r="H64">
        <f t="shared" si="60"/>
        <v>1</v>
      </c>
      <c r="I64">
        <v>0.99979597330093395</v>
      </c>
      <c r="J64">
        <f t="shared" si="61"/>
        <v>1</v>
      </c>
      <c r="K64">
        <v>0.99469381570815996</v>
      </c>
      <c r="L64">
        <f t="shared" ref="L64" si="63">IF(K64&gt;$A$2,1,0)</f>
        <v>1</v>
      </c>
      <c r="M64">
        <v>0.99977821099999997</v>
      </c>
      <c r="N64">
        <f t="shared" ref="N64" si="64">IF(M64&gt;$A$2,1,0)</f>
        <v>1</v>
      </c>
      <c r="O64">
        <v>0.99970740079879805</v>
      </c>
      <c r="P64">
        <f t="shared" ref="P64" si="65">IF(O64&gt;$A$2,1,0)</f>
        <v>1</v>
      </c>
      <c r="Q64">
        <v>0.71700328599999996</v>
      </c>
      <c r="R64">
        <f t="shared" ref="R64" si="66">IF(Q64&gt;$A$2,1,0)</f>
        <v>1</v>
      </c>
      <c r="S64">
        <v>0.953202605247498</v>
      </c>
      <c r="T64">
        <f t="shared" si="62"/>
        <v>1</v>
      </c>
      <c r="U64" s="7">
        <v>0.70542099999999996</v>
      </c>
      <c r="V64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workbookViewId="0">
      <selection activeCell="C8" sqref="C8"/>
    </sheetView>
  </sheetViews>
  <sheetFormatPr defaultRowHeight="17"/>
  <cols>
    <col min="2" max="2" width="8.7265625" customWidth="1"/>
  </cols>
  <sheetData>
    <row r="1" spans="1:19">
      <c r="A1" t="s">
        <v>502</v>
      </c>
      <c r="B1" t="s">
        <v>503</v>
      </c>
      <c r="C1" t="s">
        <v>504</v>
      </c>
      <c r="D1" t="s">
        <v>505</v>
      </c>
      <c r="E1" t="s">
        <v>506</v>
      </c>
      <c r="F1" t="s">
        <v>507</v>
      </c>
      <c r="G1" t="s">
        <v>508</v>
      </c>
      <c r="H1" t="s">
        <v>509</v>
      </c>
      <c r="I1" t="s">
        <v>510</v>
      </c>
      <c r="J1" t="s">
        <v>511</v>
      </c>
      <c r="K1" t="s">
        <v>512</v>
      </c>
      <c r="L1" t="s">
        <v>513</v>
      </c>
      <c r="M1" t="s">
        <v>514</v>
      </c>
      <c r="N1" t="s">
        <v>515</v>
      </c>
      <c r="O1" t="s">
        <v>516</v>
      </c>
    </row>
    <row r="2" spans="1:19">
      <c r="A2">
        <v>0.5</v>
      </c>
      <c r="B2">
        <v>226</v>
      </c>
    </row>
    <row r="3" spans="1:19">
      <c r="B3" t="s">
        <v>517</v>
      </c>
    </row>
    <row r="4" spans="1:19">
      <c r="B4">
        <v>218</v>
      </c>
    </row>
    <row r="5" spans="1:19">
      <c r="A5" t="s">
        <v>518</v>
      </c>
      <c r="B5" t="s">
        <v>519</v>
      </c>
      <c r="C5">
        <v>188</v>
      </c>
      <c r="D5">
        <v>38</v>
      </c>
      <c r="E5">
        <v>41</v>
      </c>
      <c r="F5">
        <v>177</v>
      </c>
      <c r="G5">
        <v>229</v>
      </c>
      <c r="H5">
        <v>215</v>
      </c>
      <c r="I5">
        <v>226</v>
      </c>
      <c r="J5">
        <v>218</v>
      </c>
      <c r="K5" s="52">
        <v>0.82207207207207211</v>
      </c>
      <c r="L5" s="52">
        <v>0.83185840707964598</v>
      </c>
      <c r="M5" s="52">
        <v>0.81192660550458717</v>
      </c>
      <c r="N5" s="52">
        <v>0.82096069868995636</v>
      </c>
      <c r="O5" s="52">
        <v>0.82325581395348835</v>
      </c>
    </row>
    <row r="6" spans="1:19">
      <c r="A6" t="s">
        <v>520</v>
      </c>
      <c r="B6" t="s">
        <v>521</v>
      </c>
      <c r="C6">
        <v>203</v>
      </c>
      <c r="D6">
        <v>23</v>
      </c>
      <c r="E6">
        <v>30</v>
      </c>
      <c r="F6">
        <v>188</v>
      </c>
      <c r="G6">
        <v>233</v>
      </c>
      <c r="H6">
        <v>211</v>
      </c>
      <c r="I6">
        <v>226</v>
      </c>
      <c r="J6">
        <v>218</v>
      </c>
      <c r="K6" s="52">
        <v>0.88063063063063063</v>
      </c>
      <c r="L6" s="52">
        <v>0.89823008849557517</v>
      </c>
      <c r="M6" s="52">
        <v>0.86238532110091748</v>
      </c>
      <c r="N6" s="52">
        <v>0.871244635193133</v>
      </c>
      <c r="O6" s="52">
        <v>0.89099526066350709</v>
      </c>
      <c r="P6" t="s">
        <v>522</v>
      </c>
    </row>
    <row r="7" spans="1:19">
      <c r="A7" t="s">
        <v>523</v>
      </c>
      <c r="B7" t="s">
        <v>524</v>
      </c>
      <c r="C7">
        <v>221</v>
      </c>
      <c r="D7">
        <v>5</v>
      </c>
      <c r="E7">
        <v>23</v>
      </c>
      <c r="F7">
        <v>195</v>
      </c>
      <c r="G7">
        <v>244</v>
      </c>
      <c r="H7">
        <v>200</v>
      </c>
      <c r="I7">
        <v>226</v>
      </c>
      <c r="J7">
        <v>218</v>
      </c>
      <c r="K7" s="52">
        <v>0.93693693693693691</v>
      </c>
      <c r="L7" s="52">
        <v>0.97787610619469023</v>
      </c>
      <c r="M7" s="52">
        <v>0.89449541284403666</v>
      </c>
      <c r="N7" s="52">
        <v>0.90573770491803274</v>
      </c>
      <c r="O7" s="52">
        <v>0.97499999999999998</v>
      </c>
    </row>
    <row r="8" spans="1:19">
      <c r="A8" s="48"/>
      <c r="B8" s="48" t="s">
        <v>525</v>
      </c>
      <c r="C8" s="48">
        <v>204</v>
      </c>
      <c r="D8" s="48">
        <v>22</v>
      </c>
      <c r="E8" s="48">
        <v>26</v>
      </c>
      <c r="F8" s="48">
        <v>192</v>
      </c>
      <c r="G8" s="48">
        <v>230</v>
      </c>
      <c r="H8" s="48">
        <v>214</v>
      </c>
      <c r="I8" s="48">
        <v>226</v>
      </c>
      <c r="J8" s="48">
        <v>218</v>
      </c>
      <c r="K8" s="53">
        <v>0.89189189189189189</v>
      </c>
      <c r="L8" s="53">
        <v>0.90265486725663713</v>
      </c>
      <c r="M8" s="53">
        <v>0.88073394495412849</v>
      </c>
      <c r="N8" s="53">
        <v>0.88695652173913042</v>
      </c>
      <c r="O8" s="53">
        <v>0.89719626168224298</v>
      </c>
      <c r="P8" t="s">
        <v>526</v>
      </c>
    </row>
    <row r="9" spans="1:19">
      <c r="B9" t="s">
        <v>527</v>
      </c>
      <c r="C9">
        <v>194</v>
      </c>
      <c r="D9">
        <v>32</v>
      </c>
      <c r="E9">
        <v>21</v>
      </c>
      <c r="F9">
        <v>197</v>
      </c>
      <c r="G9">
        <v>215</v>
      </c>
      <c r="H9">
        <v>229</v>
      </c>
      <c r="I9">
        <v>226</v>
      </c>
      <c r="J9">
        <v>218</v>
      </c>
      <c r="K9" s="52">
        <v>0.88063063063063063</v>
      </c>
      <c r="L9" s="52">
        <v>0.8584070796460177</v>
      </c>
      <c r="M9" s="52">
        <v>0.90366972477064222</v>
      </c>
      <c r="N9" s="52">
        <v>0.9023255813953488</v>
      </c>
      <c r="O9" s="52">
        <v>0.86026200873362446</v>
      </c>
    </row>
    <row r="10" spans="1:19">
      <c r="B10" t="s">
        <v>528</v>
      </c>
      <c r="C10">
        <v>195</v>
      </c>
      <c r="D10">
        <v>31</v>
      </c>
      <c r="E10">
        <v>25</v>
      </c>
      <c r="F10">
        <v>193</v>
      </c>
      <c r="G10">
        <v>220</v>
      </c>
      <c r="H10">
        <v>224</v>
      </c>
      <c r="I10">
        <v>226</v>
      </c>
      <c r="J10">
        <v>218</v>
      </c>
      <c r="K10" s="52">
        <v>0.87387387387387383</v>
      </c>
      <c r="L10" s="52">
        <v>0.86283185840707965</v>
      </c>
      <c r="M10" s="52">
        <v>0.88532110091743121</v>
      </c>
      <c r="N10" s="52">
        <v>0.88636363636363635</v>
      </c>
      <c r="O10" s="52">
        <v>0.8616071428571429</v>
      </c>
    </row>
    <row r="11" spans="1:19">
      <c r="B11" t="s">
        <v>529</v>
      </c>
      <c r="C11">
        <v>190</v>
      </c>
      <c r="D11">
        <v>36</v>
      </c>
      <c r="E11">
        <v>21</v>
      </c>
      <c r="F11">
        <v>197</v>
      </c>
      <c r="G11">
        <v>211</v>
      </c>
      <c r="H11">
        <v>233</v>
      </c>
      <c r="I11">
        <v>226</v>
      </c>
      <c r="J11">
        <v>218</v>
      </c>
      <c r="K11" s="52">
        <v>0.8716216216216216</v>
      </c>
      <c r="L11" s="52">
        <v>0.84070796460176989</v>
      </c>
      <c r="M11" s="52">
        <v>0.90366972477064222</v>
      </c>
      <c r="N11" s="52">
        <v>0.90047393364928907</v>
      </c>
      <c r="O11" s="52">
        <v>0.84549356223175964</v>
      </c>
    </row>
    <row r="12" spans="1:19">
      <c r="B12" t="s">
        <v>530</v>
      </c>
      <c r="C12">
        <v>202</v>
      </c>
      <c r="D12">
        <v>24</v>
      </c>
      <c r="E12">
        <v>29</v>
      </c>
      <c r="F12">
        <v>189</v>
      </c>
      <c r="G12">
        <v>231</v>
      </c>
      <c r="H12">
        <v>213</v>
      </c>
      <c r="I12">
        <v>226</v>
      </c>
      <c r="J12">
        <v>218</v>
      </c>
      <c r="K12" s="52">
        <v>0.88063063063063063</v>
      </c>
      <c r="L12" s="52">
        <v>0.89380530973451322</v>
      </c>
      <c r="M12" s="52">
        <v>0.8669724770642202</v>
      </c>
      <c r="N12" s="52">
        <v>0.87445887445887449</v>
      </c>
      <c r="O12" s="52">
        <v>0.88732394366197187</v>
      </c>
    </row>
    <row r="13" spans="1:19">
      <c r="B13" t="s">
        <v>531</v>
      </c>
      <c r="C13">
        <v>197</v>
      </c>
      <c r="D13">
        <v>29</v>
      </c>
      <c r="E13">
        <v>29</v>
      </c>
      <c r="F13">
        <v>189</v>
      </c>
      <c r="G13">
        <v>226</v>
      </c>
      <c r="H13">
        <v>218</v>
      </c>
      <c r="I13">
        <v>226</v>
      </c>
      <c r="J13">
        <v>218</v>
      </c>
      <c r="K13" s="52">
        <v>0.86936936936936937</v>
      </c>
      <c r="L13" s="52">
        <v>0.87168141592920356</v>
      </c>
      <c r="M13" s="52">
        <v>0.8669724770642202</v>
      </c>
      <c r="N13" s="52">
        <v>0.87168141592920356</v>
      </c>
      <c r="O13" s="52">
        <v>0.8669724770642202</v>
      </c>
    </row>
    <row r="14" spans="1:19">
      <c r="B14" t="s">
        <v>532</v>
      </c>
      <c r="C14">
        <v>183</v>
      </c>
      <c r="D14">
        <v>43</v>
      </c>
      <c r="E14">
        <v>20</v>
      </c>
      <c r="F14">
        <v>198</v>
      </c>
      <c r="G14">
        <v>203</v>
      </c>
      <c r="H14">
        <v>241</v>
      </c>
      <c r="I14">
        <v>226</v>
      </c>
      <c r="J14">
        <v>218</v>
      </c>
      <c r="K14" s="52">
        <v>0.85810810810810811</v>
      </c>
      <c r="L14" s="52">
        <v>0.80973451327433632</v>
      </c>
      <c r="M14" s="52">
        <v>0.90825688073394495</v>
      </c>
      <c r="N14" s="52">
        <v>0.90147783251231528</v>
      </c>
      <c r="O14" s="52">
        <v>0.82157676348547715</v>
      </c>
    </row>
    <row r="16" spans="1:19">
      <c r="C16" t="s">
        <v>533</v>
      </c>
      <c r="G16">
        <v>1.9986999999999999</v>
      </c>
      <c r="I16">
        <v>2.0716999999999999</v>
      </c>
      <c r="K16">
        <v>1.8082</v>
      </c>
      <c r="M16">
        <v>1.7839</v>
      </c>
      <c r="O16">
        <v>2.1819999999999999</v>
      </c>
      <c r="Q16">
        <v>1.6739999999999999</v>
      </c>
      <c r="S16">
        <v>1.5251999999999999</v>
      </c>
    </row>
    <row r="17" spans="3:19">
      <c r="C17" t="s">
        <v>534</v>
      </c>
      <c r="G17">
        <v>0.9587</v>
      </c>
      <c r="I17">
        <v>1.0163</v>
      </c>
      <c r="K17">
        <v>0.83709999999999996</v>
      </c>
      <c r="M17">
        <v>0.83160000000000001</v>
      </c>
      <c r="O17">
        <v>1.0685</v>
      </c>
      <c r="Q17">
        <v>0.83350000000000002</v>
      </c>
      <c r="S17">
        <v>0.67100000000000004</v>
      </c>
    </row>
    <row r="18" spans="3:19">
      <c r="C18" t="s">
        <v>535</v>
      </c>
      <c r="G18">
        <v>0.92549999999999999</v>
      </c>
      <c r="I18">
        <v>0.92689999999999995</v>
      </c>
      <c r="K18">
        <v>0.91720000000000002</v>
      </c>
      <c r="M18">
        <v>0.91490000000000005</v>
      </c>
      <c r="O18">
        <v>0.93200000000000005</v>
      </c>
      <c r="Q18">
        <v>0.90439999999999998</v>
      </c>
      <c r="S18">
        <v>0.89729999999999999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statistics</vt:lpstr>
      <vt:lpstr>BM_modify</vt:lpstr>
      <vt:lpstr>BM_3D_result</vt:lpstr>
      <vt:lpstr>3D_mass</vt:lpstr>
      <vt:lpstr>3D_nonmass</vt:lpstr>
      <vt:lpstr>val=test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鈞 張</dc:creator>
  <cp:lastModifiedBy>kiara</cp:lastModifiedBy>
  <dcterms:created xsi:type="dcterms:W3CDTF">2020-07-17T01:39:02Z</dcterms:created>
  <dcterms:modified xsi:type="dcterms:W3CDTF">2022-07-20T13:40:40Z</dcterms:modified>
</cp:coreProperties>
</file>